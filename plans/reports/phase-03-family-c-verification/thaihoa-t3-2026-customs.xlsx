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K TAI C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5.4" customWidth="1" min="1" max="1"/>
    <col width="12" customWidth="1" min="2" max="2"/>
    <col width="15.5" customWidth="1" min="3" max="3"/>
    <col width="12.5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THU CHI HỘ LỆ PHÍ HẢI QUAN THÁNG 03/2026</t>
        </is>
      </c>
    </row>
    <row r="8">
      <c r="A8" s="3" t="inlineStr">
        <is>
          <t>Họ tên người mua hàng (Customer): CÔNG TY CP ĐẦU TƯ PHÁT TRIỂN CÔNG NGHIỆP THÁI HOÀ</t>
        </is>
      </c>
    </row>
    <row r="9">
      <c r="A9" s="3" t="inlineStr">
        <is>
          <t>Địa chỉ (Address): Lô TT3, KCN Điềm Thụy, Phường Phổ Yên, Tỉnh Thái Nguyên, Việt Nam</t>
        </is>
      </c>
    </row>
    <row r="10">
      <c r="A10" s="3" t="inlineStr">
        <is>
          <t>Mã số thuế (Tax- code): 4601573108</t>
        </is>
      </c>
    </row>
    <row r="13" ht="32" customHeight="1">
      <c r="A13" s="4" t="inlineStr">
        <is>
          <t>STT</t>
        </is>
      </c>
      <c r="B13" s="4" t="inlineStr">
        <is>
          <t>Ngày</t>
        </is>
      </c>
      <c r="C13" s="4" t="inlineStr">
        <is>
          <t>Tờ khai</t>
        </is>
      </c>
      <c r="D13" s="4" t="inlineStr">
        <is>
          <t>Luồng tờ khai</t>
        </is>
      </c>
      <c r="E13" s="4" t="inlineStr">
        <is>
          <t>Note</t>
        </is>
      </c>
      <c r="F13" s="4" t="inlineStr">
        <is>
          <t>Số hóa đơn/PXK</t>
        </is>
      </c>
      <c r="G13" s="4" t="inlineStr">
        <is>
          <t>Phí mở tờ khai</t>
        </is>
      </c>
      <c r="H13" s="4" t="inlineStr">
        <is>
          <t>Phí kiểm hóa</t>
        </is>
      </c>
      <c r="I13" s="4" t="inlineStr">
        <is>
          <t>Phí phát sinh khác</t>
        </is>
      </c>
      <c r="J13" s="4" t="inlineStr">
        <is>
          <t>Tổng tiền</t>
        </is>
      </c>
      <c r="K13" s="4" t="inlineStr">
        <is>
          <t>Thu chi hộ</t>
        </is>
      </c>
      <c r="L13" s="4" t="inlineStr">
        <is>
          <t>Số hóa đơn/GNT</t>
        </is>
      </c>
    </row>
    <row r="14" ht="22" customHeight="1">
      <c r="A14" s="5" t="n">
        <v>1</v>
      </c>
      <c r="B14" s="6" t="n">
        <v>46104</v>
      </c>
      <c r="C14" s="7" t="inlineStr">
        <is>
          <t>308354349020</t>
        </is>
      </c>
      <c r="D14" s="5" t="inlineStr">
        <is>
          <t>Luồng Xanh</t>
        </is>
      </c>
      <c r="E14" s="7" t="inlineStr">
        <is>
          <t>DOM</t>
        </is>
      </c>
      <c r="F14" s="7" t="inlineStr">
        <is>
          <t>{00000207}</t>
        </is>
      </c>
      <c r="G14" s="8" t="n">
        <v>600000</v>
      </c>
      <c r="H14" s="8" t="n"/>
      <c r="I14" s="8" t="n"/>
      <c r="J14" s="8">
        <f>IFERROR(G14,0)+IFERROR(H14,0)+IFERROR(I14,0)</f>
        <v/>
      </c>
      <c r="K14" s="8" t="n">
        <v>20000</v>
      </c>
      <c r="L14" s="7" t="inlineStr">
        <is>
          <t>0459169</t>
        </is>
      </c>
    </row>
    <row r="15" ht="22" customHeight="1">
      <c r="A15" s="5" t="n">
        <v>2</v>
      </c>
      <c r="B15" s="6" t="n">
        <v>46106</v>
      </c>
      <c r="C15" s="7" t="inlineStr">
        <is>
          <t>308363831700</t>
        </is>
      </c>
      <c r="D15" s="5" t="inlineStr">
        <is>
          <t>Luồng Xanh</t>
        </is>
      </c>
      <c r="E15" s="7" t="inlineStr">
        <is>
          <t>DOM</t>
        </is>
      </c>
      <c r="F15" s="7" t="inlineStr"/>
      <c r="G15" s="8" t="n">
        <v>600000</v>
      </c>
      <c r="H15" s="8" t="n"/>
      <c r="I15" s="8" t="n"/>
      <c r="J15" s="8">
        <f>IFERROR(G15,0)+IFERROR(H15,0)+IFERROR(I15,0)</f>
        <v/>
      </c>
      <c r="K15" s="8" t="n">
        <v>20000</v>
      </c>
      <c r="L15" s="7" t="inlineStr">
        <is>
          <t>0459172</t>
        </is>
      </c>
    </row>
    <row r="16">
      <c r="A16" s="9" t="inlineStr">
        <is>
          <t>Tổng</t>
        </is>
      </c>
      <c r="B16" s="10" t="n"/>
      <c r="C16" s="10" t="n"/>
      <c r="D16" s="10" t="n"/>
      <c r="E16" s="10" t="n"/>
      <c r="F16" s="10" t="n"/>
      <c r="G16" s="11">
        <f>SUM(G14:G15)</f>
        <v/>
      </c>
      <c r="H16" s="11">
        <f>SUM(H14:H15)</f>
        <v/>
      </c>
      <c r="I16" s="11">
        <f>SUM(I14:I15)</f>
        <v/>
      </c>
      <c r="J16" s="11">
        <f>SUM(J14:J15)</f>
        <v/>
      </c>
      <c r="K16" s="11">
        <f>SUM(K14:K15)</f>
        <v/>
      </c>
      <c r="L16" s="10" t="n"/>
    </row>
    <row r="17">
      <c r="A17" s="9" t="inlineStr">
        <is>
          <t>VAT (8%)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>
        <f>J16*0.08</f>
        <v/>
      </c>
      <c r="K17" s="10" t="n"/>
      <c r="L17" s="10" t="n"/>
    </row>
    <row r="18">
      <c r="A18" s="9" t="inlineStr">
        <is>
          <t>Tổng cộng (sau VAT)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>
        <f>J16+J17</f>
        <v/>
      </c>
      <c r="K18" s="11">
        <f>K16</f>
        <v/>
      </c>
      <c r="L18" s="10" t="n"/>
    </row>
    <row r="20">
      <c r="A20" s="12" t="inlineStr">
        <is>
          <t>Tổng số tiền bằng chữ: Một triệu ba trăm ba mươi sáu nghìn đồng chẵn./.</t>
        </is>
      </c>
    </row>
    <row r="23">
      <c r="A23" s="12" t="inlineStr">
        <is>
          <t>Thông tin chuyển khoản:</t>
        </is>
      </c>
    </row>
    <row r="24">
      <c r="A24" s="13" t="inlineStr">
        <is>
          <t>Tài khoản: Công Ty TNHH Thương mại và dịch vụ 5P Việt Nam</t>
        </is>
      </c>
    </row>
    <row r="25">
      <c r="A25" s="13" t="inlineStr">
        <is>
          <t>Số tài khoản: 346886</t>
        </is>
      </c>
    </row>
    <row r="26">
      <c r="A26" s="14" t="inlineStr">
        <is>
          <t>Tại Ngân hàng: Ngân hàng TMCP Kỹ thương Việt Nam - Techcombank Chi nhánh Đông Đô</t>
        </is>
      </c>
    </row>
  </sheetData>
  <mergeCells count="5">
    <mergeCell ref="A16:F16"/>
    <mergeCell ref="A6:L6"/>
    <mergeCell ref="A17:F17"/>
    <mergeCell ref="A18:F18"/>
    <mergeCell ref="A26:F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2026-04-21T08:31:17Z</dcterms:created>
  <dcterms:modified xmlns:dcterms="http://purl.org/dc/terms/" xmlns:xsi="http://www.w3.org/2001/XMLSchema-instance" xsi:type="dcterms:W3CDTF">2026-04-21T08:31:17Z</dcterms:modified>
</cp:coreProperties>
</file>