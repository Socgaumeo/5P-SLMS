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 KHAU" sheetId="1" state="visible" r:id="rId1"/>
    <sheet xmlns:r="http://schemas.openxmlformats.org/officeDocument/2006/relationships" name="XNK TAI CH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sz val="14"/>
    </font>
    <font>
      <name val="Times New Roman"/>
      <sz val="12"/>
    </font>
    <font>
      <name val="Times New Roman"/>
      <b val="1"/>
      <sz val="12"/>
    </font>
    <font>
      <name val="Times New Roman"/>
      <sz val="11"/>
    </font>
    <font>
      <name val="Times New Roman"/>
      <b val="1"/>
      <i val="1"/>
      <sz val="12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  <fill>
      <patternFill patternType="solid">
        <fgColor rgb="00FFE699"/>
        <bgColor rgb="00FFE69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14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/>
    </xf>
    <xf numFmtId="3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/>
    </xf>
    <xf numFmtId="0" fontId="0" fillId="4" borderId="1" pivotButton="0" quotePrefix="0" xfId="0"/>
    <xf numFmtId="3" fontId="4" fillId="4" borderId="1" applyAlignment="1" pivotButton="0" quotePrefix="0" xfId="0">
      <alignment horizontal="right" vertical="center"/>
    </xf>
    <xf numFmtId="0" fontId="6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cols>
    <col width="5.4" customWidth="1" min="1" max="1"/>
    <col width="12" customWidth="1" min="2" max="2"/>
    <col width="15.5" customWidth="1" min="3" max="3"/>
    <col width="12.5" customWidth="1" min="4" max="4"/>
    <col width="10" customWidth="1" min="5" max="5"/>
    <col width="14" customWidth="1" min="6" max="6"/>
    <col width="14" customWidth="1" min="7" max="7"/>
    <col width="13" customWidth="1" min="8" max="8"/>
    <col width="14" customWidth="1" min="9" max="9"/>
    <col width="14" customWidth="1" min="10" max="10"/>
    <col width="14" customWidth="1" min="11" max="11"/>
    <col width="16" customWidth="1" min="12" max="12"/>
  </cols>
  <sheetData>
    <row r="1" ht="23" customHeight="1">
      <c r="C1" s="1" t="inlineStr">
        <is>
          <t>CÔNG TY TNHH THƯƠNG MẠI VÀ DỊCH VỤ 5P VIỆT NAM</t>
        </is>
      </c>
    </row>
    <row r="2" ht="23" customHeight="1">
      <c r="C2" s="1" t="inlineStr">
        <is>
          <t>Số nhà 02 Ngõ 1H Phố Trần Quang Diệu, Phường Đống Đa, Thành phố Hà Nội, Việt Nam</t>
        </is>
      </c>
    </row>
    <row r="3" ht="23" customHeight="1">
      <c r="C3" s="1" t="inlineStr">
        <is>
          <t>MST: 0110523309</t>
        </is>
      </c>
    </row>
    <row r="4" ht="23" customHeight="1"/>
    <row r="6" ht="28" customHeight="1">
      <c r="A6" s="2" t="inlineStr">
        <is>
          <t>BẢNG KÊ THU CHI HỘ LỆ PHÍ HẢI QUAN THÁNG 03/2026</t>
        </is>
      </c>
    </row>
    <row r="8">
      <c r="A8" s="3" t="inlineStr">
        <is>
          <t>Họ tên người mua hàng (Customer): CÔNG TY CỔ PHẦN CƠ KHÍ GANG THÉP</t>
        </is>
      </c>
    </row>
    <row r="9">
      <c r="A9" s="3" t="inlineStr">
        <is>
          <t>Địa chỉ (Address): Tổ dân phố Cam Giá 13, Phường Gia Sàng, Tỉnh Thái Nguyên,Việt Nam.</t>
        </is>
      </c>
    </row>
    <row r="10">
      <c r="A10" s="3" t="inlineStr">
        <is>
          <t>Mã số thuế (Tax- code): 4600479367</t>
        </is>
      </c>
    </row>
    <row r="13" ht="32" customHeight="1">
      <c r="A13" s="4" t="inlineStr">
        <is>
          <t>STT</t>
        </is>
      </c>
      <c r="B13" s="4" t="inlineStr">
        <is>
          <t>Ngày</t>
        </is>
      </c>
      <c r="C13" s="4" t="inlineStr">
        <is>
          <t>Tờ khai</t>
        </is>
      </c>
      <c r="D13" s="4" t="inlineStr">
        <is>
          <t>Luồng tờ khai</t>
        </is>
      </c>
      <c r="E13" s="4" t="inlineStr">
        <is>
          <t>Note</t>
        </is>
      </c>
      <c r="F13" s="4" t="inlineStr">
        <is>
          <t>Số hóa đơn/PXK</t>
        </is>
      </c>
      <c r="G13" s="4" t="inlineStr">
        <is>
          <t>Phí mở tờ khai</t>
        </is>
      </c>
      <c r="H13" s="4" t="inlineStr">
        <is>
          <t>Phí kiểm hóa</t>
        </is>
      </c>
      <c r="I13" s="4" t="inlineStr">
        <is>
          <t>Phí phát sinh khác</t>
        </is>
      </c>
      <c r="J13" s="4" t="inlineStr">
        <is>
          <t>Tổng tiền</t>
        </is>
      </c>
      <c r="K13" s="4" t="inlineStr">
        <is>
          <t>Thu chi hộ</t>
        </is>
      </c>
      <c r="L13" s="4" t="inlineStr">
        <is>
          <t>Số hóa đơn/GNT</t>
        </is>
      </c>
    </row>
    <row r="14" ht="22" customHeight="1">
      <c r="A14" s="5" t="n">
        <v>1</v>
      </c>
      <c r="B14" s="6" t="n">
        <v>46083</v>
      </c>
      <c r="C14" s="7" t="inlineStr">
        <is>
          <t>108012996010</t>
        </is>
      </c>
      <c r="D14" s="5" t="inlineStr"/>
      <c r="E14" s="7" t="inlineStr">
        <is>
          <t>DOM</t>
        </is>
      </c>
      <c r="F14" s="7" t="inlineStr"/>
      <c r="G14" s="8" t="n">
        <v>400000</v>
      </c>
      <c r="H14" s="8" t="n"/>
      <c r="I14" s="8" t="n"/>
      <c r="J14" s="8">
        <f>IFERROR(G14,0)+IFERROR(H14,0)+IFERROR(I14,0)</f>
        <v/>
      </c>
      <c r="K14" s="8" t="n"/>
      <c r="L14" s="7" t="inlineStr"/>
    </row>
    <row r="15" ht="22" customHeight="1">
      <c r="A15" s="5" t="n">
        <v>2</v>
      </c>
      <c r="B15" s="6" t="n">
        <v>46085</v>
      </c>
      <c r="C15" s="7" t="inlineStr">
        <is>
          <t>108021011930</t>
        </is>
      </c>
      <c r="D15" s="5" t="inlineStr"/>
      <c r="E15" s="7" t="inlineStr">
        <is>
          <t>DOM</t>
        </is>
      </c>
      <c r="F15" s="7" t="inlineStr"/>
      <c r="G15" s="8" t="n">
        <v>400000</v>
      </c>
      <c r="H15" s="8" t="n"/>
      <c r="I15" s="8" t="n"/>
      <c r="J15" s="8">
        <f>IFERROR(G15,0)+IFERROR(H15,0)+IFERROR(I15,0)</f>
        <v/>
      </c>
      <c r="K15" s="8" t="n"/>
      <c r="L15" s="7" t="inlineStr"/>
    </row>
    <row r="16" ht="22" customHeight="1">
      <c r="A16" s="5" t="n">
        <v>3</v>
      </c>
      <c r="B16" s="6" t="n">
        <v>46090</v>
      </c>
      <c r="C16" s="7" t="inlineStr">
        <is>
          <t>108030239440</t>
        </is>
      </c>
      <c r="D16" s="5" t="inlineStr"/>
      <c r="E16" s="7" t="inlineStr">
        <is>
          <t>DOM</t>
        </is>
      </c>
      <c r="F16" s="7" t="inlineStr"/>
      <c r="G16" s="8" t="n">
        <v>400000</v>
      </c>
      <c r="H16" s="8" t="n"/>
      <c r="I16" s="8" t="n"/>
      <c r="J16" s="8">
        <f>IFERROR(G16,0)+IFERROR(H16,0)+IFERROR(I16,0)</f>
        <v/>
      </c>
      <c r="K16" s="8" t="n"/>
      <c r="L16" s="7" t="inlineStr"/>
    </row>
    <row r="17" ht="22" customHeight="1">
      <c r="A17" s="5" t="n">
        <v>4</v>
      </c>
      <c r="B17" s="6" t="n">
        <v>46090</v>
      </c>
      <c r="C17" s="7" t="inlineStr">
        <is>
          <t>108032965460</t>
        </is>
      </c>
      <c r="D17" s="5" t="inlineStr"/>
      <c r="E17" s="7" t="inlineStr">
        <is>
          <t>DOM</t>
        </is>
      </c>
      <c r="F17" s="7" t="inlineStr"/>
      <c r="G17" s="8" t="n">
        <v>400000</v>
      </c>
      <c r="H17" s="8" t="n"/>
      <c r="I17" s="8" t="n"/>
      <c r="J17" s="8">
        <f>IFERROR(G17,0)+IFERROR(H17,0)+IFERROR(I17,0)</f>
        <v/>
      </c>
      <c r="K17" s="8" t="n"/>
      <c r="L17" s="7" t="inlineStr"/>
    </row>
    <row r="18" ht="22" customHeight="1">
      <c r="A18" s="5" t="n">
        <v>5</v>
      </c>
      <c r="B18" s="6" t="n">
        <v>46093</v>
      </c>
      <c r="C18" s="7" t="inlineStr">
        <is>
          <t>108044109830</t>
        </is>
      </c>
      <c r="D18" s="5" t="inlineStr"/>
      <c r="E18" s="7" t="inlineStr">
        <is>
          <t>DOM</t>
        </is>
      </c>
      <c r="F18" s="7" t="inlineStr"/>
      <c r="G18" s="8" t="n">
        <v>400000</v>
      </c>
      <c r="H18" s="8" t="n"/>
      <c r="I18" s="8" t="n"/>
      <c r="J18" s="8">
        <f>IFERROR(G18,0)+IFERROR(H18,0)+IFERROR(I18,0)</f>
        <v/>
      </c>
      <c r="K18" s="8" t="n"/>
      <c r="L18" s="7" t="inlineStr"/>
    </row>
    <row r="19" ht="22" customHeight="1">
      <c r="A19" s="5" t="n">
        <v>6</v>
      </c>
      <c r="B19" s="6" t="n">
        <v>46097</v>
      </c>
      <c r="C19" s="7" t="inlineStr">
        <is>
          <t>108053078560</t>
        </is>
      </c>
      <c r="D19" s="5" t="inlineStr"/>
      <c r="E19" s="7" t="inlineStr">
        <is>
          <t>DOM</t>
        </is>
      </c>
      <c r="F19" s="7" t="inlineStr"/>
      <c r="G19" s="8" t="n">
        <v>400000</v>
      </c>
      <c r="H19" s="8" t="n"/>
      <c r="I19" s="8" t="n"/>
      <c r="J19" s="8">
        <f>IFERROR(G19,0)+IFERROR(H19,0)+IFERROR(I19,0)</f>
        <v/>
      </c>
      <c r="K19" s="8" t="n"/>
      <c r="L19" s="7" t="inlineStr"/>
    </row>
    <row r="20" ht="22" customHeight="1">
      <c r="A20" s="5" t="n">
        <v>7</v>
      </c>
      <c r="B20" s="6" t="n">
        <v>46098</v>
      </c>
      <c r="C20" s="7" t="inlineStr">
        <is>
          <t>108060402220</t>
        </is>
      </c>
      <c r="D20" s="5" t="inlineStr"/>
      <c r="E20" s="7" t="inlineStr">
        <is>
          <t>DOM</t>
        </is>
      </c>
      <c r="F20" s="7" t="inlineStr"/>
      <c r="G20" s="8" t="n">
        <v>400000</v>
      </c>
      <c r="H20" s="8" t="n"/>
      <c r="I20" s="8" t="n"/>
      <c r="J20" s="8">
        <f>IFERROR(G20,0)+IFERROR(H20,0)+IFERROR(I20,0)</f>
        <v/>
      </c>
      <c r="K20" s="8" t="n"/>
      <c r="L20" s="7" t="inlineStr"/>
    </row>
    <row r="21" ht="22" customHeight="1">
      <c r="A21" s="5" t="n">
        <v>8</v>
      </c>
      <c r="B21" s="6" t="n">
        <v>46100</v>
      </c>
      <c r="C21" s="7" t="inlineStr">
        <is>
          <t>108065502310</t>
        </is>
      </c>
      <c r="D21" s="5" t="inlineStr"/>
      <c r="E21" s="7" t="inlineStr">
        <is>
          <t>DOM</t>
        </is>
      </c>
      <c r="F21" s="7" t="inlineStr"/>
      <c r="G21" s="8" t="n">
        <v>400000</v>
      </c>
      <c r="H21" s="8" t="n"/>
      <c r="I21" s="8" t="n"/>
      <c r="J21" s="8">
        <f>IFERROR(G21,0)+IFERROR(H21,0)+IFERROR(I21,0)</f>
        <v/>
      </c>
      <c r="K21" s="8" t="n"/>
      <c r="L21" s="7" t="inlineStr"/>
    </row>
    <row r="22" ht="22" customHeight="1">
      <c r="A22" s="5" t="n">
        <v>9</v>
      </c>
      <c r="B22" s="6" t="n">
        <v>46100</v>
      </c>
      <c r="C22" s="7" t="inlineStr">
        <is>
          <t>108068485120</t>
        </is>
      </c>
      <c r="D22" s="5" t="inlineStr"/>
      <c r="E22" s="7" t="inlineStr">
        <is>
          <t>DOM</t>
        </is>
      </c>
      <c r="F22" s="7" t="inlineStr"/>
      <c r="G22" s="8" t="n">
        <v>400000</v>
      </c>
      <c r="H22" s="8" t="n"/>
      <c r="I22" s="8" t="n"/>
      <c r="J22" s="8">
        <f>IFERROR(G22,0)+IFERROR(H22,0)+IFERROR(I22,0)</f>
        <v/>
      </c>
      <c r="K22" s="8" t="n"/>
      <c r="L22" s="7" t="inlineStr"/>
    </row>
    <row r="23" ht="22" customHeight="1">
      <c r="A23" s="5" t="n">
        <v>10</v>
      </c>
      <c r="B23" s="6" t="n">
        <v>46102</v>
      </c>
      <c r="C23" s="7" t="inlineStr">
        <is>
          <t>108072669610</t>
        </is>
      </c>
      <c r="D23" s="5" t="inlineStr"/>
      <c r="E23" s="7" t="inlineStr">
        <is>
          <t>DOM</t>
        </is>
      </c>
      <c r="F23" s="7" t="inlineStr"/>
      <c r="G23" s="8" t="n">
        <v>400000</v>
      </c>
      <c r="H23" s="8" t="n"/>
      <c r="I23" s="8" t="n"/>
      <c r="J23" s="8">
        <f>IFERROR(G23,0)+IFERROR(H23,0)+IFERROR(I23,0)</f>
        <v/>
      </c>
      <c r="K23" s="8" t="n"/>
      <c r="L23" s="7" t="inlineStr"/>
    </row>
    <row r="24" ht="22" customHeight="1">
      <c r="A24" s="5" t="n">
        <v>11</v>
      </c>
      <c r="B24" s="6" t="n">
        <v>46104</v>
      </c>
      <c r="C24" s="7" t="inlineStr">
        <is>
          <t>108078394650</t>
        </is>
      </c>
      <c r="D24" s="5" t="inlineStr"/>
      <c r="E24" s="7" t="inlineStr">
        <is>
          <t>DOM</t>
        </is>
      </c>
      <c r="F24" s="7" t="inlineStr"/>
      <c r="G24" s="8" t="n">
        <v>400000</v>
      </c>
      <c r="H24" s="8" t="n"/>
      <c r="I24" s="8" t="n"/>
      <c r="J24" s="8">
        <f>IFERROR(G24,0)+IFERROR(H24,0)+IFERROR(I24,0)</f>
        <v/>
      </c>
      <c r="K24" s="8" t="n"/>
      <c r="L24" s="7" t="inlineStr"/>
    </row>
    <row r="25">
      <c r="A25" s="9" t="inlineStr">
        <is>
          <t>Tổng</t>
        </is>
      </c>
      <c r="B25" s="10" t="n"/>
      <c r="C25" s="10" t="n"/>
      <c r="D25" s="10" t="n"/>
      <c r="E25" s="10" t="n"/>
      <c r="F25" s="10" t="n"/>
      <c r="G25" s="11">
        <f>SUM(G14:G24)</f>
        <v/>
      </c>
      <c r="H25" s="11">
        <f>SUM(H14:H24)</f>
        <v/>
      </c>
      <c r="I25" s="11">
        <f>SUM(I14:I24)</f>
        <v/>
      </c>
      <c r="J25" s="11">
        <f>SUM(J14:J24)</f>
        <v/>
      </c>
      <c r="K25" s="11">
        <f>SUM(K14:K24)</f>
        <v/>
      </c>
      <c r="L25" s="10" t="n"/>
    </row>
    <row r="26">
      <c r="A26" s="9" t="inlineStr">
        <is>
          <t>VAT (8%)</t>
        </is>
      </c>
      <c r="B26" s="10" t="n"/>
      <c r="C26" s="10" t="n"/>
      <c r="D26" s="10" t="n"/>
      <c r="E26" s="10" t="n"/>
      <c r="F26" s="10" t="n"/>
      <c r="G26" s="10" t="n"/>
      <c r="H26" s="10" t="n"/>
      <c r="I26" s="10" t="n"/>
      <c r="J26" s="11">
        <f>J25*0.08</f>
        <v/>
      </c>
      <c r="K26" s="10" t="n"/>
      <c r="L26" s="10" t="n"/>
    </row>
    <row r="27">
      <c r="A27" s="9" t="inlineStr">
        <is>
          <t>Tổng cộng (sau VAT)</t>
        </is>
      </c>
      <c r="B27" s="10" t="n"/>
      <c r="C27" s="10" t="n"/>
      <c r="D27" s="10" t="n"/>
      <c r="E27" s="10" t="n"/>
      <c r="F27" s="10" t="n"/>
      <c r="G27" s="10" t="n"/>
      <c r="H27" s="10" t="n"/>
      <c r="I27" s="10" t="n"/>
      <c r="J27" s="11">
        <f>J25+J26</f>
        <v/>
      </c>
      <c r="K27" s="11">
        <f>K25</f>
        <v/>
      </c>
      <c r="L27" s="10" t="n"/>
    </row>
    <row r="29">
      <c r="A29" s="12" t="inlineStr">
        <is>
          <t>Tổng số tiền bằng chữ: Bốn triệu bảy trăm năm mươi hai nghìn đồng chẵn./.</t>
        </is>
      </c>
    </row>
    <row r="32">
      <c r="A32" s="12" t="inlineStr">
        <is>
          <t>Thông tin chuyển khoản:</t>
        </is>
      </c>
    </row>
    <row r="33">
      <c r="A33" s="13" t="inlineStr">
        <is>
          <t>Tài khoản: Công Ty TNHH Thương mại và dịch vụ 5P Việt Nam</t>
        </is>
      </c>
    </row>
    <row r="34">
      <c r="A34" s="13" t="inlineStr">
        <is>
          <t>Số tài khoản: 346886</t>
        </is>
      </c>
    </row>
    <row r="35">
      <c r="A35" s="14" t="inlineStr">
        <is>
          <t>Tại Ngân hàng: Ngân hàng TMCP Kỹ thương Việt Nam - Techcombank Chi nhánh Đông Đô</t>
        </is>
      </c>
    </row>
  </sheetData>
  <mergeCells count="5">
    <mergeCell ref="A27:F27"/>
    <mergeCell ref="A6:L6"/>
    <mergeCell ref="A35:F35"/>
    <mergeCell ref="A26:F26"/>
    <mergeCell ref="A25:F2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cols>
    <col width="5.4" customWidth="1" min="1" max="1"/>
    <col width="12" customWidth="1" min="2" max="2"/>
    <col width="15.5" customWidth="1" min="3" max="3"/>
    <col width="12.5" customWidth="1" min="4" max="4"/>
    <col width="10" customWidth="1" min="5" max="5"/>
    <col width="14" customWidth="1" min="6" max="6"/>
    <col width="14" customWidth="1" min="7" max="7"/>
    <col width="13" customWidth="1" min="8" max="8"/>
    <col width="14" customWidth="1" min="9" max="9"/>
    <col width="14" customWidth="1" min="10" max="10"/>
    <col width="14" customWidth="1" min="11" max="11"/>
    <col width="16" customWidth="1" min="12" max="12"/>
  </cols>
  <sheetData>
    <row r="1" ht="23" customHeight="1">
      <c r="C1" s="1" t="inlineStr">
        <is>
          <t>CÔNG TY TNHH THƯƠNG MẠI VÀ DỊCH VỤ 5P VIỆT NAM</t>
        </is>
      </c>
    </row>
    <row r="2" ht="23" customHeight="1">
      <c r="C2" s="1" t="inlineStr">
        <is>
          <t>Số nhà 02 Ngõ 1H Phố Trần Quang Diệu, Phường Đống Đa, Thành phố Hà Nội, Việt Nam</t>
        </is>
      </c>
    </row>
    <row r="3" ht="23" customHeight="1">
      <c r="C3" s="1" t="inlineStr">
        <is>
          <t>MST: 0110523309</t>
        </is>
      </c>
    </row>
    <row r="4" ht="23" customHeight="1"/>
    <row r="6" ht="28" customHeight="1">
      <c r="A6" s="2" t="inlineStr">
        <is>
          <t>BẢNG KÊ THU CHI HỘ LỆ PHÍ HẢI QUAN THÁNG 03/2026</t>
        </is>
      </c>
    </row>
    <row r="8">
      <c r="A8" s="3" t="inlineStr">
        <is>
          <t>Họ tên người mua hàng (Customer): CÔNG TY CỔ PHẦN CƠ KHÍ GANG THÉP</t>
        </is>
      </c>
    </row>
    <row r="9">
      <c r="A9" s="3" t="inlineStr">
        <is>
          <t>Địa chỉ (Address): Tổ dân phố Cam Giá 13, Phường Gia Sàng, Tỉnh Thái Nguyên,Việt Nam.</t>
        </is>
      </c>
    </row>
    <row r="10">
      <c r="A10" s="3" t="inlineStr">
        <is>
          <t>Mã số thuế (Tax- code): 4600479367</t>
        </is>
      </c>
    </row>
    <row r="13" ht="32" customHeight="1">
      <c r="A13" s="4" t="inlineStr">
        <is>
          <t>STT</t>
        </is>
      </c>
      <c r="B13" s="4" t="inlineStr">
        <is>
          <t>Ngày</t>
        </is>
      </c>
      <c r="C13" s="4" t="inlineStr">
        <is>
          <t>Tờ khai</t>
        </is>
      </c>
      <c r="D13" s="4" t="inlineStr">
        <is>
          <t>Luồng tờ khai</t>
        </is>
      </c>
      <c r="E13" s="4" t="inlineStr">
        <is>
          <t>Note</t>
        </is>
      </c>
      <c r="F13" s="4" t="inlineStr">
        <is>
          <t>Số hóa đơn/PXK</t>
        </is>
      </c>
      <c r="G13" s="4" t="inlineStr">
        <is>
          <t>Phí mở tờ khai</t>
        </is>
      </c>
      <c r="H13" s="4" t="inlineStr">
        <is>
          <t>Phí kiểm hóa</t>
        </is>
      </c>
      <c r="I13" s="4" t="inlineStr">
        <is>
          <t>Phí phát sinh khác</t>
        </is>
      </c>
      <c r="J13" s="4" t="inlineStr">
        <is>
          <t>Tổng tiền</t>
        </is>
      </c>
      <c r="K13" s="4" t="inlineStr">
        <is>
          <t>Thu chi hộ</t>
        </is>
      </c>
      <c r="L13" s="4" t="inlineStr">
        <is>
          <t>Số hóa đơn/GNT</t>
        </is>
      </c>
    </row>
    <row r="14" ht="22" customHeight="1">
      <c r="A14" s="5" t="n">
        <v>1</v>
      </c>
      <c r="B14" s="6" t="n">
        <v>46083</v>
      </c>
      <c r="C14" s="7" t="inlineStr">
        <is>
          <t>308284049050</t>
        </is>
      </c>
      <c r="D14" s="5" t="inlineStr"/>
      <c r="E14" s="7" t="inlineStr">
        <is>
          <t>DOM</t>
        </is>
      </c>
      <c r="F14" s="7" t="inlineStr"/>
      <c r="G14" s="8" t="n">
        <v>800000</v>
      </c>
      <c r="H14" s="8" t="n"/>
      <c r="I14" s="8" t="n"/>
      <c r="J14" s="8">
        <f>IFERROR(G14,0)+IFERROR(H14,0)+IFERROR(I14,0)</f>
        <v/>
      </c>
      <c r="K14" s="8" t="n"/>
      <c r="L14" s="7" t="inlineStr"/>
    </row>
    <row r="15" ht="22" customHeight="1">
      <c r="A15" s="5" t="n">
        <v>2</v>
      </c>
      <c r="B15" s="6" t="n">
        <v>46084</v>
      </c>
      <c r="C15" s="7" t="inlineStr">
        <is>
          <t>308288227940</t>
        </is>
      </c>
      <c r="D15" s="5" t="inlineStr"/>
      <c r="E15" s="7" t="inlineStr">
        <is>
          <t>DOM</t>
        </is>
      </c>
      <c r="F15" s="7" t="inlineStr"/>
      <c r="G15" s="8" t="n">
        <v>800000</v>
      </c>
      <c r="H15" s="8" t="n"/>
      <c r="I15" s="8" t="n"/>
      <c r="J15" s="8">
        <f>IFERROR(G15,0)+IFERROR(H15,0)+IFERROR(I15,0)</f>
        <v/>
      </c>
      <c r="K15" s="8" t="n"/>
      <c r="L15" s="7" t="inlineStr"/>
    </row>
    <row r="16" ht="22" customHeight="1">
      <c r="A16" s="5" t="n">
        <v>3</v>
      </c>
      <c r="B16" s="6" t="n">
        <v>46087</v>
      </c>
      <c r="C16" s="7" t="inlineStr">
        <is>
          <t>308301907120</t>
        </is>
      </c>
      <c r="D16" s="5" t="inlineStr"/>
      <c r="E16" s="7" t="inlineStr">
        <is>
          <t>DOM</t>
        </is>
      </c>
      <c r="F16" s="7" t="inlineStr"/>
      <c r="G16" s="8" t="n">
        <v>800000</v>
      </c>
      <c r="H16" s="8" t="n"/>
      <c r="I16" s="8" t="n"/>
      <c r="J16" s="8">
        <f>IFERROR(G16,0)+IFERROR(H16,0)+IFERROR(I16,0)</f>
        <v/>
      </c>
      <c r="K16" s="8" t="n"/>
      <c r="L16" s="7" t="inlineStr"/>
    </row>
    <row r="17" ht="22" customHeight="1">
      <c r="A17" s="5" t="n">
        <v>4</v>
      </c>
      <c r="B17" s="6" t="n">
        <v>46090</v>
      </c>
      <c r="C17" s="7" t="inlineStr">
        <is>
          <t>308305971320</t>
        </is>
      </c>
      <c r="D17" s="5" t="inlineStr"/>
      <c r="E17" s="7" t="inlineStr">
        <is>
          <t>DOM</t>
        </is>
      </c>
      <c r="F17" s="7" t="inlineStr"/>
      <c r="G17" s="8" t="n">
        <v>800000</v>
      </c>
      <c r="H17" s="8" t="n"/>
      <c r="I17" s="8" t="n"/>
      <c r="J17" s="8">
        <f>IFERROR(G17,0)+IFERROR(H17,0)+IFERROR(I17,0)</f>
        <v/>
      </c>
      <c r="K17" s="8" t="n"/>
      <c r="L17" s="7" t="inlineStr"/>
    </row>
    <row r="18" ht="22" customHeight="1">
      <c r="A18" s="5" t="n">
        <v>5</v>
      </c>
      <c r="B18" s="6" t="n">
        <v>46092</v>
      </c>
      <c r="C18" s="7" t="inlineStr">
        <is>
          <t>308314211460</t>
        </is>
      </c>
      <c r="D18" s="5" t="inlineStr"/>
      <c r="E18" s="7" t="inlineStr">
        <is>
          <t>DOM</t>
        </is>
      </c>
      <c r="F18" s="7" t="inlineStr"/>
      <c r="G18" s="8" t="n">
        <v>800000</v>
      </c>
      <c r="H18" s="8" t="n"/>
      <c r="I18" s="8" t="n"/>
      <c r="J18" s="8">
        <f>IFERROR(G18,0)+IFERROR(H18,0)+IFERROR(I18,0)</f>
        <v/>
      </c>
      <c r="K18" s="8" t="n"/>
      <c r="L18" s="7" t="inlineStr"/>
    </row>
    <row r="19" ht="22" customHeight="1">
      <c r="A19" s="5" t="n">
        <v>6</v>
      </c>
      <c r="B19" s="6" t="n">
        <v>46095</v>
      </c>
      <c r="C19" s="7" t="inlineStr">
        <is>
          <t>308327046660</t>
        </is>
      </c>
      <c r="D19" s="5" t="inlineStr"/>
      <c r="E19" s="7" t="inlineStr">
        <is>
          <t>DOM</t>
        </is>
      </c>
      <c r="F19" s="7" t="inlineStr"/>
      <c r="G19" s="8" t="n">
        <v>800000</v>
      </c>
      <c r="H19" s="8" t="n"/>
      <c r="I19" s="8" t="n"/>
      <c r="J19" s="8">
        <f>IFERROR(G19,0)+IFERROR(H19,0)+IFERROR(I19,0)</f>
        <v/>
      </c>
      <c r="K19" s="8" t="n"/>
      <c r="L19" s="7" t="inlineStr"/>
    </row>
    <row r="20" ht="22" customHeight="1">
      <c r="A20" s="5" t="n">
        <v>7</v>
      </c>
      <c r="B20" s="6" t="n">
        <v>46097</v>
      </c>
      <c r="C20" s="7" t="inlineStr">
        <is>
          <t>308329885200</t>
        </is>
      </c>
      <c r="D20" s="5" t="inlineStr"/>
      <c r="E20" s="7" t="inlineStr">
        <is>
          <t>DOM</t>
        </is>
      </c>
      <c r="F20" s="7" t="inlineStr"/>
      <c r="G20" s="8" t="n">
        <v>800000</v>
      </c>
      <c r="H20" s="8" t="n"/>
      <c r="I20" s="8" t="n"/>
      <c r="J20" s="8">
        <f>IFERROR(G20,0)+IFERROR(H20,0)+IFERROR(I20,0)</f>
        <v/>
      </c>
      <c r="K20" s="8" t="n"/>
      <c r="L20" s="7" t="inlineStr"/>
    </row>
    <row r="21" ht="22" customHeight="1">
      <c r="A21" s="5" t="n">
        <v>8</v>
      </c>
      <c r="B21" s="6" t="n">
        <v>46098</v>
      </c>
      <c r="C21" s="7" t="inlineStr">
        <is>
          <t>308333230500</t>
        </is>
      </c>
      <c r="D21" s="5" t="inlineStr"/>
      <c r="E21" s="7" t="inlineStr">
        <is>
          <t>DOM</t>
        </is>
      </c>
      <c r="F21" s="7" t="inlineStr"/>
      <c r="G21" s="8" t="n">
        <v>800000</v>
      </c>
      <c r="H21" s="8" t="n"/>
      <c r="I21" s="8" t="n"/>
      <c r="J21" s="8">
        <f>IFERROR(G21,0)+IFERROR(H21,0)+IFERROR(I21,0)</f>
        <v/>
      </c>
      <c r="K21" s="8" t="n"/>
      <c r="L21" s="7" t="inlineStr"/>
    </row>
    <row r="22" ht="22" customHeight="1">
      <c r="A22" s="5" t="n">
        <v>9</v>
      </c>
      <c r="B22" s="6" t="n">
        <v>46098</v>
      </c>
      <c r="C22" s="7" t="inlineStr">
        <is>
          <t>308335276450</t>
        </is>
      </c>
      <c r="D22" s="5" t="inlineStr"/>
      <c r="E22" s="7" t="inlineStr">
        <is>
          <t>DOM</t>
        </is>
      </c>
      <c r="F22" s="7" t="inlineStr"/>
      <c r="G22" s="8" t="n">
        <v>800000</v>
      </c>
      <c r="H22" s="8" t="n"/>
      <c r="I22" s="8" t="n"/>
      <c r="J22" s="8">
        <f>IFERROR(G22,0)+IFERROR(H22,0)+IFERROR(I22,0)</f>
        <v/>
      </c>
      <c r="K22" s="8" t="n"/>
      <c r="L22" s="7" t="inlineStr"/>
    </row>
    <row r="23" ht="22" customHeight="1">
      <c r="A23" s="5" t="n">
        <v>10</v>
      </c>
      <c r="B23" s="6" t="n">
        <v>46101</v>
      </c>
      <c r="C23" s="7" t="inlineStr">
        <is>
          <t>308346095760</t>
        </is>
      </c>
      <c r="D23" s="5" t="inlineStr"/>
      <c r="E23" s="7" t="inlineStr">
        <is>
          <t>DOM</t>
        </is>
      </c>
      <c r="F23" s="7" t="inlineStr"/>
      <c r="G23" s="8" t="n">
        <v>800000</v>
      </c>
      <c r="H23" s="8" t="n"/>
      <c r="I23" s="8" t="n"/>
      <c r="J23" s="8">
        <f>IFERROR(G23,0)+IFERROR(H23,0)+IFERROR(I23,0)</f>
        <v/>
      </c>
      <c r="K23" s="8" t="n"/>
      <c r="L23" s="7" t="inlineStr"/>
    </row>
    <row r="24" ht="22" customHeight="1">
      <c r="A24" s="5" t="n">
        <v>11</v>
      </c>
      <c r="B24" s="6" t="n">
        <v>46104</v>
      </c>
      <c r="C24" s="7" t="inlineStr">
        <is>
          <t>308353362240</t>
        </is>
      </c>
      <c r="D24" s="5" t="inlineStr"/>
      <c r="E24" s="7" t="inlineStr">
        <is>
          <t>DOM</t>
        </is>
      </c>
      <c r="F24" s="7" t="inlineStr"/>
      <c r="G24" s="8" t="n">
        <v>800000</v>
      </c>
      <c r="H24" s="8" t="n"/>
      <c r="I24" s="8" t="n"/>
      <c r="J24" s="8">
        <f>IFERROR(G24,0)+IFERROR(H24,0)+IFERROR(I24,0)</f>
        <v/>
      </c>
      <c r="K24" s="8" t="n"/>
      <c r="L24" s="7" t="inlineStr"/>
    </row>
    <row r="25" ht="22" customHeight="1">
      <c r="A25" s="5" t="n">
        <v>12</v>
      </c>
      <c r="B25" s="6" t="n">
        <v>46105</v>
      </c>
      <c r="C25" s="7" t="inlineStr">
        <is>
          <t>308359799110</t>
        </is>
      </c>
      <c r="D25" s="5" t="inlineStr"/>
      <c r="E25" s="7" t="inlineStr">
        <is>
          <t>DOM</t>
        </is>
      </c>
      <c r="F25" s="7" t="inlineStr"/>
      <c r="G25" s="8" t="n"/>
      <c r="H25" s="8" t="n"/>
      <c r="I25" s="8" t="n">
        <v>6000000</v>
      </c>
      <c r="J25" s="8">
        <f>IFERROR(G25,0)+IFERROR(H25,0)+IFERROR(I25,0)</f>
        <v/>
      </c>
      <c r="K25" s="8" t="n"/>
      <c r="L25" s="7" t="inlineStr"/>
    </row>
    <row r="26">
      <c r="A26" s="9" t="inlineStr">
        <is>
          <t>Tổng</t>
        </is>
      </c>
      <c r="B26" s="10" t="n"/>
      <c r="C26" s="10" t="n"/>
      <c r="D26" s="10" t="n"/>
      <c r="E26" s="10" t="n"/>
      <c r="F26" s="10" t="n"/>
      <c r="G26" s="11">
        <f>SUM(G14:G25)</f>
        <v/>
      </c>
      <c r="H26" s="11">
        <f>SUM(H14:H25)</f>
        <v/>
      </c>
      <c r="I26" s="11">
        <f>SUM(I14:I25)</f>
        <v/>
      </c>
      <c r="J26" s="11">
        <f>SUM(J14:J25)</f>
        <v/>
      </c>
      <c r="K26" s="11">
        <f>SUM(K14:K25)</f>
        <v/>
      </c>
      <c r="L26" s="10" t="n"/>
    </row>
    <row r="27">
      <c r="A27" s="9" t="inlineStr">
        <is>
          <t>VAT (8%)</t>
        </is>
      </c>
      <c r="B27" s="10" t="n"/>
      <c r="C27" s="10" t="n"/>
      <c r="D27" s="10" t="n"/>
      <c r="E27" s="10" t="n"/>
      <c r="F27" s="10" t="n"/>
      <c r="G27" s="10" t="n"/>
      <c r="H27" s="10" t="n"/>
      <c r="I27" s="10" t="n"/>
      <c r="J27" s="11">
        <f>J26*0.08</f>
        <v/>
      </c>
      <c r="K27" s="10" t="n"/>
      <c r="L27" s="10" t="n"/>
    </row>
    <row r="28">
      <c r="A28" s="9" t="inlineStr">
        <is>
          <t>Tổng cộng (sau VAT)</t>
        </is>
      </c>
      <c r="B28" s="10" t="n"/>
      <c r="C28" s="10" t="n"/>
      <c r="D28" s="10" t="n"/>
      <c r="E28" s="10" t="n"/>
      <c r="F28" s="10" t="n"/>
      <c r="G28" s="10" t="n"/>
      <c r="H28" s="10" t="n"/>
      <c r="I28" s="10" t="n"/>
      <c r="J28" s="11">
        <f>J26+J27</f>
        <v/>
      </c>
      <c r="K28" s="11">
        <f>K26</f>
        <v/>
      </c>
      <c r="L28" s="10" t="n"/>
    </row>
    <row r="30">
      <c r="A30" s="12" t="inlineStr">
        <is>
          <t>Tổng số tiền bằng chữ: Mười năm triệu chín trăm tám mươi bốn nghìn đồng chẵn./.</t>
        </is>
      </c>
    </row>
    <row r="33">
      <c r="A33" s="12" t="inlineStr">
        <is>
          <t>Thông tin chuyển khoản:</t>
        </is>
      </c>
    </row>
    <row r="34">
      <c r="A34" s="13" t="inlineStr">
        <is>
          <t>Tài khoản: Công Ty TNHH Thương mại và dịch vụ 5P Việt Nam</t>
        </is>
      </c>
    </row>
    <row r="35">
      <c r="A35" s="13" t="inlineStr">
        <is>
          <t>Số tài khoản: 346886</t>
        </is>
      </c>
    </row>
    <row r="36">
      <c r="A36" s="14" t="inlineStr">
        <is>
          <t>Tại Ngân hàng: Ngân hàng TMCP Kỹ thương Việt Nam - Techcombank Chi nhánh Đông Đô</t>
        </is>
      </c>
    </row>
  </sheetData>
  <mergeCells count="5">
    <mergeCell ref="A28:F28"/>
    <mergeCell ref="A36:F36"/>
    <mergeCell ref="A27:F27"/>
    <mergeCell ref="A6:L6"/>
    <mergeCell ref="A26:F26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2026-04-21T08:31:18Z</dcterms:created>
  <dcterms:modified xmlns:dcterms="http://purl.org/dc/terms/" xmlns:xsi="http://www.w3.org/2001/XMLSchema-instance" xsi:type="dcterms:W3CDTF">2026-04-21T08:31:18Z</dcterms:modified>
</cp:coreProperties>
</file>