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sz val="11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5.2" customWidth="1" min="1" max="1"/>
    <col width="12" customWidth="1" min="2" max="2"/>
    <col width="14" customWidth="1" min="3" max="3"/>
    <col width="18" customWidth="1" min="4" max="4"/>
    <col width="18" customWidth="1" min="5" max="5"/>
    <col width="13" customWidth="1" min="6" max="6"/>
    <col width="8.5" customWidth="1" min="7" max="7"/>
    <col width="8.5" customWidth="1" min="8" max="8"/>
    <col width="12" customWidth="1" min="9" max="9"/>
    <col width="14" customWidth="1" min="10" max="10"/>
    <col width="14" customWidth="1" min="11" max="11"/>
    <col width="14" customWidth="1" min="12" max="12"/>
    <col width="15" customWidth="1" min="13" max="13"/>
    <col width="22" customWidth="1" min="14" max="14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DỊCH VỤ VẬN CHUYỂN ĐƯỜNG BỘ THÁNG 03/2026</t>
        </is>
      </c>
    </row>
    <row r="8">
      <c r="A8" s="3" t="inlineStr">
        <is>
          <t>Họ tên người mua hàng (Customer): CÔNG TY TNHH K+K FASHION</t>
        </is>
      </c>
    </row>
    <row r="9">
      <c r="A9" s="3" t="inlineStr">
        <is>
          <t>Địa chỉ (Address): Cụm Công nghiệp Ngọc Hồi, Thanh Trì, Hà Nội</t>
        </is>
      </c>
    </row>
    <row r="10">
      <c r="A10" s="3" t="inlineStr">
        <is>
          <t>Mã số thuế (Tax- code): 0500577571</t>
        </is>
      </c>
    </row>
    <row r="13" ht="32" customHeight="1">
      <c r="A13" s="4" t="inlineStr">
        <is>
          <t>STT</t>
        </is>
      </c>
      <c r="B13" s="4" t="inlineStr">
        <is>
          <t>Ngày dịch vụ</t>
        </is>
      </c>
      <c r="C13" s="4" t="inlineStr">
        <is>
          <t>Type</t>
        </is>
      </c>
      <c r="D13" s="4" t="inlineStr">
        <is>
          <t>Điểm lấy hàng</t>
        </is>
      </c>
      <c r="E13" s="4" t="inlineStr">
        <is>
          <t>Điểm trả hàng</t>
        </is>
      </c>
      <c r="F13" s="4" t="inlineStr">
        <is>
          <t>Biển số</t>
        </is>
      </c>
      <c r="G13" s="4" t="inlineStr">
        <is>
          <t>Số lượng</t>
        </is>
      </c>
      <c r="H13" s="4" t="inlineStr">
        <is>
          <t>Đơn vị</t>
        </is>
      </c>
      <c r="I13" s="4" t="inlineStr">
        <is>
          <t>Đơn giá</t>
        </is>
      </c>
      <c r="J13" s="4" t="inlineStr">
        <is>
          <t>Thành tiền</t>
        </is>
      </c>
      <c r="K13" s="4" t="inlineStr">
        <is>
          <t>Phụ phí xăng dầu</t>
        </is>
      </c>
      <c r="L13" s="4" t="inlineStr">
        <is>
          <t>Tổng</t>
        </is>
      </c>
      <c r="M13" s="4" t="inlineStr">
        <is>
          <t>JOB</t>
        </is>
      </c>
      <c r="N13" s="4" t="inlineStr">
        <is>
          <t>Ghi chú</t>
        </is>
      </c>
    </row>
    <row r="14" ht="22" customHeight="1">
      <c r="A14" s="5" t="n">
        <v>1</v>
      </c>
      <c r="B14" s="6" t="n">
        <v>46101</v>
      </c>
      <c r="C14" s="5" t="inlineStr">
        <is>
          <t>DOM</t>
        </is>
      </c>
      <c r="D14" s="5" t="inlineStr">
        <is>
          <t>Trảng Bàng, Tây Ninh</t>
        </is>
      </c>
      <c r="E14" s="5" t="inlineStr">
        <is>
          <t>Chương Mỹ Hà Nội</t>
        </is>
      </c>
      <c r="F14" s="5" t="inlineStr"/>
      <c r="G14" s="7" t="n">
        <v>16</v>
      </c>
      <c r="H14" s="5" t="inlineStr">
        <is>
          <t>Consol</t>
        </is>
      </c>
      <c r="I14" s="8" t="n">
        <v>17600000</v>
      </c>
      <c r="J14" s="8">
        <f>I14*G14</f>
        <v/>
      </c>
      <c r="K14" s="8" t="n"/>
      <c r="L14" s="8">
        <f>IFERROR(J14,0)+IFERROR(K14,0)+0</f>
        <v/>
      </c>
      <c r="M14" s="5" t="inlineStr">
        <is>
          <t>TRK-65-2503-001</t>
        </is>
      </c>
      <c r="N14" s="5" t="inlineStr">
        <is>
          <t>LG4/2304034</t>
        </is>
      </c>
    </row>
    <row r="15" ht="22" customHeight="1">
      <c r="A15" s="5" t="n">
        <v>2</v>
      </c>
      <c r="B15" s="6" t="n">
        <v>46106</v>
      </c>
      <c r="C15" s="5" t="inlineStr">
        <is>
          <t>DOM</t>
        </is>
      </c>
      <c r="D15" s="5" t="inlineStr">
        <is>
          <t>Trảng Bàng, Tây Ninh</t>
        </is>
      </c>
      <c r="E15" s="5" t="inlineStr">
        <is>
          <t>Chương Mỹ Hà Nội</t>
        </is>
      </c>
      <c r="F15" s="5" t="inlineStr"/>
      <c r="G15" s="7" t="n">
        <v>6</v>
      </c>
      <c r="H15" s="5" t="inlineStr">
        <is>
          <t>Consol</t>
        </is>
      </c>
      <c r="I15" s="8" t="n">
        <v>6600000</v>
      </c>
      <c r="J15" s="8">
        <f>I15*G15</f>
        <v/>
      </c>
      <c r="K15" s="8" t="n"/>
      <c r="L15" s="8">
        <f>IFERROR(J15,0)+IFERROR(K15,0)+0</f>
        <v/>
      </c>
      <c r="M15" s="5" t="inlineStr">
        <is>
          <t>TRK-65-2503-002</t>
        </is>
      </c>
      <c r="N15" s="5" t="inlineStr">
        <is>
          <t>LG4/2304034</t>
        </is>
      </c>
    </row>
    <row r="16" ht="22" customHeight="1">
      <c r="A16" s="5" t="n">
        <v>3</v>
      </c>
      <c r="B16" s="6" t="n">
        <v>46106</v>
      </c>
      <c r="C16" s="5" t="inlineStr">
        <is>
          <t>DOM</t>
        </is>
      </c>
      <c r="D16" s="5" t="inlineStr">
        <is>
          <t>Trảng Bàng, Tây Ninh</t>
        </is>
      </c>
      <c r="E16" s="5" t="inlineStr">
        <is>
          <t>Chương Mỹ Hà Nội</t>
        </is>
      </c>
      <c r="F16" s="5" t="inlineStr"/>
      <c r="G16" s="7" t="n">
        <v>3.5</v>
      </c>
      <c r="H16" s="5" t="inlineStr">
        <is>
          <t>Consol</t>
        </is>
      </c>
      <c r="I16" s="8" t="n">
        <v>3850000</v>
      </c>
      <c r="J16" s="8">
        <f>I16*G16</f>
        <v/>
      </c>
      <c r="K16" s="8" t="n"/>
      <c r="L16" s="8">
        <f>IFERROR(J16,0)+IFERROR(K16,0)+0</f>
        <v/>
      </c>
      <c r="M16" s="5" t="inlineStr">
        <is>
          <t>TRK-65-2503-003</t>
        </is>
      </c>
      <c r="N16" s="5" t="inlineStr">
        <is>
          <t>LG4/2304034</t>
        </is>
      </c>
    </row>
    <row r="17">
      <c r="A17" s="9" t="inlineStr">
        <is>
          <t>Tổng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1">
        <f>SUM(L14:L16)</f>
        <v/>
      </c>
    </row>
    <row r="18">
      <c r="A18" s="9" t="inlineStr">
        <is>
          <t>VAT (8%)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1">
        <f>L17*0.08</f>
        <v/>
      </c>
    </row>
    <row r="19">
      <c r="A19" s="9" t="inlineStr">
        <is>
          <t>Tổng cộng (sau VAT)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1">
        <f>L17+L18</f>
        <v/>
      </c>
    </row>
    <row r="21">
      <c r="A21" s="12" t="inlineStr">
        <is>
          <t>Tổng số tiền bằng chữ: Ba trăm sáu mươi mốt triệu bốn trăm bốn mươi chín nghìn đồng chẵn./.</t>
        </is>
      </c>
    </row>
    <row r="24">
      <c r="A24" s="12" t="inlineStr">
        <is>
          <t>Thông tin chuyển khoản:</t>
        </is>
      </c>
    </row>
    <row r="25">
      <c r="A25" s="13" t="inlineStr">
        <is>
          <t>Tài khoản: Công Ty TNHH Thương mại và dịch vụ 5P Việt Nam</t>
        </is>
      </c>
    </row>
    <row r="26">
      <c r="A26" s="13" t="inlineStr">
        <is>
          <t>Số tài khoản: 346886</t>
        </is>
      </c>
    </row>
    <row r="27">
      <c r="A27" s="14" t="inlineStr">
        <is>
          <t>Tại Ngân hàng: Ngân hàng TMCP Kỹ thương Việt Nam - Techcombank Chi nhánh Đông Đô</t>
        </is>
      </c>
    </row>
  </sheetData>
  <mergeCells count="5">
    <mergeCell ref="A18:K18"/>
    <mergeCell ref="A6:N6"/>
    <mergeCell ref="A27:F27"/>
    <mergeCell ref="A19:K19"/>
    <mergeCell ref="A17:K1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2026-04-20T15:06:49Z</dcterms:created>
  <dcterms:modified xsi:type="dcterms:W3CDTF">2026-04-20T15:06:49Z</dcterms:modified>
</cp:coreProperties>
</file>