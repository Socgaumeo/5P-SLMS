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Ấ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(* #,##0_);_(* (#,##0);_(* &quot;-&quot;_);_(@_)"/>
    <numFmt numFmtId="166" formatCode="d/m/yyyy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8"/>
    </font>
    <font>
      <name val="Times New Roman"/>
      <b val="1"/>
      <i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1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cols>
    <col width="5.4" customWidth="1" min="1" max="1"/>
    <col width="16" customWidth="1" min="2" max="2"/>
    <col width="21.2" customWidth="1" min="3" max="3"/>
    <col width="32.5" customWidth="1" min="4" max="4"/>
    <col width="13.7" customWidth="1" min="5" max="5"/>
    <col width="27.7" customWidth="1" min="6" max="6"/>
    <col width="11.4" customWidth="1" min="7" max="7"/>
    <col width="13.5" customWidth="1" min="8" max="8"/>
    <col width="13.4" customWidth="1" min="9" max="9"/>
    <col width="12.8" customWidth="1" min="10" max="10"/>
    <col width="16.2" customWidth="1" min="11" max="11"/>
    <col width="14" customWidth="1" min="12" max="12"/>
    <col width="15.4" customWidth="1" min="13" max="13"/>
    <col width="11" customWidth="1" min="14" max="14"/>
    <col width="11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1" customWidth="1" min="23" max="23"/>
    <col width="12.1" customWidth="1" min="24" max="24"/>
    <col width="11.5" customWidth="1" min="25" max="25"/>
    <col width="11.5" customWidth="1" min="26" max="26"/>
    <col width="14.2" customWidth="1" min="27" max="27"/>
    <col width="14.2" customWidth="1" min="28" max="28"/>
    <col width="18.5" customWidth="1" min="29" max="29"/>
    <col width="16.7" customWidth="1" min="30" max="30"/>
    <col width="17.6" customWidth="1" min="31" max="31"/>
    <col width="16.9" customWidth="1" min="32" max="3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22" customHeight="1">
      <c r="A5" s="2" t="inlineStr">
        <is>
          <t>BẢNG KÊ CHI TIẾT DỊCH VỤ HÀNG XUẤT THÁNG 03 NĂM 2026</t>
        </is>
      </c>
    </row>
    <row r="7">
      <c r="B7" s="1" t="inlineStr">
        <is>
          <t>KÍNH GỬI :  Công ty TNHH Dainese Việt Nam</t>
        </is>
      </c>
    </row>
    <row r="8">
      <c r="B8" s="1" t="inlineStr">
        <is>
          <t>Địa chỉ : Lô CN13 Lô CN18 Khu Công nghiệp Yên Bình, Phường Vạn Xuân, Tỉnh Thái Nguyên, Việt Nam</t>
        </is>
      </c>
    </row>
    <row r="9">
      <c r="B9" s="1" t="inlineStr">
        <is>
          <t xml:space="preserve">Attn:   </t>
        </is>
      </c>
    </row>
    <row r="10" ht="16" customHeight="1"/>
    <row r="11" ht="30" customHeight="1">
      <c r="A11" s="3" t="inlineStr">
        <is>
          <t>Thông tin chung</t>
        </is>
      </c>
      <c r="B11" s="4" t="n"/>
      <c r="C11" s="4" t="n"/>
      <c r="D11" s="4" t="n"/>
      <c r="E11" s="4" t="n"/>
      <c r="F11" s="4" t="n"/>
      <c r="G11" s="4" t="n"/>
      <c r="H11" s="3" t="inlineStr">
        <is>
          <t>Khối lượng</t>
        </is>
      </c>
      <c r="I11" s="4" t="n"/>
      <c r="J11" s="3" t="inlineStr">
        <is>
          <t>Luồng</t>
        </is>
      </c>
      <c r="K11" s="3" t="inlineStr">
        <is>
          <t xml:space="preserve">Phí dịch vụ làm hàng  ( VND) 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3" t="inlineStr">
        <is>
          <t>Phí trả hộ</t>
        </is>
      </c>
      <c r="Z11" s="4" t="n"/>
      <c r="AA11" s="4" t="n"/>
      <c r="AB11" s="4" t="n"/>
      <c r="AC11" s="3" t="inlineStr">
        <is>
          <t xml:space="preserve">Tổng tiền phải trả </t>
        </is>
      </c>
      <c r="AD11" s="3" t="inlineStr">
        <is>
          <t>Thu chi hộ</t>
        </is>
      </c>
      <c r="AE11" s="4" t="n"/>
      <c r="AF11" s="3" t="inlineStr">
        <is>
          <t>Số hóa đơn của forwarder</t>
        </is>
      </c>
    </row>
    <row r="12" ht="36" customHeight="1">
      <c r="A12" s="5" t="inlineStr">
        <is>
          <t>No.</t>
        </is>
      </c>
      <c r="B12" s="5" t="inlineStr">
        <is>
          <t>Tờ khai</t>
        </is>
      </c>
      <c r="C12" s="5" t="inlineStr">
        <is>
          <t>Hóa đơn thương mại</t>
        </is>
      </c>
      <c r="D12" s="5" t="inlineStr">
        <is>
          <t>Note</t>
        </is>
      </c>
      <c r="E12" s="5" t="inlineStr">
        <is>
          <t>Ngày tờ khai</t>
        </is>
      </c>
      <c r="F12" s="5" t="inlineStr">
        <is>
          <t>Tuyến đường</t>
        </is>
      </c>
      <c r="G12" s="5" t="inlineStr">
        <is>
          <t>Loại hình</t>
        </is>
      </c>
      <c r="H12" s="5" t="inlineStr">
        <is>
          <t>Kgs</t>
        </is>
      </c>
      <c r="I12" s="5" t="inlineStr">
        <is>
          <t>No. Cont</t>
        </is>
      </c>
      <c r="J12" s="4" t="n"/>
      <c r="K12" s="5" t="inlineStr">
        <is>
          <t>Phí mở tờ khai hải quan</t>
        </is>
      </c>
      <c r="L12" s="5" t="inlineStr">
        <is>
          <t>Phí kiểm hóa</t>
        </is>
      </c>
      <c r="M12" s="5" t="inlineStr">
        <is>
          <t>Phí vận chuyển</t>
        </is>
      </c>
      <c r="N12" s="5" t="inlineStr">
        <is>
          <t>Phí làm hàng</t>
        </is>
      </c>
      <c r="O12" s="5" t="inlineStr">
        <is>
          <t>Phí phát sinh khác</t>
        </is>
      </c>
      <c r="P12" s="5" t="inlineStr">
        <is>
          <t>Phí phục vụ kiểm hóa tại cảng</t>
        </is>
      </c>
      <c r="Q12" s="5" t="inlineStr">
        <is>
          <t>Phí đầu nước ngoài</t>
        </is>
      </c>
      <c r="R12" s="5" t="inlineStr">
        <is>
          <t>Cước vận tải quốc tế</t>
        </is>
      </c>
      <c r="S12" s="5" t="inlineStr">
        <is>
          <t>Phí xếp dỡ (THC)</t>
        </is>
      </c>
      <c r="T12" s="5" t="inlineStr">
        <is>
          <t>Phí gom hàng lẻ (CFS)/
CIC/ LSS</t>
        </is>
      </c>
      <c r="U12" s="5" t="inlineStr">
        <is>
          <t>Phí lấy lệnh  (DO)</t>
        </is>
      </c>
      <c r="V12" s="5" t="inlineStr">
        <is>
          <t>Phí  đại lý,</t>
        </is>
      </c>
      <c r="W12" s="5" t="inlineStr">
        <is>
          <t>Phụ phí xăng dầu</t>
        </is>
      </c>
      <c r="X12" s="5" t="inlineStr">
        <is>
          <t>Tổng</t>
        </is>
      </c>
      <c r="Y12" s="5" t="inlineStr">
        <is>
          <t>Local charge</t>
        </is>
      </c>
      <c r="Z12" s="5" t="inlineStr">
        <is>
          <t>CSHT, thuế</t>
        </is>
      </c>
      <c r="AA12" s="5" t="inlineStr">
        <is>
          <t>Lưu kho giao nhận bốc xếp, nâng hạ</t>
        </is>
      </c>
      <c r="AB12" s="5" t="inlineStr">
        <is>
          <t>Tổng phí trả hộ</t>
        </is>
      </c>
      <c r="AC12" s="4" t="n"/>
      <c r="AD12" s="5" t="inlineStr">
        <is>
          <t>HĐ TCH</t>
        </is>
      </c>
      <c r="AE12" s="5" t="inlineStr">
        <is>
          <t>Total</t>
        </is>
      </c>
      <c r="AF12" s="4" t="n"/>
    </row>
    <row r="13" ht="33" customHeight="1">
      <c r="A13" s="6" t="n">
        <v>1</v>
      </c>
      <c r="B13" s="6" t="inlineStr">
        <is>
          <t>308300645240</t>
        </is>
      </c>
      <c r="C13" s="6" t="inlineStr">
        <is>
          <t>PXK#00000003</t>
        </is>
      </c>
      <c r="D13" s="6" t="inlineStr">
        <is>
          <t>CôNG TY TNHH IN ấN WANMEI VIệT NAM</t>
        </is>
      </c>
      <c r="E13" s="7" t="n">
        <v>46087</v>
      </c>
      <c r="F13" s="6" t="inlineStr"/>
      <c r="G13" s="6" t="inlineStr"/>
      <c r="H13" s="6" t="inlineStr"/>
      <c r="I13" s="6" t="inlineStr"/>
      <c r="J13" s="6" t="inlineStr">
        <is>
          <t>Luồng xanh</t>
        </is>
      </c>
      <c r="K13" s="8" t="n">
        <v>550000</v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9">
        <f>M13*0.145</f>
        <v/>
      </c>
      <c r="X13" s="8">
        <f>SUM(K13:W13)</f>
        <v/>
      </c>
      <c r="Y13" s="8" t="n"/>
      <c r="Z13" s="8" t="n"/>
      <c r="AA13" s="8" t="n"/>
      <c r="AB13" s="8">
        <f>SUM(Y13:AA13)</f>
        <v/>
      </c>
      <c r="AC13" s="8">
        <f>+X13+AB13</f>
        <v/>
      </c>
      <c r="AD13" s="6" t="inlineStr"/>
      <c r="AE13" s="6" t="inlineStr"/>
      <c r="AF13" s="6" t="inlineStr"/>
    </row>
    <row r="14" ht="33" customHeight="1">
      <c r="A14" s="6" t="n">
        <v>2</v>
      </c>
      <c r="B14" s="6" t="inlineStr">
        <is>
          <t>308313526420</t>
        </is>
      </c>
      <c r="C14" s="6" t="inlineStr">
        <is>
          <t>PXK#00000001</t>
        </is>
      </c>
      <c r="D14" s="6" t="inlineStr">
        <is>
          <t>CôNG TY Cổ PHầN TRITEXCO VIệT NAM</t>
        </is>
      </c>
      <c r="E14" s="7" t="n">
        <v>46092</v>
      </c>
      <c r="F14" s="6" t="inlineStr"/>
      <c r="G14" s="6" t="inlineStr"/>
      <c r="H14" s="6" t="inlineStr"/>
      <c r="I14" s="6" t="inlineStr"/>
      <c r="J14" s="6" t="inlineStr">
        <is>
          <t>Luồng xanh</t>
        </is>
      </c>
      <c r="K14" s="8" t="n">
        <v>550000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>
        <f>M14*0.145</f>
        <v/>
      </c>
      <c r="X14" s="8">
        <f>SUM(K14:W14)</f>
        <v/>
      </c>
      <c r="Y14" s="8" t="n"/>
      <c r="Z14" s="8" t="n"/>
      <c r="AA14" s="8" t="n"/>
      <c r="AB14" s="8">
        <f>SUM(Y14:AA14)</f>
        <v/>
      </c>
      <c r="AC14" s="8">
        <f>+X14+AB14</f>
        <v/>
      </c>
      <c r="AD14" s="6" t="inlineStr"/>
      <c r="AE14" s="6" t="inlineStr"/>
      <c r="AF14" s="6" t="inlineStr"/>
    </row>
    <row r="15" ht="33" customHeight="1">
      <c r="A15" s="6" t="n">
        <v>3</v>
      </c>
      <c r="B15" s="6" t="inlineStr">
        <is>
          <t>308318547260</t>
        </is>
      </c>
      <c r="C15" s="6" t="inlineStr">
        <is>
          <t>PXK#00000004</t>
        </is>
      </c>
      <c r="D15" s="6" t="inlineStr">
        <is>
          <t>CôNG TY TNHH IN ấN WANMEI VIệT NAM</t>
        </is>
      </c>
      <c r="E15" s="7" t="n">
        <v>46093</v>
      </c>
      <c r="F15" s="6" t="inlineStr"/>
      <c r="G15" s="6" t="inlineStr"/>
      <c r="H15" s="6" t="inlineStr"/>
      <c r="I15" s="6" t="inlineStr"/>
      <c r="J15" s="6" t="inlineStr">
        <is>
          <t>Luồng xanh</t>
        </is>
      </c>
      <c r="K15" s="8" t="n">
        <v>550000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>
        <f>M15*0.145</f>
        <v/>
      </c>
      <c r="X15" s="8">
        <f>SUM(K15:W15)</f>
        <v/>
      </c>
      <c r="Y15" s="8" t="n"/>
      <c r="Z15" s="8" t="n"/>
      <c r="AA15" s="8" t="n"/>
      <c r="AB15" s="8">
        <f>SUM(Y15:AA15)</f>
        <v/>
      </c>
      <c r="AC15" s="8">
        <f>+X15+AB15</f>
        <v/>
      </c>
      <c r="AD15" s="6" t="inlineStr"/>
      <c r="AE15" s="6" t="inlineStr"/>
      <c r="AF15" s="6" t="inlineStr"/>
    </row>
    <row r="16" ht="33" customHeight="1">
      <c r="A16" s="6" t="n">
        <v>4</v>
      </c>
      <c r="B16" s="6" t="inlineStr">
        <is>
          <t>308347191850</t>
        </is>
      </c>
      <c r="C16" s="6" t="inlineStr">
        <is>
          <t>PXK#10</t>
        </is>
      </c>
      <c r="D16" s="6" t="inlineStr">
        <is>
          <t>Công Ty Cổ Phần In Tân Việt</t>
        </is>
      </c>
      <c r="E16" s="7" t="n">
        <v>46101</v>
      </c>
      <c r="F16" s="6" t="inlineStr"/>
      <c r="G16" s="6" t="inlineStr"/>
      <c r="H16" s="6" t="inlineStr"/>
      <c r="I16" s="6" t="inlineStr"/>
      <c r="J16" s="6" t="inlineStr">
        <is>
          <t>Luồng xanh</t>
        </is>
      </c>
      <c r="K16" s="8" t="n">
        <v>550000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>
        <f>M16*0.145</f>
        <v/>
      </c>
      <c r="X16" s="8">
        <f>SUM(K16:W16)</f>
        <v/>
      </c>
      <c r="Y16" s="8" t="n"/>
      <c r="Z16" s="8" t="n"/>
      <c r="AA16" s="8" t="n"/>
      <c r="AB16" s="8">
        <f>SUM(Y16:AA16)</f>
        <v/>
      </c>
      <c r="AC16" s="8">
        <f>+X16+AB16</f>
        <v/>
      </c>
      <c r="AD16" s="6" t="inlineStr"/>
      <c r="AE16" s="6" t="inlineStr"/>
      <c r="AF16" s="6" t="inlineStr"/>
    </row>
    <row r="17" ht="33" customHeight="1">
      <c r="A17" s="6" t="n">
        <v>5</v>
      </c>
      <c r="B17" s="6" t="inlineStr">
        <is>
          <t>308348143960</t>
        </is>
      </c>
      <c r="C17" s="6" t="inlineStr">
        <is>
          <t>PXK#00000005</t>
        </is>
      </c>
      <c r="D17" s="6" t="inlineStr">
        <is>
          <t>CÔNG TY TNHH IN ấN BAO Bì LộC HằNG PHáT</t>
        </is>
      </c>
      <c r="E17" s="7" t="n">
        <v>46101</v>
      </c>
      <c r="F17" s="6" t="inlineStr"/>
      <c r="G17" s="6" t="inlineStr"/>
      <c r="H17" s="6" t="inlineStr"/>
      <c r="I17" s="6" t="inlineStr"/>
      <c r="J17" s="6" t="inlineStr">
        <is>
          <t>Luồng xanh</t>
        </is>
      </c>
      <c r="K17" s="8" t="n">
        <v>550000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>
        <f>M17*0.145</f>
        <v/>
      </c>
      <c r="X17" s="8">
        <f>SUM(K17:W17)</f>
        <v/>
      </c>
      <c r="Y17" s="8" t="n"/>
      <c r="Z17" s="8" t="n"/>
      <c r="AA17" s="8" t="n"/>
      <c r="AB17" s="8">
        <f>SUM(Y17:AA17)</f>
        <v/>
      </c>
      <c r="AC17" s="8">
        <f>+X17+AB17</f>
        <v/>
      </c>
      <c r="AD17" s="6" t="inlineStr"/>
      <c r="AE17" s="6" t="inlineStr"/>
      <c r="AF17" s="6" t="inlineStr"/>
    </row>
    <row r="18" ht="33" customHeight="1">
      <c r="A18" s="6" t="n">
        <v>6</v>
      </c>
      <c r="B18" s="6" t="inlineStr">
        <is>
          <t>308362918750</t>
        </is>
      </c>
      <c r="C18" s="6" t="inlineStr">
        <is>
          <t>PXK#0000004</t>
        </is>
      </c>
      <c r="D18" s="6" t="inlineStr">
        <is>
          <t>CôNG TY TNHH DRYTEK VIệT NAM</t>
        </is>
      </c>
      <c r="E18" s="7" t="n">
        <v>46106</v>
      </c>
      <c r="F18" s="6" t="inlineStr"/>
      <c r="G18" s="6" t="inlineStr"/>
      <c r="H18" s="6" t="inlineStr"/>
      <c r="I18" s="6" t="inlineStr"/>
      <c r="J18" s="6" t="inlineStr">
        <is>
          <t>Luồng vàng</t>
        </is>
      </c>
      <c r="K18" s="8" t="n">
        <v>550000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>
        <f>M18*0.145</f>
        <v/>
      </c>
      <c r="X18" s="8">
        <f>SUM(K18:W18)</f>
        <v/>
      </c>
      <c r="Y18" s="8" t="n"/>
      <c r="Z18" s="8" t="n"/>
      <c r="AA18" s="8" t="n"/>
      <c r="AB18" s="8">
        <f>SUM(Y18:AA18)</f>
        <v/>
      </c>
      <c r="AC18" s="8">
        <f>+X18+AB18</f>
        <v/>
      </c>
      <c r="AD18" s="6" t="inlineStr"/>
      <c r="AE18" s="6" t="inlineStr"/>
      <c r="AF18" s="6" t="inlineStr"/>
    </row>
    <row r="19">
      <c r="A19" s="10" t="inlineStr">
        <is>
          <t>Tổng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K19" s="12">
        <f>SUM(K13:K18)</f>
        <v/>
      </c>
      <c r="L19" s="12">
        <f>SUM(L13:L18)</f>
        <v/>
      </c>
      <c r="M19" s="12">
        <f>SUM(M13:M18)</f>
        <v/>
      </c>
      <c r="N19" s="12">
        <f>SUM(N13:N18)</f>
        <v/>
      </c>
      <c r="O19" s="12">
        <f>SUM(O13:O18)</f>
        <v/>
      </c>
      <c r="P19" s="12">
        <f>SUM(P13:P18)</f>
        <v/>
      </c>
      <c r="Q19" s="12">
        <f>SUM(Q13:Q18)</f>
        <v/>
      </c>
      <c r="R19" s="12">
        <f>SUM(R13:R18)</f>
        <v/>
      </c>
      <c r="S19" s="12">
        <f>SUM(S13:S18)</f>
        <v/>
      </c>
      <c r="T19" s="12">
        <f>SUM(T13:T18)</f>
        <v/>
      </c>
      <c r="U19" s="12">
        <f>SUM(U13:U18)</f>
        <v/>
      </c>
      <c r="V19" s="12">
        <f>SUM(V13:V18)</f>
        <v/>
      </c>
      <c r="W19" s="12">
        <f>SUM(W13:W18)</f>
        <v/>
      </c>
      <c r="X19" s="12">
        <f>SUM(X13:X18)</f>
        <v/>
      </c>
      <c r="Y19" s="12">
        <f>SUM(Y13:Y18)</f>
        <v/>
      </c>
      <c r="Z19" s="12">
        <f>SUM(Z13:Z18)</f>
        <v/>
      </c>
      <c r="AA19" s="12">
        <f>SUM(AA13:AA18)</f>
        <v/>
      </c>
      <c r="AB19" s="12">
        <f>SUM(AB13:AB18)</f>
        <v/>
      </c>
      <c r="AC19" s="12">
        <f>SUM(AC13:AC18)</f>
        <v/>
      </c>
    </row>
    <row r="20">
      <c r="A20" s="10" t="inlineStr">
        <is>
          <t>VAT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</row>
    <row r="21">
      <c r="A21" s="10" t="inlineStr">
        <is>
          <t>Tổng cộng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K21" s="12">
        <f>SUM(K19:K20)</f>
        <v/>
      </c>
      <c r="L21" s="12">
        <f>SUM(L19:L20)</f>
        <v/>
      </c>
      <c r="M21" s="12">
        <f>SUM(M19:M20)</f>
        <v/>
      </c>
      <c r="N21" s="12">
        <f>SUM(N19:N20)</f>
        <v/>
      </c>
      <c r="O21" s="12">
        <f>SUM(O19:O20)</f>
        <v/>
      </c>
      <c r="P21" s="12">
        <f>SUM(P19:P20)</f>
        <v/>
      </c>
      <c r="Q21" s="12">
        <f>SUM(Q19:Q20)</f>
        <v/>
      </c>
      <c r="R21" s="12">
        <f>SUM(R19:R20)</f>
        <v/>
      </c>
      <c r="S21" s="12">
        <f>SUM(S19:S20)</f>
        <v/>
      </c>
      <c r="T21" s="12">
        <f>SUM(T19:T20)</f>
        <v/>
      </c>
      <c r="U21" s="12">
        <f>SUM(U19:U20)</f>
        <v/>
      </c>
      <c r="V21" s="12">
        <f>SUM(V19:V20)</f>
        <v/>
      </c>
      <c r="W21" s="12">
        <f>SUM(W19:W20)</f>
        <v/>
      </c>
      <c r="X21" s="12">
        <f>SUM(X19:X20)</f>
        <v/>
      </c>
      <c r="Y21" s="12">
        <f>SUM(Y19:Y20)</f>
        <v/>
      </c>
      <c r="Z21" s="12">
        <f>SUM(Z19:Z20)</f>
        <v/>
      </c>
      <c r="AA21" s="12">
        <f>SUM(AA19:AA20)</f>
        <v/>
      </c>
      <c r="AB21" s="12">
        <f>SUM(AB19:AB20)</f>
        <v/>
      </c>
      <c r="AC21" s="12">
        <f>SUM(AC19:AC20)</f>
        <v/>
      </c>
    </row>
    <row r="30">
      <c r="A30" s="13" t="inlineStr">
        <is>
          <t>Thông tin chuyển khoản:</t>
        </is>
      </c>
    </row>
    <row r="31">
      <c r="A31" s="14" t="inlineStr">
        <is>
          <t>Tài khoản: Công Ty TNHH Thương mại và dịch vụ 5P Việt Nam</t>
        </is>
      </c>
    </row>
    <row r="32">
      <c r="A32" s="14" t="inlineStr">
        <is>
          <t>Số tài khoản: 346886</t>
        </is>
      </c>
    </row>
    <row r="33">
      <c r="A33" s="15" t="inlineStr">
        <is>
          <t>Tại Ngân hàng: Ngân hàng TMCP Kỹ thương Việt Nam - Techcombank Chi nhánh Đông Đô</t>
        </is>
      </c>
    </row>
  </sheetData>
  <mergeCells count="13">
    <mergeCell ref="A33:F33"/>
    <mergeCell ref="H11:I11"/>
    <mergeCell ref="Y11:AB11"/>
    <mergeCell ref="A19:I19"/>
    <mergeCell ref="A5:AF5"/>
    <mergeCell ref="A20:I20"/>
    <mergeCell ref="A21:I21"/>
    <mergeCell ref="K11:X11"/>
    <mergeCell ref="AF11:AF12"/>
    <mergeCell ref="AD11:AE11"/>
    <mergeCell ref="A11:G11"/>
    <mergeCell ref="AC11:AC12"/>
    <mergeCell ref="J11:J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2026-04-19T14:26:10Z</dcterms:created>
  <dcterms:modified xsi:type="dcterms:W3CDTF">2026-04-19T14:26:10Z</dcterms:modified>
</cp:coreProperties>
</file>