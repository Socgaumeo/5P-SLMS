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, c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2"/>
    </font>
    <font>
      <name val="Times New Roman"/>
      <b val="1"/>
      <sz val="14"/>
    </font>
    <font>
      <name val="Times New Roman"/>
      <b val="1"/>
      <i val="1"/>
      <sz val="14"/>
    </font>
    <font>
      <name val="Times New Roman"/>
      <sz val="11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cols>
    <col width="5.4" customWidth="1" min="1" max="1"/>
    <col width="18.7" customWidth="1" min="2" max="2"/>
    <col width="28" customWidth="1" min="3" max="3"/>
    <col width="63.9" customWidth="1" min="4" max="4"/>
    <col width="19.9" customWidth="1" min="5" max="5"/>
    <col width="36.5" customWidth="1" min="6" max="6"/>
    <col width="11.4" customWidth="1" min="7" max="7"/>
    <col width="13.5" customWidth="1" min="8" max="8"/>
    <col width="13.4" customWidth="1" min="9" max="9"/>
    <col width="17.1" customWidth="1" min="10" max="10"/>
    <col width="16.2" customWidth="1" min="11" max="11"/>
    <col width="14" customWidth="1" min="12" max="12"/>
    <col width="17.4" customWidth="1" min="13" max="13"/>
    <col width="11" customWidth="1" min="14" max="14"/>
    <col width="14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8.1" customWidth="1" min="23" max="23"/>
    <col width="11.5" customWidth="1" min="24" max="24"/>
    <col width="11.5" customWidth="1" min="25" max="25"/>
    <col width="14.2" customWidth="1" min="26" max="26"/>
    <col width="14.2" customWidth="1" min="27" max="27"/>
    <col width="18.5" customWidth="1" min="28" max="28"/>
    <col width="15.9" customWidth="1" min="29" max="29"/>
    <col width="14.5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52" customHeight="1">
      <c r="A5" s="2" t="inlineStr">
        <is>
          <t>BẢNG KÊ CHI TIẾT HÀNG XUẤT NHẬP TẠI CHỖ VÀ HÀNG NHẬP CPN THÁNG 03 NĂM 2026</t>
        </is>
      </c>
    </row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18" customHeight="1"/>
    <row r="11" ht="38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Luồng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4" t="inlineStr">
        <is>
          <t>Phí trả hộ</t>
        </is>
      </c>
      <c r="Y11" s="5" t="n"/>
      <c r="Z11" s="5" t="n"/>
      <c r="AA11" s="5" t="n"/>
      <c r="AB11" s="4" t="inlineStr">
        <is>
          <t xml:space="preserve">Tổng tiền phải trả </t>
        </is>
      </c>
      <c r="AC11" s="4" t="inlineStr">
        <is>
          <t>Số hóa đơn trả hộ</t>
        </is>
      </c>
      <c r="AD11" s="4" t="inlineStr">
        <is>
          <t>Số hóa đơn của forwarder</t>
        </is>
      </c>
    </row>
    <row r="12" ht="41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phục vụ kiểm hóa tại cảng</t>
        </is>
      </c>
      <c r="Q12" s="6" t="inlineStr">
        <is>
          <t>Phí đầu nước ngoài</t>
        </is>
      </c>
      <c r="R12" s="6" t="inlineStr">
        <is>
          <t>Cước vận tải quốc tế</t>
        </is>
      </c>
      <c r="S12" s="6" t="inlineStr">
        <is>
          <t>Phí xếp dỡ (THC)</t>
        </is>
      </c>
      <c r="T12" s="6" t="inlineStr">
        <is>
          <t>Phí gom hàng lẻ (CFS)/
CIC/ LSS</t>
        </is>
      </c>
      <c r="U12" s="6" t="inlineStr">
        <is>
          <t>Phí lấy lệnh  (DO)</t>
        </is>
      </c>
      <c r="V12" s="6" t="inlineStr">
        <is>
          <t>Phí  đại lý,</t>
        </is>
      </c>
      <c r="W12" s="6" t="inlineStr">
        <is>
          <t>Tổng</t>
        </is>
      </c>
      <c r="X12" s="6" t="inlineStr">
        <is>
          <t>Local charge</t>
        </is>
      </c>
      <c r="Y12" s="6" t="inlineStr">
        <is>
          <t>Lệ phí</t>
        </is>
      </c>
      <c r="Z12" s="6" t="inlineStr">
        <is>
          <t>Vé bãi kiểm hóa</t>
        </is>
      </c>
      <c r="AA12" s="6" t="inlineStr">
        <is>
          <t>Tổng phí trả hộ</t>
        </is>
      </c>
      <c r="AB12" s="5" t="n"/>
      <c r="AC12" s="5" t="n"/>
      <c r="AD12" s="5" t="n"/>
    </row>
    <row r="13" ht="52" customHeight="1">
      <c r="A13" s="7" t="n">
        <v>1</v>
      </c>
      <c r="B13" s="7" t="inlineStr">
        <is>
          <t>108012749460</t>
        </is>
      </c>
      <c r="C13" s="7" t="inlineStr">
        <is>
          <t>00000020</t>
        </is>
      </c>
      <c r="D13" s="7" t="inlineStr">
        <is>
          <t>CONG TY TNHH GLOREX VINA</t>
        </is>
      </c>
      <c r="E13" s="8" t="n">
        <v>46083</v>
      </c>
      <c r="F13" s="7" t="inlineStr"/>
      <c r="G13" s="7" t="inlineStr"/>
      <c r="H13" s="7" t="inlineStr"/>
      <c r="I13" s="7" t="inlineStr"/>
      <c r="J13" s="7" t="inlineStr">
        <is>
          <t>Luồng vàng</t>
        </is>
      </c>
      <c r="K13" s="9" t="n">
        <v>550000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>
        <f>SUM(K13:U13)</f>
        <v/>
      </c>
      <c r="X13" s="9" t="n"/>
      <c r="Y13" s="9" t="n"/>
      <c r="Z13" s="9" t="n"/>
      <c r="AA13" s="9">
        <f>SUM(X13:Z13)</f>
        <v/>
      </c>
      <c r="AB13" s="9">
        <f>+W13+AA13</f>
        <v/>
      </c>
      <c r="AC13" s="7" t="inlineStr"/>
      <c r="AD13" s="7" t="inlineStr"/>
    </row>
    <row r="14" ht="52" customHeight="1">
      <c r="A14" s="7" t="n">
        <v>2</v>
      </c>
      <c r="B14" s="7" t="inlineStr">
        <is>
          <t>108013267240</t>
        </is>
      </c>
      <c r="C14" s="7" t="inlineStr">
        <is>
          <t>VAT#00000144</t>
        </is>
      </c>
      <c r="D14" s="7" t="inlineStr">
        <is>
          <t>CONG TY CP SUNPLA</t>
        </is>
      </c>
      <c r="E14" s="8" t="n">
        <v>46083</v>
      </c>
      <c r="F14" s="7" t="inlineStr"/>
      <c r="G14" s="7" t="inlineStr"/>
      <c r="H14" s="7" t="n">
        <v>9</v>
      </c>
      <c r="I14" s="7" t="inlineStr"/>
      <c r="J14" s="7" t="inlineStr">
        <is>
          <t>Luồng xanh</t>
        </is>
      </c>
      <c r="K14" s="9" t="n">
        <v>550000</v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>
        <f>SUM(K14:U14)</f>
        <v/>
      </c>
      <c r="X14" s="9" t="n"/>
      <c r="Y14" s="9" t="n"/>
      <c r="Z14" s="9" t="n"/>
      <c r="AA14" s="9">
        <f>SUM(X14:Z14)</f>
        <v/>
      </c>
      <c r="AB14" s="9">
        <f>+W14+AA14</f>
        <v/>
      </c>
      <c r="AC14" s="7" t="inlineStr"/>
      <c r="AD14" s="7" t="inlineStr"/>
    </row>
    <row r="15" ht="52" customHeight="1">
      <c r="A15" s="7" t="n">
        <v>3</v>
      </c>
      <c r="B15" s="7" t="inlineStr">
        <is>
          <t>108013170750</t>
        </is>
      </c>
      <c r="C15" s="7" t="inlineStr">
        <is>
          <t>VAT#27</t>
        </is>
      </c>
      <c r="D15" s="7" t="inlineStr">
        <is>
          <t>CONG TY TNHH JTM VIET NAM</t>
        </is>
      </c>
      <c r="E15" s="8" t="n">
        <v>46083</v>
      </c>
      <c r="F15" s="7" t="inlineStr"/>
      <c r="G15" s="7" t="inlineStr"/>
      <c r="H15" s="7" t="inlineStr"/>
      <c r="I15" s="7" t="inlineStr"/>
      <c r="J15" s="7" t="inlineStr">
        <is>
          <t>Luồng xanh</t>
        </is>
      </c>
      <c r="K15" s="9" t="n">
        <v>550000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>
        <f>SUM(K15:U15)</f>
        <v/>
      </c>
      <c r="X15" s="9" t="n"/>
      <c r="Y15" s="9" t="n"/>
      <c r="Z15" s="9" t="n"/>
      <c r="AA15" s="9">
        <f>SUM(X15:Z15)</f>
        <v/>
      </c>
      <c r="AB15" s="9">
        <f>+W15+AA15</f>
        <v/>
      </c>
      <c r="AC15" s="7" t="inlineStr"/>
      <c r="AD15" s="7" t="inlineStr"/>
    </row>
    <row r="16" ht="52" customHeight="1">
      <c r="A16" s="7" t="n">
        <v>4</v>
      </c>
      <c r="B16" s="7" t="inlineStr">
        <is>
          <t>308282183330</t>
        </is>
      </c>
      <c r="C16" s="7" t="inlineStr">
        <is>
          <t>VEI2600056</t>
        </is>
      </c>
      <c r="D16" s="7" t="inlineStr">
        <is>
          <t>DAINESE S.P.A.</t>
        </is>
      </c>
      <c r="E16" s="8" t="n">
        <v>46083</v>
      </c>
      <c r="F16" s="7" t="inlineStr">
        <is>
          <t>10T CD - 15H 02397-   KCN Yên Bình, TN- Hải Phòng</t>
        </is>
      </c>
      <c r="G16" s="7" t="inlineStr">
        <is>
          <t>DOM</t>
        </is>
      </c>
      <c r="H16" s="7" t="inlineStr"/>
      <c r="I16" s="7" t="inlineStr"/>
      <c r="J16" s="7" t="inlineStr">
        <is>
          <t>Luồng xanh</t>
        </is>
      </c>
      <c r="K16" s="9" t="n">
        <v>600000</v>
      </c>
      <c r="L16" s="9" t="n"/>
      <c r="M16" s="9" t="n">
        <v>4830000</v>
      </c>
      <c r="N16" s="9" t="n"/>
      <c r="O16" s="9" t="n">
        <v>700350</v>
      </c>
      <c r="P16" s="9" t="n"/>
      <c r="Q16" s="9" t="n"/>
      <c r="R16" s="9" t="n"/>
      <c r="S16" s="9" t="n"/>
      <c r="T16" s="9" t="n"/>
      <c r="U16" s="9" t="n"/>
      <c r="V16" s="9" t="n"/>
      <c r="W16" s="9">
        <f>SUM(K16:U16)</f>
        <v/>
      </c>
      <c r="X16" s="9" t="n"/>
      <c r="Y16" s="9" t="n"/>
      <c r="Z16" s="9" t="n"/>
      <c r="AA16" s="9">
        <f>SUM(X16:Z16)</f>
        <v/>
      </c>
      <c r="AB16" s="9">
        <f>+W16+AA16</f>
        <v/>
      </c>
      <c r="AC16" s="7" t="inlineStr"/>
      <c r="AD16" s="7" t="inlineStr"/>
    </row>
    <row r="17" ht="52" customHeight="1">
      <c r="A17" s="7" t="n">
        <v>5</v>
      </c>
      <c r="B17" s="7" t="inlineStr">
        <is>
          <t>108017206030</t>
        </is>
      </c>
      <c r="C17" s="7" t="inlineStr">
        <is>
          <t>00000156</t>
        </is>
      </c>
      <c r="D17" s="7" t="inlineStr">
        <is>
          <t>CONG TY TNHH ATP PACIFIC VIET NAM</t>
        </is>
      </c>
      <c r="E17" s="8" t="n">
        <v>46084</v>
      </c>
      <c r="F17" s="7" t="inlineStr"/>
      <c r="G17" s="7" t="inlineStr"/>
      <c r="H17" s="7" t="inlineStr"/>
      <c r="I17" s="7" t="inlineStr"/>
      <c r="J17" s="7" t="inlineStr">
        <is>
          <t>Luồng vàng</t>
        </is>
      </c>
      <c r="K17" s="9" t="n">
        <v>550000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>
        <f>SUM(K17:U17)</f>
        <v/>
      </c>
      <c r="X17" s="9" t="n"/>
      <c r="Y17" s="9" t="n"/>
      <c r="Z17" s="9" t="n"/>
      <c r="AA17" s="9">
        <f>SUM(X17:Z17)</f>
        <v/>
      </c>
      <c r="AB17" s="9">
        <f>+W17+AA17</f>
        <v/>
      </c>
      <c r="AC17" s="7" t="inlineStr"/>
      <c r="AD17" s="7" t="inlineStr"/>
    </row>
    <row r="18" ht="52" customHeight="1">
      <c r="A18" s="7" t="n">
        <v>6</v>
      </c>
      <c r="B18" s="7" t="inlineStr">
        <is>
          <t>108017119600</t>
        </is>
      </c>
      <c r="C18" s="7" t="inlineStr">
        <is>
          <t>00000017</t>
        </is>
      </c>
      <c r="D18" s="7" t="inlineStr">
        <is>
          <t>CONG TY TNHH IN AN BAO BI LOC HANG PHAT</t>
        </is>
      </c>
      <c r="E18" s="8" t="n">
        <v>46084</v>
      </c>
      <c r="F18" s="7" t="inlineStr"/>
      <c r="G18" s="7" t="inlineStr"/>
      <c r="H18" s="7" t="inlineStr"/>
      <c r="I18" s="7" t="inlineStr"/>
      <c r="J18" s="7" t="inlineStr">
        <is>
          <t>Luồng xanh</t>
        </is>
      </c>
      <c r="K18" s="9" t="n">
        <v>550000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>
        <f>SUM(K18:U18)</f>
        <v/>
      </c>
      <c r="X18" s="9" t="n"/>
      <c r="Y18" s="9" t="n"/>
      <c r="Z18" s="9" t="n"/>
      <c r="AA18" s="9">
        <f>SUM(X18:Z18)</f>
        <v/>
      </c>
      <c r="AB18" s="9">
        <f>+W18+AA18</f>
        <v/>
      </c>
      <c r="AC18" s="7" t="inlineStr"/>
      <c r="AD18" s="7" t="inlineStr"/>
    </row>
    <row r="19" ht="52" customHeight="1">
      <c r="A19" s="7" t="n">
        <v>7</v>
      </c>
      <c r="B19" s="7" t="inlineStr">
        <is>
          <t>108016915530</t>
        </is>
      </c>
      <c r="C19" s="7" t="inlineStr">
        <is>
          <t>00000312</t>
        </is>
      </c>
      <c r="D19" s="7" t="inlineStr">
        <is>
          <t>CONG TY TNHH IDWORLD</t>
        </is>
      </c>
      <c r="E19" s="8" t="n">
        <v>46084</v>
      </c>
      <c r="F19" s="7" t="inlineStr"/>
      <c r="G19" s="7" t="inlineStr"/>
      <c r="H19" s="7" t="inlineStr"/>
      <c r="I19" s="7" t="inlineStr"/>
      <c r="J19" s="7" t="inlineStr">
        <is>
          <t>Luồng vàng</t>
        </is>
      </c>
      <c r="K19" s="9" t="n">
        <v>550000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>
        <f>SUM(K19:U19)</f>
        <v/>
      </c>
      <c r="X19" s="9" t="n"/>
      <c r="Y19" s="9" t="n"/>
      <c r="Z19" s="9" t="n"/>
      <c r="AA19" s="9">
        <f>SUM(X19:Z19)</f>
        <v/>
      </c>
      <c r="AB19" s="9">
        <f>+W19+AA19</f>
        <v/>
      </c>
      <c r="AC19" s="7" t="inlineStr"/>
      <c r="AD19" s="7" t="inlineStr"/>
    </row>
    <row r="20" ht="52" customHeight="1">
      <c r="A20" s="7" t="n">
        <v>8</v>
      </c>
      <c r="B20" s="7" t="inlineStr">
        <is>
          <t>308286658210</t>
        </is>
      </c>
      <c r="C20" s="7" t="inlineStr">
        <is>
          <t>VEI2600058</t>
        </is>
      </c>
      <c r="D20" s="7" t="inlineStr">
        <is>
          <t>DAINESE S.P.A.</t>
        </is>
      </c>
      <c r="E20" s="8" t="n">
        <v>46084</v>
      </c>
      <c r="F20" s="7" t="inlineStr">
        <is>
          <t>10T CD - 15H 02376-  KCN Yên Bình, TN- Hải Phòng</t>
        </is>
      </c>
      <c r="G20" s="7" t="inlineStr">
        <is>
          <t>DOM</t>
        </is>
      </c>
      <c r="H20" s="7" t="inlineStr"/>
      <c r="I20" s="7" t="inlineStr"/>
      <c r="J20" s="7" t="inlineStr">
        <is>
          <t>Luồng xanh</t>
        </is>
      </c>
      <c r="K20" s="9" t="n">
        <v>600000</v>
      </c>
      <c r="L20" s="9" t="n"/>
      <c r="M20" s="9" t="n">
        <v>4830000</v>
      </c>
      <c r="N20" s="9" t="n"/>
      <c r="O20" s="9" t="n">
        <v>700350</v>
      </c>
      <c r="P20" s="9" t="n"/>
      <c r="Q20" s="9" t="n"/>
      <c r="R20" s="9" t="n"/>
      <c r="S20" s="9" t="n"/>
      <c r="T20" s="9" t="n"/>
      <c r="U20" s="9" t="n"/>
      <c r="V20" s="9" t="n"/>
      <c r="W20" s="9">
        <f>SUM(K20:U20)</f>
        <v/>
      </c>
      <c r="X20" s="9" t="n"/>
      <c r="Y20" s="9" t="n"/>
      <c r="Z20" s="9" t="n"/>
      <c r="AA20" s="9">
        <f>SUM(X20:Z20)</f>
        <v/>
      </c>
      <c r="AB20" s="9">
        <f>+W20+AA20</f>
        <v/>
      </c>
      <c r="AC20" s="7" t="inlineStr"/>
      <c r="AD20" s="7" t="inlineStr"/>
    </row>
    <row r="21" ht="52" customHeight="1">
      <c r="A21" s="7" t="n">
        <v>9</v>
      </c>
      <c r="B21" s="7" t="inlineStr">
        <is>
          <t>108018781840</t>
        </is>
      </c>
      <c r="C21" s="7" t="inlineStr">
        <is>
          <t>00000045</t>
        </is>
      </c>
      <c r="D21" s="7" t="inlineStr">
        <is>
          <t>CONG TY CO PHAN GNL VIET NAM</t>
        </is>
      </c>
      <c r="E21" s="8" t="n">
        <v>46085</v>
      </c>
      <c r="F21" s="7" t="inlineStr"/>
      <c r="G21" s="7" t="inlineStr"/>
      <c r="H21" s="7" t="n">
        <v>4556</v>
      </c>
      <c r="I21" s="7" t="inlineStr"/>
      <c r="J21" s="7" t="inlineStr">
        <is>
          <t>Luồng xanh</t>
        </is>
      </c>
      <c r="K21" s="9" t="n">
        <v>550000</v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>
        <f>SUM(K21:U21)</f>
        <v/>
      </c>
      <c r="X21" s="9" t="n"/>
      <c r="Y21" s="9" t="n"/>
      <c r="Z21" s="9" t="n"/>
      <c r="AA21" s="9">
        <f>SUM(X21:Z21)</f>
        <v/>
      </c>
      <c r="AB21" s="9">
        <f>+W21+AA21</f>
        <v/>
      </c>
      <c r="AC21" s="7" t="inlineStr"/>
      <c r="AD21" s="7" t="inlineStr"/>
    </row>
    <row r="22" ht="52" customHeight="1">
      <c r="A22" s="7" t="n">
        <v>10</v>
      </c>
      <c r="B22" s="7" t="inlineStr">
        <is>
          <t>308290631520</t>
        </is>
      </c>
      <c r="C22" s="7" t="inlineStr">
        <is>
          <t>DAVN-000555</t>
        </is>
      </c>
      <c r="D22" s="7" t="inlineStr">
        <is>
          <t>DAINESE S.P.A.</t>
        </is>
      </c>
      <c r="E22" s="8" t="n">
        <v>46085</v>
      </c>
      <c r="F22" s="7" t="inlineStr"/>
      <c r="G22" s="7" t="inlineStr">
        <is>
          <t>CPN</t>
        </is>
      </c>
      <c r="H22" s="7" t="inlineStr"/>
      <c r="I22" s="7" t="inlineStr"/>
      <c r="J22" s="7" t="inlineStr">
        <is>
          <t>Luồng xanh</t>
        </is>
      </c>
      <c r="K22" s="9" t="n">
        <v>600000</v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>
        <f>SUM(K22:U22)</f>
        <v/>
      </c>
      <c r="X22" s="9" t="n"/>
      <c r="Y22" s="9" t="n"/>
      <c r="Z22" s="9" t="n"/>
      <c r="AA22" s="9">
        <f>SUM(X22:Z22)</f>
        <v/>
      </c>
      <c r="AB22" s="9">
        <f>+W22+AA22</f>
        <v/>
      </c>
      <c r="AC22" s="7" t="inlineStr"/>
      <c r="AD22" s="7" t="inlineStr"/>
    </row>
    <row r="23" ht="52" customHeight="1">
      <c r="A23" s="7" t="n">
        <v>11</v>
      </c>
      <c r="B23" s="7" t="inlineStr">
        <is>
          <t>308290630560</t>
        </is>
      </c>
      <c r="C23" s="7" t="inlineStr">
        <is>
          <t>VEI2600059</t>
        </is>
      </c>
      <c r="D23" s="7" t="inlineStr">
        <is>
          <t>DAINESE S.P.A.</t>
        </is>
      </c>
      <c r="E23" s="8" t="n">
        <v>46085</v>
      </c>
      <c r="F23" s="7" t="inlineStr">
        <is>
          <t>10T CD -15C 32086-   KCN Yên Bình, TN- Hải Phòng</t>
        </is>
      </c>
      <c r="G23" s="7" t="inlineStr">
        <is>
          <t>DOM</t>
        </is>
      </c>
      <c r="H23" s="7" t="inlineStr"/>
      <c r="I23" s="7" t="inlineStr"/>
      <c r="J23" s="7" t="inlineStr">
        <is>
          <t>Luồng xanh</t>
        </is>
      </c>
      <c r="K23" s="9" t="n">
        <v>600000</v>
      </c>
      <c r="L23" s="9" t="n"/>
      <c r="M23" s="9" t="n">
        <v>4830000</v>
      </c>
      <c r="N23" s="9" t="n"/>
      <c r="O23" s="9" t="n">
        <v>700350</v>
      </c>
      <c r="P23" s="9" t="n"/>
      <c r="Q23" s="9" t="n"/>
      <c r="R23" s="9" t="n"/>
      <c r="S23" s="9" t="n"/>
      <c r="T23" s="9" t="n"/>
      <c r="U23" s="9" t="n"/>
      <c r="V23" s="9" t="n"/>
      <c r="W23" s="9">
        <f>SUM(K23:U23)</f>
        <v/>
      </c>
      <c r="X23" s="9" t="n"/>
      <c r="Y23" s="9" t="n"/>
      <c r="Z23" s="9" t="n"/>
      <c r="AA23" s="9">
        <f>SUM(X23:Z23)</f>
        <v/>
      </c>
      <c r="AB23" s="9">
        <f>+W23+AA23</f>
        <v/>
      </c>
      <c r="AC23" s="7" t="inlineStr"/>
      <c r="AD23" s="7" t="inlineStr"/>
    </row>
    <row r="24" ht="52" customHeight="1">
      <c r="A24" s="7" t="n">
        <v>12</v>
      </c>
      <c r="B24" s="7" t="inlineStr">
        <is>
          <t>108023741230</t>
        </is>
      </c>
      <c r="C24" s="7" t="inlineStr">
        <is>
          <t>VAT#00000750</t>
        </is>
      </c>
      <c r="D24" s="7" t="inlineStr">
        <is>
          <t>CONG TY TNHH CREATIVE ENGINEERING</t>
        </is>
      </c>
      <c r="E24" s="8" t="n">
        <v>46086</v>
      </c>
      <c r="F24" s="7" t="inlineStr"/>
      <c r="G24" s="7" t="inlineStr"/>
      <c r="H24" s="7" t="inlineStr"/>
      <c r="I24" s="7" t="inlineStr"/>
      <c r="J24" s="7" t="inlineStr">
        <is>
          <t>Luồng xanh</t>
        </is>
      </c>
      <c r="K24" s="9" t="n">
        <v>550000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>
        <f>SUM(K24:U24)</f>
        <v/>
      </c>
      <c r="X24" s="9" t="n"/>
      <c r="Y24" s="9" t="n"/>
      <c r="Z24" s="9" t="n"/>
      <c r="AA24" s="9">
        <f>SUM(X24:Z24)</f>
        <v/>
      </c>
      <c r="AB24" s="9">
        <f>+W24+AA24</f>
        <v/>
      </c>
      <c r="AC24" s="7" t="inlineStr"/>
      <c r="AD24" s="7" t="inlineStr"/>
    </row>
    <row r="25" ht="52" customHeight="1">
      <c r="A25" s="7" t="n">
        <v>13</v>
      </c>
      <c r="B25" s="7" t="inlineStr">
        <is>
          <t>108023898950</t>
        </is>
      </c>
      <c r="C25" s="7" t="inlineStr">
        <is>
          <t>VAT#00000411</t>
        </is>
      </c>
      <c r="D25" s="7" t="inlineStr">
        <is>
          <t>CONG TY CO PHAN HANEL XOP NHUA</t>
        </is>
      </c>
      <c r="E25" s="8" t="n">
        <v>46086</v>
      </c>
      <c r="F25" s="7" t="inlineStr"/>
      <c r="G25" s="7" t="inlineStr"/>
      <c r="H25" s="7" t="inlineStr"/>
      <c r="I25" s="7" t="inlineStr"/>
      <c r="J25" s="7" t="inlineStr">
        <is>
          <t>Luồng xanh</t>
        </is>
      </c>
      <c r="K25" s="9" t="n">
        <v>550000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>
        <f>SUM(K25:U25)</f>
        <v/>
      </c>
      <c r="X25" s="9" t="n"/>
      <c r="Y25" s="9" t="n"/>
      <c r="Z25" s="9" t="n"/>
      <c r="AA25" s="9">
        <f>SUM(X25:Z25)</f>
        <v/>
      </c>
      <c r="AB25" s="9">
        <f>+W25+AA25</f>
        <v/>
      </c>
      <c r="AC25" s="7" t="inlineStr"/>
      <c r="AD25" s="7" t="inlineStr"/>
    </row>
    <row r="26" ht="52" customHeight="1">
      <c r="A26" s="7" t="n">
        <v>14</v>
      </c>
      <c r="B26" s="7" t="inlineStr">
        <is>
          <t>308294009460</t>
        </is>
      </c>
      <c r="C26" s="7" t="inlineStr">
        <is>
          <t>VEI2600060</t>
        </is>
      </c>
      <c r="D26" s="7" t="inlineStr">
        <is>
          <t>DAINESE S.P.A.</t>
        </is>
      </c>
      <c r="E26" s="8" t="n">
        <v>46086</v>
      </c>
      <c r="F26" s="7" t="inlineStr">
        <is>
          <t>10T CD -  15C 32086- KCN Yên Bình, TN- Hải Phòng</t>
        </is>
      </c>
      <c r="G26" s="7" t="inlineStr">
        <is>
          <t>DOM</t>
        </is>
      </c>
      <c r="H26" s="7" t="inlineStr"/>
      <c r="I26" s="7" t="inlineStr"/>
      <c r="J26" s="7" t="inlineStr">
        <is>
          <t>Luồng xanh</t>
        </is>
      </c>
      <c r="K26" s="9" t="n">
        <v>600000</v>
      </c>
      <c r="L26" s="9" t="n"/>
      <c r="M26" s="9" t="n">
        <v>4830000</v>
      </c>
      <c r="N26" s="9" t="n"/>
      <c r="O26" s="9" t="n">
        <v>700350</v>
      </c>
      <c r="P26" s="9" t="n"/>
      <c r="Q26" s="9" t="n"/>
      <c r="R26" s="9" t="n"/>
      <c r="S26" s="9" t="n"/>
      <c r="T26" s="9" t="n"/>
      <c r="U26" s="9" t="n"/>
      <c r="V26" s="9" t="n"/>
      <c r="W26" s="9">
        <f>SUM(K26:U26)</f>
        <v/>
      </c>
      <c r="X26" s="9" t="n"/>
      <c r="Y26" s="9" t="n"/>
      <c r="Z26" s="9" t="n"/>
      <c r="AA26" s="9">
        <f>SUM(X26:Z26)</f>
        <v/>
      </c>
      <c r="AB26" s="9">
        <f>+W26+AA26</f>
        <v/>
      </c>
      <c r="AC26" s="7" t="inlineStr"/>
      <c r="AD26" s="7" t="inlineStr"/>
    </row>
    <row r="27" ht="52" customHeight="1">
      <c r="A27" s="7" t="n">
        <v>15</v>
      </c>
      <c r="B27" s="7" t="inlineStr">
        <is>
          <t>308300136930</t>
        </is>
      </c>
      <c r="C27" s="7" t="inlineStr">
        <is>
          <t>DAVN-000558</t>
        </is>
      </c>
      <c r="D27" s="7" t="inlineStr">
        <is>
          <t>DAINESE S.P.A.</t>
        </is>
      </c>
      <c r="E27" s="8" t="n">
        <v>46087</v>
      </c>
      <c r="F27" s="7" t="inlineStr"/>
      <c r="G27" s="7" t="inlineStr">
        <is>
          <t>CPN</t>
        </is>
      </c>
      <c r="H27" s="7" t="inlineStr"/>
      <c r="I27" s="7" t="inlineStr"/>
      <c r="J27" s="7" t="inlineStr">
        <is>
          <t>Luồng xanh</t>
        </is>
      </c>
      <c r="K27" s="9" t="n">
        <v>600000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>
        <f>SUM(K27:U27)</f>
        <v/>
      </c>
      <c r="X27" s="9" t="n"/>
      <c r="Y27" s="9" t="n"/>
      <c r="Z27" s="9" t="n"/>
      <c r="AA27" s="9">
        <f>SUM(X27:Z27)</f>
        <v/>
      </c>
      <c r="AB27" s="9">
        <f>+W27+AA27</f>
        <v/>
      </c>
      <c r="AC27" s="7" t="inlineStr"/>
      <c r="AD27" s="7" t="inlineStr"/>
    </row>
    <row r="28" ht="52" customHeight="1">
      <c r="A28" s="7" t="n">
        <v>16</v>
      </c>
      <c r="B28" s="7" t="inlineStr">
        <is>
          <t>108032847310</t>
        </is>
      </c>
      <c r="C28" s="7" t="inlineStr">
        <is>
          <t>VAT#00000022</t>
        </is>
      </c>
      <c r="D28" s="7" t="inlineStr">
        <is>
          <t>CôNG TY TNHH IN ấN WANMEI VIệT NAM</t>
        </is>
      </c>
      <c r="E28" s="8" t="n">
        <v>46090</v>
      </c>
      <c r="F28" s="7" t="inlineStr"/>
      <c r="G28" s="7" t="inlineStr"/>
      <c r="H28" s="7" t="inlineStr"/>
      <c r="I28" s="7" t="inlineStr"/>
      <c r="J28" s="7" t="inlineStr">
        <is>
          <t>Luồng xanh</t>
        </is>
      </c>
      <c r="K28" s="9" t="n">
        <v>550000</v>
      </c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>
        <f>SUM(K28:U28)</f>
        <v/>
      </c>
      <c r="X28" s="9" t="n"/>
      <c r="Y28" s="9" t="n"/>
      <c r="Z28" s="9" t="n"/>
      <c r="AA28" s="9">
        <f>SUM(X28:Z28)</f>
        <v/>
      </c>
      <c r="AB28" s="9">
        <f>+W28+AA28</f>
        <v/>
      </c>
      <c r="AC28" s="7" t="inlineStr"/>
      <c r="AD28" s="7" t="inlineStr"/>
    </row>
    <row r="29" ht="52" customHeight="1">
      <c r="A29" s="7" t="n">
        <v>17</v>
      </c>
      <c r="B29" s="7" t="inlineStr">
        <is>
          <t>308305008120</t>
        </is>
      </c>
      <c r="C29" s="7" t="inlineStr">
        <is>
          <t>VEI2600066</t>
        </is>
      </c>
      <c r="D29" s="7" t="inlineStr">
        <is>
          <t>DAINESE S.P.A.</t>
        </is>
      </c>
      <c r="E29" s="8" t="n">
        <v>46090</v>
      </c>
      <c r="F29" s="7" t="inlineStr">
        <is>
          <t>10T CD - 15H 02376-  KCN Yên Bình, TN- Hải Phòng</t>
        </is>
      </c>
      <c r="G29" s="7" t="inlineStr">
        <is>
          <t>DOM</t>
        </is>
      </c>
      <c r="H29" s="7" t="inlineStr"/>
      <c r="I29" s="7" t="inlineStr"/>
      <c r="J29" s="7" t="inlineStr">
        <is>
          <t>Luồng xanh</t>
        </is>
      </c>
      <c r="K29" s="9" t="n">
        <v>600000</v>
      </c>
      <c r="L29" s="9" t="n"/>
      <c r="M29" s="9" t="n">
        <v>4830000</v>
      </c>
      <c r="N29" s="9" t="n"/>
      <c r="O29" s="9" t="n">
        <v>700350</v>
      </c>
      <c r="P29" s="9" t="n"/>
      <c r="Q29" s="9" t="n"/>
      <c r="R29" s="9" t="n"/>
      <c r="S29" s="9" t="n"/>
      <c r="T29" s="9" t="n"/>
      <c r="U29" s="9" t="n"/>
      <c r="V29" s="9" t="n"/>
      <c r="W29" s="9">
        <f>SUM(K29:U29)</f>
        <v/>
      </c>
      <c r="X29" s="9" t="n"/>
      <c r="Y29" s="9" t="n"/>
      <c r="Z29" s="9" t="n"/>
      <c r="AA29" s="9">
        <f>SUM(X29:Z29)</f>
        <v/>
      </c>
      <c r="AB29" s="9">
        <f>+W29+AA29</f>
        <v/>
      </c>
      <c r="AC29" s="7" t="inlineStr"/>
      <c r="AD29" s="7" t="inlineStr"/>
    </row>
    <row r="30" ht="52" customHeight="1">
      <c r="A30" s="7" t="n">
        <v>18</v>
      </c>
      <c r="B30" s="7" t="inlineStr">
        <is>
          <t>308305009520</t>
        </is>
      </c>
      <c r="C30" s="7" t="inlineStr">
        <is>
          <t>VEI2600066</t>
        </is>
      </c>
      <c r="D30" s="7" t="inlineStr">
        <is>
          <t>DAINESE S.P.A.</t>
        </is>
      </c>
      <c r="E30" s="8" t="n">
        <v>46090</v>
      </c>
      <c r="F30" s="7" t="inlineStr"/>
      <c r="G30" s="7" t="inlineStr">
        <is>
          <t>DOM</t>
        </is>
      </c>
      <c r="H30" s="7" t="inlineStr"/>
      <c r="I30" s="7" t="inlineStr"/>
      <c r="J30" s="7" t="inlineStr">
        <is>
          <t>Luồng xanh</t>
        </is>
      </c>
      <c r="K30" s="9" t="n">
        <v>600000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>
        <f>SUM(K30:U30)</f>
        <v/>
      </c>
      <c r="X30" s="9" t="n"/>
      <c r="Y30" s="9" t="n"/>
      <c r="Z30" s="9" t="n"/>
      <c r="AA30" s="9">
        <f>SUM(X30:Z30)</f>
        <v/>
      </c>
      <c r="AB30" s="9">
        <f>+W30+AA30</f>
        <v/>
      </c>
      <c r="AC30" s="7" t="inlineStr"/>
      <c r="AD30" s="7" t="inlineStr"/>
    </row>
    <row r="31" ht="52" customHeight="1">
      <c r="A31" s="7" t="n">
        <v>19</v>
      </c>
      <c r="B31" s="7" t="inlineStr">
        <is>
          <t>108034682710</t>
        </is>
      </c>
      <c r="C31" s="7" t="inlineStr">
        <is>
          <t>VAT#00000167</t>
        </is>
      </c>
      <c r="D31" s="7" t="inlineStr">
        <is>
          <t>CONG TY TNHH TANIGUCHI VIET NAM</t>
        </is>
      </c>
      <c r="E31" s="8" t="n">
        <v>46091</v>
      </c>
      <c r="F31" s="7" t="inlineStr"/>
      <c r="G31" s="7" t="inlineStr"/>
      <c r="H31" s="7" t="inlineStr"/>
      <c r="I31" s="7" t="inlineStr"/>
      <c r="J31" s="7" t="inlineStr">
        <is>
          <t>Luồng xanh</t>
        </is>
      </c>
      <c r="K31" s="9" t="n">
        <v>550000</v>
      </c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>
        <f>SUM(K31:U31)</f>
        <v/>
      </c>
      <c r="X31" s="9" t="n"/>
      <c r="Y31" s="9" t="n"/>
      <c r="Z31" s="9" t="n"/>
      <c r="AA31" s="9">
        <f>SUM(X31:Z31)</f>
        <v/>
      </c>
      <c r="AB31" s="9">
        <f>+W31+AA31</f>
        <v/>
      </c>
      <c r="AC31" s="7" t="inlineStr"/>
      <c r="AD31" s="7" t="inlineStr"/>
    </row>
    <row r="32" ht="52" customHeight="1">
      <c r="A32" s="7" t="n">
        <v>20</v>
      </c>
      <c r="B32" s="7" t="inlineStr">
        <is>
          <t>308309157130</t>
        </is>
      </c>
      <c r="C32" s="7" t="inlineStr">
        <is>
          <t>VEI2600069</t>
        </is>
      </c>
      <c r="D32" s="7" t="inlineStr">
        <is>
          <t>DAINESE S.P.A.</t>
        </is>
      </c>
      <c r="E32" s="8" t="n">
        <v>46091</v>
      </c>
      <c r="F32" s="7" t="inlineStr">
        <is>
          <t>10T CD - 15H 02397-  KCN Yên Bình, TN- Hải Phòng</t>
        </is>
      </c>
      <c r="G32" s="7" t="inlineStr">
        <is>
          <t>DOM</t>
        </is>
      </c>
      <c r="H32" s="7" t="inlineStr"/>
      <c r="I32" s="7" t="inlineStr"/>
      <c r="J32" s="7" t="inlineStr">
        <is>
          <t>Luồng xanh</t>
        </is>
      </c>
      <c r="K32" s="9" t="n">
        <v>600000</v>
      </c>
      <c r="L32" s="9" t="n"/>
      <c r="M32" s="9" t="n">
        <v>4830000</v>
      </c>
      <c r="N32" s="9" t="n"/>
      <c r="O32" s="9" t="n">
        <v>700350</v>
      </c>
      <c r="P32" s="9" t="n"/>
      <c r="Q32" s="9" t="n"/>
      <c r="R32" s="9" t="n"/>
      <c r="S32" s="9" t="n"/>
      <c r="T32" s="9" t="n"/>
      <c r="U32" s="9" t="n"/>
      <c r="V32" s="9" t="n"/>
      <c r="W32" s="9">
        <f>SUM(K32:U32)</f>
        <v/>
      </c>
      <c r="X32" s="9" t="n"/>
      <c r="Y32" s="9" t="n"/>
      <c r="Z32" s="9" t="n"/>
      <c r="AA32" s="9">
        <f>SUM(X32:Z32)</f>
        <v/>
      </c>
      <c r="AB32" s="9">
        <f>+W32+AA32</f>
        <v/>
      </c>
      <c r="AC32" s="7" t="inlineStr"/>
      <c r="AD32" s="7" t="inlineStr"/>
    </row>
    <row r="33" ht="52" customHeight="1">
      <c r="A33" s="7" t="n">
        <v>21</v>
      </c>
      <c r="B33" s="7" t="inlineStr">
        <is>
          <t>108040014460</t>
        </is>
      </c>
      <c r="C33" s="7" t="inlineStr">
        <is>
          <t>5222600284</t>
        </is>
      </c>
      <c r="D33" s="7" t="inlineStr">
        <is>
          <t>MEVIS S.P.A</t>
        </is>
      </c>
      <c r="E33" s="8" t="n">
        <v>46092</v>
      </c>
      <c r="F33" s="7" t="inlineStr"/>
      <c r="G33" s="7" t="inlineStr"/>
      <c r="H33" s="7" t="inlineStr"/>
      <c r="I33" s="7" t="inlineStr"/>
      <c r="J33" s="7" t="inlineStr">
        <is>
          <t>Luồng xanh</t>
        </is>
      </c>
      <c r="K33" s="9" t="n">
        <v>600000</v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>
        <f>SUM(K33:U33)</f>
        <v/>
      </c>
      <c r="X33" s="9" t="n"/>
      <c r="Y33" s="9" t="n"/>
      <c r="Z33" s="9" t="n"/>
      <c r="AA33" s="9">
        <f>SUM(X33:Z33)</f>
        <v/>
      </c>
      <c r="AB33" s="9">
        <f>+W33+AA33</f>
        <v/>
      </c>
      <c r="AC33" s="7" t="inlineStr"/>
      <c r="AD33" s="7" t="inlineStr"/>
    </row>
    <row r="34" ht="52" customHeight="1">
      <c r="A34" s="7" t="n">
        <v>22</v>
      </c>
      <c r="B34" s="7" t="inlineStr">
        <is>
          <t>108041472710</t>
        </is>
      </c>
      <c r="C34" s="7" t="inlineStr">
        <is>
          <t>VAT#00000088</t>
        </is>
      </c>
      <c r="D34" s="7" t="inlineStr">
        <is>
          <t>CôNG TY Cổ PHầN TRITEXCO VIệT NAM</t>
        </is>
      </c>
      <c r="E34" s="8" t="n">
        <v>46092</v>
      </c>
      <c r="F34" s="7" t="inlineStr"/>
      <c r="G34" s="7" t="inlineStr"/>
      <c r="H34" s="7" t="inlineStr"/>
      <c r="I34" s="7" t="inlineStr"/>
      <c r="J34" s="7" t="inlineStr">
        <is>
          <t>Luồng xanh</t>
        </is>
      </c>
      <c r="K34" s="9" t="n">
        <v>550000</v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>
        <f>SUM(K34:U34)</f>
        <v/>
      </c>
      <c r="X34" s="9" t="n"/>
      <c r="Y34" s="9" t="n"/>
      <c r="Z34" s="9" t="n"/>
      <c r="AA34" s="9">
        <f>SUM(X34:Z34)</f>
        <v/>
      </c>
      <c r="AB34" s="9">
        <f>+W34+AA34</f>
        <v/>
      </c>
      <c r="AC34" s="7" t="inlineStr"/>
      <c r="AD34" s="7" t="inlineStr"/>
    </row>
    <row r="35" ht="52" customHeight="1">
      <c r="A35" s="7" t="n">
        <v>23</v>
      </c>
      <c r="B35" s="7" t="inlineStr">
        <is>
          <t>308311117500</t>
        </is>
      </c>
      <c r="C35" s="7" t="inlineStr">
        <is>
          <t>VEI2600072</t>
        </is>
      </c>
      <c r="D35" s="7" t="inlineStr">
        <is>
          <t>DAINESE S.P.A.</t>
        </is>
      </c>
      <c r="E35" s="8" t="n">
        <v>46092</v>
      </c>
      <c r="F35" s="7" t="inlineStr"/>
      <c r="G35" s="7" t="inlineStr">
        <is>
          <t>CPN</t>
        </is>
      </c>
      <c r="H35" s="7" t="inlineStr"/>
      <c r="I35" s="7" t="inlineStr"/>
      <c r="J35" s="7" t="inlineStr">
        <is>
          <t>Luồng xanh</t>
        </is>
      </c>
      <c r="K35" s="9" t="n">
        <v>600000</v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>
        <f>SUM(K35:U35)</f>
        <v/>
      </c>
      <c r="X35" s="9" t="n"/>
      <c r="Y35" s="9" t="n"/>
      <c r="Z35" s="9" t="n"/>
      <c r="AA35" s="9">
        <f>SUM(X35:Z35)</f>
        <v/>
      </c>
      <c r="AB35" s="9">
        <f>+W35+AA35</f>
        <v/>
      </c>
      <c r="AC35" s="7" t="inlineStr"/>
      <c r="AD35" s="7" t="inlineStr"/>
    </row>
    <row r="36" ht="52" customHeight="1">
      <c r="A36" s="7" t="n">
        <v>24</v>
      </c>
      <c r="B36" s="7" t="inlineStr">
        <is>
          <t>308312689660</t>
        </is>
      </c>
      <c r="C36" s="7" t="inlineStr">
        <is>
          <t>VEI2600073</t>
        </is>
      </c>
      <c r="D36" s="7" t="inlineStr">
        <is>
          <t>DAINESE S.P.A.</t>
        </is>
      </c>
      <c r="E36" s="8" t="n">
        <v>46092</v>
      </c>
      <c r="F36" s="7" t="inlineStr">
        <is>
          <t>10T CD - 15C 32086-  KCN Yên Bình, TN- Hải Phòng</t>
        </is>
      </c>
      <c r="G36" s="7" t="inlineStr">
        <is>
          <t>DOM</t>
        </is>
      </c>
      <c r="H36" s="7" t="inlineStr"/>
      <c r="I36" s="7" t="inlineStr"/>
      <c r="J36" s="7" t="inlineStr">
        <is>
          <t>Luồng xanh</t>
        </is>
      </c>
      <c r="K36" s="9" t="n">
        <v>600000</v>
      </c>
      <c r="L36" s="9" t="n"/>
      <c r="M36" s="9" t="n">
        <v>4830000</v>
      </c>
      <c r="N36" s="9" t="n"/>
      <c r="O36" s="9" t="n">
        <v>700350</v>
      </c>
      <c r="P36" s="9" t="n"/>
      <c r="Q36" s="9" t="n"/>
      <c r="R36" s="9" t="n"/>
      <c r="S36" s="9" t="n"/>
      <c r="T36" s="9" t="n"/>
      <c r="U36" s="9" t="n"/>
      <c r="V36" s="9" t="n"/>
      <c r="W36" s="9">
        <f>SUM(K36:U36)</f>
        <v/>
      </c>
      <c r="X36" s="9" t="n"/>
      <c r="Y36" s="9" t="n"/>
      <c r="Z36" s="9" t="n"/>
      <c r="AA36" s="9">
        <f>SUM(X36:Z36)</f>
        <v/>
      </c>
      <c r="AB36" s="9">
        <f>+W36+AA36</f>
        <v/>
      </c>
      <c r="AC36" s="7" t="inlineStr"/>
      <c r="AD36" s="7" t="inlineStr"/>
    </row>
    <row r="37" ht="52" customHeight="1">
      <c r="A37" s="7" t="n">
        <v>25</v>
      </c>
      <c r="B37" s="7" t="inlineStr">
        <is>
          <t>308313633300</t>
        </is>
      </c>
      <c r="C37" s="7" t="inlineStr">
        <is>
          <t>VEI2600071</t>
        </is>
      </c>
      <c r="D37" s="7" t="inlineStr">
        <is>
          <t>DAINESE S.P.A.</t>
        </is>
      </c>
      <c r="E37" s="8" t="n">
        <v>46092</v>
      </c>
      <c r="F37" s="7" t="inlineStr"/>
      <c r="G37" s="7" t="inlineStr">
        <is>
          <t>CPN</t>
        </is>
      </c>
      <c r="H37" s="7" t="inlineStr"/>
      <c r="I37" s="7" t="inlineStr"/>
      <c r="J37" s="7" t="inlineStr">
        <is>
          <t>Luồng xanh</t>
        </is>
      </c>
      <c r="K37" s="9" t="n">
        <v>600000</v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>
        <f>SUM(K37:U37)</f>
        <v/>
      </c>
      <c r="X37" s="9" t="n"/>
      <c r="Y37" s="9" t="n"/>
      <c r="Z37" s="9" t="n"/>
      <c r="AA37" s="9">
        <f>SUM(X37:Z37)</f>
        <v/>
      </c>
      <c r="AB37" s="9">
        <f>+W37+AA37</f>
        <v/>
      </c>
      <c r="AC37" s="7" t="inlineStr"/>
      <c r="AD37" s="7" t="inlineStr"/>
    </row>
    <row r="38" ht="52" customHeight="1">
      <c r="A38" s="7" t="n">
        <v>26</v>
      </c>
      <c r="B38" s="7" t="inlineStr">
        <is>
          <t>108044584800</t>
        </is>
      </c>
      <c r="C38" s="7" t="inlineStr">
        <is>
          <t>VAT#00000024</t>
        </is>
      </c>
      <c r="D38" s="7" t="inlineStr">
        <is>
          <t>CôNG TY TNHH IN ấN WANMEI VIệT NAM</t>
        </is>
      </c>
      <c r="E38" s="8" t="n">
        <v>46093</v>
      </c>
      <c r="F38" s="7" t="inlineStr"/>
      <c r="G38" s="7" t="inlineStr"/>
      <c r="H38" s="7" t="inlineStr"/>
      <c r="I38" s="7" t="inlineStr"/>
      <c r="J38" s="7" t="inlineStr">
        <is>
          <t>Luồng xanh</t>
        </is>
      </c>
      <c r="K38" s="9" t="n">
        <v>550000</v>
      </c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>
        <f>SUM(K38:U38)</f>
        <v/>
      </c>
      <c r="X38" s="9" t="n"/>
      <c r="Y38" s="9" t="n"/>
      <c r="Z38" s="9" t="n"/>
      <c r="AA38" s="9">
        <f>SUM(X38:Z38)</f>
        <v/>
      </c>
      <c r="AB38" s="9">
        <f>+W38+AA38</f>
        <v/>
      </c>
      <c r="AC38" s="7" t="inlineStr"/>
      <c r="AD38" s="7" t="inlineStr"/>
    </row>
    <row r="39" ht="52" customHeight="1">
      <c r="A39" s="7" t="n">
        <v>27</v>
      </c>
      <c r="B39" s="7" t="inlineStr">
        <is>
          <t>308321159660</t>
        </is>
      </c>
      <c r="C39" s="7" t="inlineStr">
        <is>
          <t>VEI2600076</t>
        </is>
      </c>
      <c r="D39" s="7" t="inlineStr">
        <is>
          <t>DAINESE S.P.A.</t>
        </is>
      </c>
      <c r="E39" s="8" t="n">
        <v>46094</v>
      </c>
      <c r="F39" s="7" t="inlineStr">
        <is>
          <t>10T CD - 15H 02397-  KCN Yên Bình, TN- Hải Phòng</t>
        </is>
      </c>
      <c r="G39" s="7" t="inlineStr">
        <is>
          <t>DOM</t>
        </is>
      </c>
      <c r="H39" s="7" t="inlineStr"/>
      <c r="I39" s="7" t="inlineStr"/>
      <c r="J39" s="7" t="inlineStr">
        <is>
          <t>Luồng xanh</t>
        </is>
      </c>
      <c r="K39" s="9" t="n">
        <v>600000</v>
      </c>
      <c r="L39" s="9" t="n"/>
      <c r="M39" s="9" t="n">
        <v>4830000</v>
      </c>
      <c r="N39" s="9" t="n"/>
      <c r="O39" s="9" t="n">
        <v>700350</v>
      </c>
      <c r="P39" s="9" t="n"/>
      <c r="Q39" s="9" t="n"/>
      <c r="R39" s="9" t="n"/>
      <c r="S39" s="9" t="n"/>
      <c r="T39" s="9" t="n"/>
      <c r="U39" s="9" t="n"/>
      <c r="V39" s="9" t="n"/>
      <c r="W39" s="9">
        <f>SUM(K39:U39)</f>
        <v/>
      </c>
      <c r="X39" s="9" t="n"/>
      <c r="Y39" s="9" t="n"/>
      <c r="Z39" s="9" t="n"/>
      <c r="AA39" s="9">
        <f>SUM(X39:Z39)</f>
        <v/>
      </c>
      <c r="AB39" s="9">
        <f>+W39+AA39</f>
        <v/>
      </c>
      <c r="AC39" s="7" t="inlineStr"/>
      <c r="AD39" s="7" t="inlineStr"/>
    </row>
    <row r="40" ht="52" customHeight="1">
      <c r="A40" s="7" t="n">
        <v>28</v>
      </c>
      <c r="B40" s="7" t="inlineStr">
        <is>
          <t>308323085840</t>
        </is>
      </c>
      <c r="C40" s="7" t="inlineStr">
        <is>
          <t>VEI2600079</t>
        </is>
      </c>
      <c r="D40" s="7" t="inlineStr">
        <is>
          <t>DAINESE S.P.A.</t>
        </is>
      </c>
      <c r="E40" s="8" t="n">
        <v>46094</v>
      </c>
      <c r="F40" s="7" t="inlineStr"/>
      <c r="G40" s="7" t="inlineStr">
        <is>
          <t>CPN</t>
        </is>
      </c>
      <c r="H40" s="7" t="inlineStr"/>
      <c r="I40" s="7" t="inlineStr"/>
      <c r="J40" s="7" t="inlineStr">
        <is>
          <t>Luồng xanh</t>
        </is>
      </c>
      <c r="K40" s="9" t="n">
        <v>600000</v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>
        <f>SUM(K40:U40)</f>
        <v/>
      </c>
      <c r="X40" s="9" t="n"/>
      <c r="Y40" s="9" t="n"/>
      <c r="Z40" s="9" t="n"/>
      <c r="AA40" s="9">
        <f>SUM(X40:Z40)</f>
        <v/>
      </c>
      <c r="AB40" s="9">
        <f>+W40+AA40</f>
        <v/>
      </c>
      <c r="AC40" s="7" t="inlineStr"/>
      <c r="AD40" s="7" t="inlineStr"/>
    </row>
    <row r="41" ht="52" customHeight="1">
      <c r="A41" s="7" t="n">
        <v>29</v>
      </c>
      <c r="B41" s="7" t="inlineStr">
        <is>
          <t>108054700720</t>
        </is>
      </c>
      <c r="C41" s="7" t="inlineStr">
        <is>
          <t>VAT#00000186</t>
        </is>
      </c>
      <c r="D41" s="7" t="inlineStr">
        <is>
          <t>CONG TY TNHH TANIGUCHI VIET NAM</t>
        </is>
      </c>
      <c r="E41" s="8" t="n">
        <v>46097</v>
      </c>
      <c r="F41" s="7" t="inlineStr"/>
      <c r="G41" s="7" t="inlineStr"/>
      <c r="H41" s="7" t="inlineStr"/>
      <c r="I41" s="7" t="inlineStr"/>
      <c r="J41" s="7" t="inlineStr">
        <is>
          <t>Luồng xanh</t>
        </is>
      </c>
      <c r="K41" s="9" t="n">
        <v>550000</v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>
        <f>SUM(K41:U41)</f>
        <v/>
      </c>
      <c r="X41" s="9" t="n"/>
      <c r="Y41" s="9" t="n"/>
      <c r="Z41" s="9" t="n"/>
      <c r="AA41" s="9">
        <f>SUM(X41:Z41)</f>
        <v/>
      </c>
      <c r="AB41" s="9">
        <f>+W41+AA41</f>
        <v/>
      </c>
      <c r="AC41" s="7" t="inlineStr"/>
      <c r="AD41" s="7" t="inlineStr"/>
    </row>
    <row r="42" ht="52" customHeight="1">
      <c r="A42" s="7" t="n">
        <v>30</v>
      </c>
      <c r="B42" s="7" t="inlineStr">
        <is>
          <t>308329354930</t>
        </is>
      </c>
      <c r="C42" s="7" t="inlineStr">
        <is>
          <t>VEI2600077</t>
        </is>
      </c>
      <c r="D42" s="7" t="inlineStr">
        <is>
          <t>DAINESE S.P.A.</t>
        </is>
      </c>
      <c r="E42" s="8" t="n">
        <v>46097</v>
      </c>
      <c r="F42" s="7" t="inlineStr"/>
      <c r="G42" s="7" t="inlineStr">
        <is>
          <t>CPN</t>
        </is>
      </c>
      <c r="H42" s="7" t="inlineStr"/>
      <c r="I42" s="7" t="inlineStr"/>
      <c r="J42" s="7" t="inlineStr">
        <is>
          <t>Luồng xanh</t>
        </is>
      </c>
      <c r="K42" s="9" t="n">
        <v>600000</v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>
        <f>SUM(K42:U42)</f>
        <v/>
      </c>
      <c r="X42" s="9" t="n"/>
      <c r="Y42" s="9" t="n"/>
      <c r="Z42" s="9" t="n"/>
      <c r="AA42" s="9">
        <f>SUM(X42:Z42)</f>
        <v/>
      </c>
      <c r="AB42" s="9">
        <f>+W42+AA42</f>
        <v/>
      </c>
      <c r="AC42" s="7" t="inlineStr"/>
      <c r="AD42" s="7" t="inlineStr"/>
    </row>
    <row r="43" ht="52" customHeight="1">
      <c r="A43" s="7" t="n">
        <v>31</v>
      </c>
      <c r="B43" s="7" t="inlineStr">
        <is>
          <t>308329415240</t>
        </is>
      </c>
      <c r="C43" s="7" t="inlineStr">
        <is>
          <t>VEI2600078</t>
        </is>
      </c>
      <c r="D43" s="7" t="inlineStr">
        <is>
          <t>DAINESE S.P.A.</t>
        </is>
      </c>
      <c r="E43" s="8" t="n">
        <v>46097</v>
      </c>
      <c r="F43" s="7" t="inlineStr"/>
      <c r="G43" s="7" t="inlineStr">
        <is>
          <t>CPN</t>
        </is>
      </c>
      <c r="H43" s="7" t="inlineStr"/>
      <c r="I43" s="7" t="inlineStr"/>
      <c r="J43" s="7" t="inlineStr">
        <is>
          <t>Luồng xanh</t>
        </is>
      </c>
      <c r="K43" s="9" t="n">
        <v>600000</v>
      </c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>
        <f>SUM(K43:U43)</f>
        <v/>
      </c>
      <c r="X43" s="9" t="n"/>
      <c r="Y43" s="9" t="n"/>
      <c r="Z43" s="9" t="n"/>
      <c r="AA43" s="9">
        <f>SUM(X43:Z43)</f>
        <v/>
      </c>
      <c r="AB43" s="9">
        <f>+W43+AA43</f>
        <v/>
      </c>
      <c r="AC43" s="7" t="inlineStr"/>
      <c r="AD43" s="7" t="inlineStr"/>
    </row>
    <row r="44" ht="52" customHeight="1">
      <c r="A44" s="7" t="n">
        <v>32</v>
      </c>
      <c r="B44" s="7" t="inlineStr">
        <is>
          <t>308330320230</t>
        </is>
      </c>
      <c r="C44" s="7" t="inlineStr">
        <is>
          <t>VEI2600080</t>
        </is>
      </c>
      <c r="D44" s="7" t="inlineStr">
        <is>
          <t>DAINESE S.P.A.</t>
        </is>
      </c>
      <c r="E44" s="8" t="n">
        <v>46097</v>
      </c>
      <c r="F44" s="7" t="inlineStr"/>
      <c r="G44" s="7" t="inlineStr">
        <is>
          <t>DOM</t>
        </is>
      </c>
      <c r="H44" s="7" t="inlineStr"/>
      <c r="I44" s="7" t="inlineStr"/>
      <c r="J44" s="7" t="inlineStr">
        <is>
          <t>Luồng xanh</t>
        </is>
      </c>
      <c r="K44" s="9" t="n">
        <v>600000</v>
      </c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>
        <f>SUM(K44:U44)</f>
        <v/>
      </c>
      <c r="X44" s="9" t="n"/>
      <c r="Y44" s="9" t="n"/>
      <c r="Z44" s="9" t="n"/>
      <c r="AA44" s="9">
        <f>SUM(X44:Z44)</f>
        <v/>
      </c>
      <c r="AB44" s="9">
        <f>+W44+AA44</f>
        <v/>
      </c>
      <c r="AC44" s="7" t="inlineStr"/>
      <c r="AD44" s="7" t="inlineStr"/>
    </row>
    <row r="45" ht="52" customHeight="1">
      <c r="A45" s="7" t="n">
        <v>33</v>
      </c>
      <c r="B45" s="7" t="inlineStr">
        <is>
          <t>308330321850</t>
        </is>
      </c>
      <c r="C45" s="7" t="inlineStr">
        <is>
          <t>VEI2600080</t>
        </is>
      </c>
      <c r="D45" s="7" t="inlineStr">
        <is>
          <t>DAINESE S.P.A.</t>
        </is>
      </c>
      <c r="E45" s="8" t="n">
        <v>46097</v>
      </c>
      <c r="F45" s="7" t="inlineStr"/>
      <c r="G45" s="7" t="inlineStr">
        <is>
          <t>DOM</t>
        </is>
      </c>
      <c r="H45" s="7" t="inlineStr"/>
      <c r="I45" s="7" t="inlineStr"/>
      <c r="J45" s="7" t="inlineStr">
        <is>
          <t>Luồng xanh</t>
        </is>
      </c>
      <c r="K45" s="9" t="n">
        <v>600000</v>
      </c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>
        <f>SUM(K45:U45)</f>
        <v/>
      </c>
      <c r="X45" s="9" t="n"/>
      <c r="Y45" s="9" t="n"/>
      <c r="Z45" s="9" t="n"/>
      <c r="AA45" s="9">
        <f>SUM(X45:Z45)</f>
        <v/>
      </c>
      <c r="AB45" s="9">
        <f>+W45+AA45</f>
        <v/>
      </c>
      <c r="AC45" s="7" t="inlineStr"/>
      <c r="AD45" s="7" t="inlineStr"/>
    </row>
    <row r="46" ht="52" customHeight="1">
      <c r="A46" s="7" t="n">
        <v>34</v>
      </c>
      <c r="B46" s="7" t="inlineStr">
        <is>
          <t>108069546320</t>
        </is>
      </c>
      <c r="C46" s="7" t="inlineStr">
        <is>
          <t>VAT#00000514</t>
        </is>
      </c>
      <c r="D46" s="7" t="inlineStr">
        <is>
          <t>CONG TY CO PHAN HANEL XOP NHUA</t>
        </is>
      </c>
      <c r="E46" s="8" t="n">
        <v>46101</v>
      </c>
      <c r="F46" s="7" t="inlineStr"/>
      <c r="G46" s="7" t="inlineStr"/>
      <c r="H46" s="7" t="inlineStr"/>
      <c r="I46" s="7" t="inlineStr"/>
      <c r="J46" s="7" t="inlineStr">
        <is>
          <t>Luồng xanh</t>
        </is>
      </c>
      <c r="K46" s="9" t="n">
        <v>550000</v>
      </c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>
        <f>SUM(K46:U46)</f>
        <v/>
      </c>
      <c r="X46" s="9" t="n"/>
      <c r="Y46" s="9" t="n"/>
      <c r="Z46" s="9" t="n"/>
      <c r="AA46" s="9">
        <f>SUM(X46:Z46)</f>
        <v/>
      </c>
      <c r="AB46" s="9">
        <f>+W46+AA46</f>
        <v/>
      </c>
      <c r="AC46" s="7" t="inlineStr"/>
      <c r="AD46" s="7" t="inlineStr"/>
    </row>
    <row r="47" ht="52" customHeight="1">
      <c r="A47" s="7" t="n">
        <v>35</v>
      </c>
      <c r="B47" s="7" t="inlineStr">
        <is>
          <t>308346417430</t>
        </is>
      </c>
      <c r="C47" s="7" t="inlineStr">
        <is>
          <t>VEI2600084</t>
        </is>
      </c>
      <c r="D47" s="7" t="inlineStr">
        <is>
          <t>DAINESE S.P.A.</t>
        </is>
      </c>
      <c r="E47" s="8" t="n">
        <v>46101</v>
      </c>
      <c r="F47" s="7" t="inlineStr"/>
      <c r="G47" s="7" t="inlineStr">
        <is>
          <t>CPN</t>
        </is>
      </c>
      <c r="H47" s="7" t="inlineStr"/>
      <c r="I47" s="7" t="inlineStr"/>
      <c r="J47" s="7" t="inlineStr">
        <is>
          <t>Luồng xanh</t>
        </is>
      </c>
      <c r="K47" s="9" t="n">
        <v>600000</v>
      </c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>
        <f>SUM(K47:U47)</f>
        <v/>
      </c>
      <c r="X47" s="9" t="n"/>
      <c r="Y47" s="9" t="n"/>
      <c r="Z47" s="9" t="n"/>
      <c r="AA47" s="9">
        <f>SUM(X47:Z47)</f>
        <v/>
      </c>
      <c r="AB47" s="9">
        <f>+W47+AA47</f>
        <v/>
      </c>
      <c r="AC47" s="7" t="inlineStr"/>
      <c r="AD47" s="7" t="inlineStr"/>
    </row>
    <row r="48" ht="52" customHeight="1">
      <c r="A48" s="7" t="n">
        <v>36</v>
      </c>
      <c r="B48" s="7" t="inlineStr">
        <is>
          <t>108077440700</t>
        </is>
      </c>
      <c r="C48" s="7" t="inlineStr">
        <is>
          <t>VAT#807</t>
        </is>
      </c>
      <c r="D48" s="7" t="inlineStr">
        <is>
          <t>CONG TY TNHH MTV SX THUONG MAI THIET BI VA HOA CHAT TE CO LONG AN</t>
        </is>
      </c>
      <c r="E48" s="8" t="n">
        <v>46105</v>
      </c>
      <c r="F48" s="7" t="inlineStr"/>
      <c r="G48" s="7" t="inlineStr"/>
      <c r="H48" s="7" t="inlineStr"/>
      <c r="I48" s="7" t="inlineStr"/>
      <c r="J48" s="7" t="inlineStr">
        <is>
          <t>Luồng xanh</t>
        </is>
      </c>
      <c r="K48" s="9" t="n">
        <v>600000</v>
      </c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>
        <f>SUM(K48:U48)</f>
        <v/>
      </c>
      <c r="X48" s="9" t="n"/>
      <c r="Y48" s="9" t="n"/>
      <c r="Z48" s="9" t="n"/>
      <c r="AA48" s="9">
        <f>SUM(X48:Z48)</f>
        <v/>
      </c>
      <c r="AB48" s="9">
        <f>+W48+AA48</f>
        <v/>
      </c>
      <c r="AC48" s="7" t="inlineStr"/>
      <c r="AD48" s="7" t="inlineStr"/>
    </row>
    <row r="49" ht="52" customHeight="1">
      <c r="A49" s="7" t="n">
        <v>37</v>
      </c>
      <c r="B49" s="7" t="inlineStr">
        <is>
          <t>108080434560</t>
        </is>
      </c>
      <c r="C49" s="7" t="inlineStr">
        <is>
          <t>VAT#142</t>
        </is>
      </c>
      <c r="D49" s="7" t="inlineStr">
        <is>
          <t>Công Ty Cổ Phần In Tân Việt</t>
        </is>
      </c>
      <c r="E49" s="8" t="n">
        <v>46105</v>
      </c>
      <c r="F49" s="7" t="inlineStr"/>
      <c r="G49" s="7" t="inlineStr"/>
      <c r="H49" s="7" t="inlineStr"/>
      <c r="I49" s="7" t="inlineStr"/>
      <c r="J49" s="7" t="inlineStr">
        <is>
          <t>Luồng xanh</t>
        </is>
      </c>
      <c r="K49" s="9" t="n">
        <v>550000</v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>
        <f>SUM(K49:U49)</f>
        <v/>
      </c>
      <c r="X49" s="9" t="n"/>
      <c r="Y49" s="9" t="n"/>
      <c r="Z49" s="9" t="n"/>
      <c r="AA49" s="9">
        <f>SUM(X49:Z49)</f>
        <v/>
      </c>
      <c r="AB49" s="9">
        <f>+W49+AA49</f>
        <v/>
      </c>
      <c r="AC49" s="7" t="inlineStr"/>
      <c r="AD49" s="7" t="inlineStr"/>
    </row>
    <row r="50" ht="52" customHeight="1">
      <c r="A50" s="7" t="n">
        <v>38</v>
      </c>
      <c r="B50" s="7" t="inlineStr">
        <is>
          <t>108079361940</t>
        </is>
      </c>
      <c r="C50" s="7" t="inlineStr">
        <is>
          <t>VAT#00000021</t>
        </is>
      </c>
      <c r="D50" s="7" t="inlineStr">
        <is>
          <t>CÔNG TY TNHH IN ấN BAO Bì LộC HằNG PHáT</t>
        </is>
      </c>
      <c r="E50" s="8" t="n">
        <v>46105</v>
      </c>
      <c r="F50" s="7" t="inlineStr"/>
      <c r="G50" s="7" t="inlineStr"/>
      <c r="H50" s="7" t="inlineStr"/>
      <c r="I50" s="7" t="inlineStr"/>
      <c r="J50" s="7" t="inlineStr">
        <is>
          <t>Luồng xanh</t>
        </is>
      </c>
      <c r="K50" s="9" t="n">
        <v>550000</v>
      </c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>
        <f>SUM(K50:U50)</f>
        <v/>
      </c>
      <c r="X50" s="9" t="n"/>
      <c r="Y50" s="9" t="n"/>
      <c r="Z50" s="9" t="n"/>
      <c r="AA50" s="9">
        <f>SUM(X50:Z50)</f>
        <v/>
      </c>
      <c r="AB50" s="9">
        <f>+W50+AA50</f>
        <v/>
      </c>
      <c r="AC50" s="7" t="inlineStr"/>
      <c r="AD50" s="7" t="inlineStr"/>
    </row>
    <row r="51" ht="52" customHeight="1">
      <c r="A51" s="7" t="n">
        <v>39</v>
      </c>
      <c r="B51" s="7" t="inlineStr">
        <is>
          <t>108082714240</t>
        </is>
      </c>
      <c r="C51" s="7" t="inlineStr">
        <is>
          <t>VAT#74</t>
        </is>
      </c>
      <c r="D51" s="7" t="inlineStr">
        <is>
          <t>CONG TY TNHH AMS VIET NAM</t>
        </is>
      </c>
      <c r="E51" s="8" t="n">
        <v>46105</v>
      </c>
      <c r="F51" s="7" t="inlineStr"/>
      <c r="G51" s="7" t="inlineStr"/>
      <c r="H51" s="7" t="inlineStr"/>
      <c r="I51" s="7" t="inlineStr"/>
      <c r="J51" s="7" t="inlineStr">
        <is>
          <t>Luồng xanh</t>
        </is>
      </c>
      <c r="K51" s="9" t="n">
        <v>550000</v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>
        <f>SUM(K51:U51)</f>
        <v/>
      </c>
      <c r="X51" s="9" t="n"/>
      <c r="Y51" s="9" t="n"/>
      <c r="Z51" s="9" t="n"/>
      <c r="AA51" s="9">
        <f>SUM(X51:Z51)</f>
        <v/>
      </c>
      <c r="AB51" s="9">
        <f>+W51+AA51</f>
        <v/>
      </c>
      <c r="AC51" s="7" t="inlineStr"/>
      <c r="AD51" s="7" t="inlineStr"/>
    </row>
    <row r="52" ht="52" customHeight="1">
      <c r="A52" s="7" t="n">
        <v>40</v>
      </c>
      <c r="B52" s="7" t="inlineStr">
        <is>
          <t>308356353230</t>
        </is>
      </c>
      <c r="C52" s="7" t="inlineStr">
        <is>
          <t>VEI2600088</t>
        </is>
      </c>
      <c r="D52" s="7" t="inlineStr">
        <is>
          <t>DAINESE S.P.A.</t>
        </is>
      </c>
      <c r="E52" s="8" t="n">
        <v>46105</v>
      </c>
      <c r="F52" s="7" t="inlineStr">
        <is>
          <t>10T CD- 15H 02376- KCN Yên Bình, TN- Hải Phòng</t>
        </is>
      </c>
      <c r="G52" s="7" t="inlineStr">
        <is>
          <t>DOM</t>
        </is>
      </c>
      <c r="H52" s="7" t="inlineStr"/>
      <c r="I52" s="7" t="inlineStr"/>
      <c r="J52" s="7" t="inlineStr">
        <is>
          <t>Luồng xanh</t>
        </is>
      </c>
      <c r="K52" s="9" t="n">
        <v>600000</v>
      </c>
      <c r="L52" s="9" t="n"/>
      <c r="M52" s="9" t="n">
        <v>4830000</v>
      </c>
      <c r="N52" s="9" t="n"/>
      <c r="O52" s="9" t="n">
        <v>700350</v>
      </c>
      <c r="P52" s="9" t="n"/>
      <c r="Q52" s="9" t="n"/>
      <c r="R52" s="9" t="n"/>
      <c r="S52" s="9" t="n"/>
      <c r="T52" s="9" t="n"/>
      <c r="U52" s="9" t="n"/>
      <c r="V52" s="9" t="n"/>
      <c r="W52" s="9">
        <f>SUM(K52:U52)</f>
        <v/>
      </c>
      <c r="X52" s="9" t="n"/>
      <c r="Y52" s="9" t="n"/>
      <c r="Z52" s="9" t="n"/>
      <c r="AA52" s="9">
        <f>SUM(X52:Z52)</f>
        <v/>
      </c>
      <c r="AB52" s="9">
        <f>+W52+AA52</f>
        <v/>
      </c>
      <c r="AC52" s="7" t="inlineStr"/>
      <c r="AD52" s="7" t="inlineStr"/>
    </row>
    <row r="53" ht="52" customHeight="1">
      <c r="A53" s="7" t="n">
        <v>41</v>
      </c>
      <c r="B53" s="7" t="inlineStr">
        <is>
          <t>308356355110</t>
        </is>
      </c>
      <c r="C53" s="7" t="inlineStr">
        <is>
          <t>VEI2600088</t>
        </is>
      </c>
      <c r="D53" s="7" t="inlineStr">
        <is>
          <t>DAINESE S.P.A.</t>
        </is>
      </c>
      <c r="E53" s="8" t="n">
        <v>46105</v>
      </c>
      <c r="F53" s="7" t="inlineStr"/>
      <c r="G53" s="7" t="inlineStr">
        <is>
          <t>DOM</t>
        </is>
      </c>
      <c r="H53" s="7" t="inlineStr"/>
      <c r="I53" s="7" t="inlineStr"/>
      <c r="J53" s="7" t="inlineStr">
        <is>
          <t>Luồng xanh</t>
        </is>
      </c>
      <c r="K53" s="9" t="n">
        <v>600000</v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>
        <f>SUM(K53:U53)</f>
        <v/>
      </c>
      <c r="X53" s="9" t="n"/>
      <c r="Y53" s="9" t="n"/>
      <c r="Z53" s="9" t="n"/>
      <c r="AA53" s="9">
        <f>SUM(X53:Z53)</f>
        <v/>
      </c>
      <c r="AB53" s="9">
        <f>+W53+AA53</f>
        <v/>
      </c>
      <c r="AC53" s="7" t="inlineStr"/>
      <c r="AD53" s="7" t="inlineStr"/>
    </row>
    <row r="54" ht="52" customHeight="1">
      <c r="A54" s="7" t="n">
        <v>42</v>
      </c>
      <c r="B54" s="7" t="inlineStr">
        <is>
          <t>108086541140</t>
        </is>
      </c>
      <c r="C54" s="7" t="inlineStr">
        <is>
          <t>VAT#135</t>
        </is>
      </c>
      <c r="D54" s="7" t="inlineStr">
        <is>
          <t>CONG TY TNHH NHUA AN PHU VIET</t>
        </is>
      </c>
      <c r="E54" s="8" t="n">
        <v>46106</v>
      </c>
      <c r="F54" s="7" t="inlineStr"/>
      <c r="G54" s="7" t="inlineStr"/>
      <c r="H54" s="7" t="inlineStr"/>
      <c r="I54" s="7" t="inlineStr"/>
      <c r="J54" s="7" t="inlineStr">
        <is>
          <t>Luồng xanh</t>
        </is>
      </c>
      <c r="K54" s="9" t="n">
        <v>550000</v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>
        <f>SUM(K54:U54)</f>
        <v/>
      </c>
      <c r="X54" s="9" t="n"/>
      <c r="Y54" s="9" t="n"/>
      <c r="Z54" s="9" t="n"/>
      <c r="AA54" s="9">
        <f>SUM(X54:Z54)</f>
        <v/>
      </c>
      <c r="AB54" s="9">
        <f>+W54+AA54</f>
        <v/>
      </c>
      <c r="AC54" s="7" t="inlineStr"/>
      <c r="AD54" s="7" t="inlineStr"/>
    </row>
    <row r="55" ht="52" customHeight="1">
      <c r="A55" s="7" t="n">
        <v>43</v>
      </c>
      <c r="B55" s="7" t="inlineStr">
        <is>
          <t>108086023510</t>
        </is>
      </c>
      <c r="C55" s="7" t="inlineStr">
        <is>
          <t>VAT#00000256</t>
        </is>
      </c>
      <c r="D55" s="7" t="inlineStr">
        <is>
          <t>CONG TY TNHH ATP PACIFIC VIET NAM</t>
        </is>
      </c>
      <c r="E55" s="8" t="n">
        <v>46106</v>
      </c>
      <c r="F55" s="7" t="inlineStr"/>
      <c r="G55" s="7" t="inlineStr"/>
      <c r="H55" s="7" t="inlineStr"/>
      <c r="I55" s="7" t="inlineStr"/>
      <c r="J55" s="7" t="inlineStr">
        <is>
          <t>Luồng vàng</t>
        </is>
      </c>
      <c r="K55" s="9" t="n">
        <v>550000</v>
      </c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>
        <f>SUM(K55:U55)</f>
        <v/>
      </c>
      <c r="X55" s="9" t="n"/>
      <c r="Y55" s="9" t="n"/>
      <c r="Z55" s="9" t="n"/>
      <c r="AA55" s="9">
        <f>SUM(X55:Z55)</f>
        <v/>
      </c>
      <c r="AB55" s="9">
        <f>+W55+AA55</f>
        <v/>
      </c>
      <c r="AC55" s="7" t="inlineStr"/>
      <c r="AD55" s="7" t="inlineStr"/>
    </row>
    <row r="56" ht="52" customHeight="1">
      <c r="A56" s="7" t="n">
        <v>44</v>
      </c>
      <c r="B56" s="7" t="inlineStr">
        <is>
          <t>108087577140</t>
        </is>
      </c>
      <c r="C56" s="7" t="inlineStr">
        <is>
          <t>VAT#00000026</t>
        </is>
      </c>
      <c r="D56" s="7" t="inlineStr">
        <is>
          <t>CôNG TY TNHH DRYTEK VIệT NAM</t>
        </is>
      </c>
      <c r="E56" s="8" t="n">
        <v>46107</v>
      </c>
      <c r="F56" s="7" t="inlineStr"/>
      <c r="G56" s="7" t="inlineStr"/>
      <c r="H56" s="7" t="inlineStr"/>
      <c r="I56" s="7" t="inlineStr"/>
      <c r="J56" s="7" t="inlineStr">
        <is>
          <t>Luồng vàng</t>
        </is>
      </c>
      <c r="K56" s="9" t="n">
        <v>550000</v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>
        <f>SUM(K56:U56)</f>
        <v/>
      </c>
      <c r="X56" s="9" t="n"/>
      <c r="Y56" s="9" t="n"/>
      <c r="Z56" s="9" t="n"/>
      <c r="AA56" s="9">
        <f>SUM(X56:Z56)</f>
        <v/>
      </c>
      <c r="AB56" s="9">
        <f>+W56+AA56</f>
        <v/>
      </c>
      <c r="AC56" s="7" t="inlineStr"/>
      <c r="AD56" s="7" t="inlineStr"/>
    </row>
    <row r="57" ht="52" customHeight="1">
      <c r="A57" s="7" t="n">
        <v>45</v>
      </c>
      <c r="B57" s="7" t="inlineStr">
        <is>
          <t>308367998910</t>
        </is>
      </c>
      <c r="C57" s="7" t="inlineStr">
        <is>
          <t>VEI2600092</t>
        </is>
      </c>
      <c r="D57" s="7" t="inlineStr">
        <is>
          <t>DAINESE S.P.A.</t>
        </is>
      </c>
      <c r="E57" s="8" t="n">
        <v>46107</v>
      </c>
      <c r="F57" s="7" t="inlineStr"/>
      <c r="G57" s="7" t="inlineStr">
        <is>
          <t>DOM</t>
        </is>
      </c>
      <c r="H57" s="7" t="inlineStr"/>
      <c r="I57" s="7" t="inlineStr"/>
      <c r="J57" s="7" t="inlineStr">
        <is>
          <t>Luồng xanh</t>
        </is>
      </c>
      <c r="K57" s="9" t="n">
        <v>600000</v>
      </c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>
        <f>SUM(K57:U57)</f>
        <v/>
      </c>
      <c r="X57" s="9" t="n"/>
      <c r="Y57" s="9" t="n"/>
      <c r="Z57" s="9" t="n"/>
      <c r="AA57" s="9">
        <f>SUM(X57:Z57)</f>
        <v/>
      </c>
      <c r="AB57" s="9">
        <f>+W57+AA57</f>
        <v/>
      </c>
      <c r="AC57" s="7" t="inlineStr"/>
      <c r="AD57" s="7" t="inlineStr"/>
    </row>
    <row r="58" ht="52" customHeight="1">
      <c r="A58" s="7" t="n">
        <v>46</v>
      </c>
      <c r="B58" s="7" t="inlineStr">
        <is>
          <t>308368005910</t>
        </is>
      </c>
      <c r="C58" s="7" t="inlineStr">
        <is>
          <t>VEI2600092</t>
        </is>
      </c>
      <c r="D58" s="7" t="inlineStr">
        <is>
          <t>DAINESE S.P.A.</t>
        </is>
      </c>
      <c r="E58" s="8" t="n">
        <v>46107</v>
      </c>
      <c r="F58" s="7" t="inlineStr"/>
      <c r="G58" s="7" t="inlineStr">
        <is>
          <t>DOM</t>
        </is>
      </c>
      <c r="H58" s="7" t="inlineStr"/>
      <c r="I58" s="7" t="inlineStr"/>
      <c r="J58" s="7" t="inlineStr">
        <is>
          <t>Luồng xanh</t>
        </is>
      </c>
      <c r="K58" s="9" t="n">
        <v>600000</v>
      </c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>
        <f>SUM(K58:U58)</f>
        <v/>
      </c>
      <c r="X58" s="9" t="n"/>
      <c r="Y58" s="9" t="n"/>
      <c r="Z58" s="9" t="n"/>
      <c r="AA58" s="9">
        <f>SUM(X58:Z58)</f>
        <v/>
      </c>
      <c r="AB58" s="9">
        <f>+W58+AA58</f>
        <v/>
      </c>
      <c r="AC58" s="7" t="inlineStr"/>
      <c r="AD58" s="7" t="inlineStr"/>
    </row>
    <row r="59">
      <c r="A59" s="10" t="inlineStr">
        <is>
          <t>Tổng</t>
        </is>
      </c>
      <c r="B59" s="11" t="n"/>
      <c r="C59" s="11" t="n"/>
      <c r="D59" s="11" t="n"/>
      <c r="E59" s="11" t="n"/>
      <c r="F59" s="11" t="n"/>
      <c r="G59" s="11" t="n"/>
      <c r="H59" s="11" t="n"/>
      <c r="I59" s="11" t="n"/>
      <c r="K59" s="12">
        <f>SUM(K13:K58)</f>
        <v/>
      </c>
      <c r="L59" s="12">
        <f>SUM(L13:L58)</f>
        <v/>
      </c>
      <c r="M59" s="12">
        <f>SUM(M13:M58)</f>
        <v/>
      </c>
      <c r="N59" s="12">
        <f>SUM(N13:N58)</f>
        <v/>
      </c>
      <c r="O59" s="12">
        <f>SUM(O13:O58)</f>
        <v/>
      </c>
      <c r="P59" s="12">
        <f>SUM(P13:P58)</f>
        <v/>
      </c>
      <c r="Q59" s="12">
        <f>SUM(Q13:Q58)</f>
        <v/>
      </c>
      <c r="R59" s="12">
        <f>SUM(R13:R58)</f>
        <v/>
      </c>
      <c r="S59" s="12">
        <f>SUM(S13:S58)</f>
        <v/>
      </c>
      <c r="T59" s="12">
        <f>SUM(T13:T58)</f>
        <v/>
      </c>
      <c r="U59" s="12">
        <f>SUM(U13:U58)</f>
        <v/>
      </c>
      <c r="V59" s="12">
        <f>SUM(V13:V58)</f>
        <v/>
      </c>
      <c r="W59" s="12">
        <f>SUM(W13:W58)</f>
        <v/>
      </c>
      <c r="X59" s="12">
        <f>SUM(X13:X58)</f>
        <v/>
      </c>
      <c r="Y59" s="12">
        <f>SUM(Y13:Y58)</f>
        <v/>
      </c>
      <c r="Z59" s="12">
        <f>SUM(Z13:Z58)</f>
        <v/>
      </c>
      <c r="AA59" s="12">
        <f>SUM(AA13:AA58)</f>
        <v/>
      </c>
    </row>
    <row r="60">
      <c r="A60" s="10" t="inlineStr">
        <is>
          <t>VAT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</row>
    <row r="61">
      <c r="A61" s="10" t="inlineStr">
        <is>
          <t>Tổng cộng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K61" s="12">
        <f>SUM(K59:K60)</f>
        <v/>
      </c>
      <c r="L61" s="12">
        <f>SUM(L59:L60)</f>
        <v/>
      </c>
      <c r="M61" s="12">
        <f>SUM(M59:M60)</f>
        <v/>
      </c>
      <c r="N61" s="12">
        <f>SUM(N59:N60)</f>
        <v/>
      </c>
      <c r="O61" s="12">
        <f>SUM(O59:O60)</f>
        <v/>
      </c>
      <c r="P61" s="12">
        <f>SUM(P59:P60)</f>
        <v/>
      </c>
      <c r="Q61" s="12">
        <f>SUM(Q59:Q60)</f>
        <v/>
      </c>
      <c r="R61" s="12">
        <f>SUM(R59:R60)</f>
        <v/>
      </c>
      <c r="S61" s="12">
        <f>SUM(S59:S60)</f>
        <v/>
      </c>
      <c r="T61" s="12">
        <f>SUM(T59:T60)</f>
        <v/>
      </c>
      <c r="U61" s="12">
        <f>SUM(U59:U60)</f>
        <v/>
      </c>
      <c r="V61" s="12">
        <f>SUM(V59:V60)</f>
        <v/>
      </c>
      <c r="W61" s="12">
        <f>SUM(W59:W60)</f>
        <v/>
      </c>
      <c r="X61" s="12">
        <f>SUM(X59:X60)</f>
        <v/>
      </c>
      <c r="Y61" s="12">
        <f>SUM(Y59:Y60)</f>
        <v/>
      </c>
      <c r="Z61" s="12">
        <f>SUM(Z59:Z60)</f>
        <v/>
      </c>
      <c r="AA61" s="12">
        <f>SUM(AA59:AA60)</f>
        <v/>
      </c>
    </row>
    <row r="70">
      <c r="A70" s="13" t="inlineStr">
        <is>
          <t>Thông tin chuyển khoản:</t>
        </is>
      </c>
    </row>
    <row r="71">
      <c r="A71" s="14" t="inlineStr">
        <is>
          <t>Tài khoản: Công Ty TNHH Thương mại và dịch vụ 5P Việt Nam</t>
        </is>
      </c>
    </row>
    <row r="72">
      <c r="A72" s="14" t="inlineStr">
        <is>
          <t>Số tài khoản: 346886</t>
        </is>
      </c>
    </row>
    <row r="73">
      <c r="A73" s="15" t="inlineStr">
        <is>
          <t>Tại Ngân hàng: Ngân hàng TMCP Kỹ thương Việt Nam - Techcombank Chi nhánh Đông Đô</t>
        </is>
      </c>
    </row>
  </sheetData>
  <mergeCells count="13">
    <mergeCell ref="A59:I59"/>
    <mergeCell ref="H11:I11"/>
    <mergeCell ref="A60:I60"/>
    <mergeCell ref="K11:W11"/>
    <mergeCell ref="A61:I61"/>
    <mergeCell ref="AD11:AD12"/>
    <mergeCell ref="A73:D73"/>
    <mergeCell ref="X11:AA11"/>
    <mergeCell ref="AB11:AB12"/>
    <mergeCell ref="A11:G11"/>
    <mergeCell ref="AC11:AC12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2026-04-19T14:26:09Z</dcterms:created>
  <dcterms:modified xsi:type="dcterms:W3CDTF">2026-04-19T14:26:09Z</dcterms:modified>
</cp:coreProperties>
</file>