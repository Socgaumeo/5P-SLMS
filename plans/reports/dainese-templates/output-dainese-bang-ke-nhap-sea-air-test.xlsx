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Ậ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* #,##0_);_(* (#,##0);_(* &quot;-&quot;_);_(@_)"/>
  </numFmts>
  <fonts count="7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26"/>
    </font>
    <font>
      <name val="Times New Roman"/>
      <b val="1"/>
      <sz val="14"/>
    </font>
    <font>
      <name val="Times New Roman"/>
      <b val="1"/>
      <i val="1"/>
      <sz val="12"/>
    </font>
    <font>
      <name val="Times New Roman"/>
      <b val="1"/>
      <sz val="10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4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3" fontId="1" fillId="4" borderId="1" applyAlignment="1" pivotButton="0" quotePrefix="0" xfId="0">
      <alignment horizontal="center" wrapText="1"/>
    </xf>
    <xf numFmtId="0" fontId="6" fillId="0" borderId="0" pivotButton="0" quotePrefix="0" xfId="0"/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cols>
    <col width="5.4" customWidth="1" min="1" max="1"/>
    <col width="13.6" customWidth="1" min="2" max="2"/>
    <col width="19.6" customWidth="1" min="3" max="3"/>
    <col width="19.9" customWidth="1" min="4" max="4"/>
    <col width="16.6" customWidth="1" min="5" max="5"/>
    <col width="26.3" customWidth="1" min="6" max="6"/>
    <col width="11.4" customWidth="1" min="7" max="7"/>
    <col width="13.5" customWidth="1" min="8" max="8"/>
    <col width="9.5" customWidth="1" min="9" max="9"/>
    <col width="18.5" customWidth="1" min="10" max="10"/>
    <col width="15.3" customWidth="1" min="11" max="11"/>
    <col width="14.5" customWidth="1" min="12" max="12"/>
    <col width="16.4" customWidth="1" min="13" max="13"/>
    <col width="15.2" customWidth="1" min="14" max="14"/>
    <col width="14.2" customWidth="1" min="15" max="15"/>
    <col width="18.8" customWidth="1" min="16" max="16"/>
    <col width="17.9" customWidth="1" min="17" max="17"/>
    <col width="13.7" customWidth="1" min="18" max="18"/>
    <col width="12.6" customWidth="1" min="19" max="19"/>
    <col width="13.8" customWidth="1" min="20" max="20"/>
    <col width="11" customWidth="1" min="21" max="21"/>
    <col width="15.7" customWidth="1" min="22" max="22"/>
    <col width="12.5" customWidth="1" min="23" max="23"/>
    <col width="11.5" customWidth="1" min="24" max="24"/>
    <col width="20.4" customWidth="1" min="25" max="25"/>
    <col width="15.7" customWidth="1" min="26" max="26"/>
    <col width="18.5" customWidth="1" min="27" max="27"/>
    <col width="21.8" customWidth="1" min="28" max="28"/>
    <col width="8.199999999999999" customWidth="1" min="29" max="29"/>
    <col width="8" customWidth="1" min="30" max="30"/>
  </cols>
  <sheetData>
    <row r="1" ht="23" customHeight="1">
      <c r="C1" s="1" t="inlineStr">
        <is>
          <t>CÔNG TY TNHH THƯƠNG MẠI VÀ DỊCH VỤ 5P VIỆT NAM</t>
        </is>
      </c>
    </row>
    <row r="2" ht="23" customHeight="1">
      <c r="C2" s="1" t="inlineStr">
        <is>
          <t>Số nhà 02 Ngõ 1H Phố Trần Quang Diệu, Phường Đống Đa, Thành phố Hà Nội, Việt Nam</t>
        </is>
      </c>
    </row>
    <row r="3" ht="23" customHeight="1">
      <c r="C3" s="1" t="inlineStr">
        <is>
          <t>MST: 0110523309</t>
        </is>
      </c>
    </row>
    <row r="4" ht="23" customHeight="1"/>
    <row r="5" ht="67" customHeight="1">
      <c r="A5" s="2" t="inlineStr">
        <is>
          <t>BẢNG KÊ CHI TIẾT HÀNG NHẬP QUỐC TẾ THÁNG 03 NĂM 2026</t>
        </is>
      </c>
    </row>
    <row r="6" ht="38" customHeight="1"/>
    <row r="7" ht="18" customHeight="1">
      <c r="B7" s="3" t="inlineStr">
        <is>
          <t>KÍNH GỬI :  CÔNG TY TNHH DAINESE VIỆT NAM</t>
        </is>
      </c>
    </row>
    <row r="8" ht="18" customHeight="1">
      <c r="B8" s="3" t="inlineStr">
        <is>
          <t>Địa chỉ : Lô CN13, Lô CN18, Khu Công nghiệp Yên Bình, Phường Vạn Xuân, Tỉnh Thái Nguyên, Việt Nam</t>
        </is>
      </c>
    </row>
    <row r="9" ht="18" customHeight="1">
      <c r="B9" s="3" t="inlineStr">
        <is>
          <t>Attn:   Ms. Phương Anh - Ms. Dương</t>
        </is>
      </c>
    </row>
    <row r="10" ht="73" customHeight="1"/>
    <row r="11" ht="26" customHeight="1">
      <c r="A11" s="4" t="inlineStr">
        <is>
          <t>Thông tin chung</t>
        </is>
      </c>
      <c r="B11" s="5" t="n"/>
      <c r="C11" s="5" t="n"/>
      <c r="D11" s="5" t="n"/>
      <c r="E11" s="5" t="n"/>
      <c r="F11" s="5" t="n"/>
      <c r="G11" s="5" t="n"/>
      <c r="H11" s="4" t="inlineStr">
        <is>
          <t>Khối lượng</t>
        </is>
      </c>
      <c r="I11" s="5" t="n"/>
      <c r="J11" s="4" t="inlineStr">
        <is>
          <t>Note</t>
        </is>
      </c>
      <c r="K11" s="4" t="inlineStr">
        <is>
          <t xml:space="preserve">Phí dịch vụ làm hàng  ( VND) </t>
        </is>
      </c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4" t="inlineStr">
        <is>
          <t>Phí trả hộ</t>
        </is>
      </c>
      <c r="X11" s="5" t="n"/>
      <c r="Y11" s="5" t="n"/>
      <c r="Z11" s="5" t="n"/>
      <c r="AA11" s="4" t="inlineStr">
        <is>
          <t xml:space="preserve">Tổng tiền phải trả </t>
        </is>
      </c>
      <c r="AB11" s="4" t="inlineStr">
        <is>
          <t>Số hóa đơn trả hộ</t>
        </is>
      </c>
      <c r="AC11" s="4" t="inlineStr">
        <is>
          <t>Số hóa đơn của forwarder</t>
        </is>
      </c>
      <c r="AD11" s="5" t="n"/>
    </row>
    <row r="12" ht="42" customHeight="1">
      <c r="A12" s="6" t="inlineStr">
        <is>
          <t>No.</t>
        </is>
      </c>
      <c r="B12" s="6" t="inlineStr">
        <is>
          <t>Tờ khai</t>
        </is>
      </c>
      <c r="C12" s="6" t="inlineStr">
        <is>
          <t>Hóa đơn thương mại</t>
        </is>
      </c>
      <c r="D12" s="6" t="inlineStr">
        <is>
          <t>Vận đơn/Note</t>
        </is>
      </c>
      <c r="E12" s="6" t="inlineStr">
        <is>
          <t>Ngày tờ khai</t>
        </is>
      </c>
      <c r="F12" s="6" t="inlineStr">
        <is>
          <t>Tuyến đường</t>
        </is>
      </c>
      <c r="G12" s="6" t="inlineStr">
        <is>
          <t>Loại hình vận chuyển</t>
        </is>
      </c>
      <c r="H12" s="6" t="inlineStr">
        <is>
          <t>Kgs</t>
        </is>
      </c>
      <c r="I12" s="6" t="inlineStr">
        <is>
          <t>No. Cont</t>
        </is>
      </c>
      <c r="J12" s="5" t="n"/>
      <c r="K12" s="6" t="inlineStr">
        <is>
          <t>Phí mở tờ khai hải quan</t>
        </is>
      </c>
      <c r="L12" s="6" t="inlineStr">
        <is>
          <t>Phí kiểm hóa</t>
        </is>
      </c>
      <c r="M12" s="6" t="inlineStr">
        <is>
          <t>Phí vận chuyển</t>
        </is>
      </c>
      <c r="N12" s="6" t="inlineStr">
        <is>
          <t>Phí làm hàng</t>
        </is>
      </c>
      <c r="O12" s="6" t="inlineStr">
        <is>
          <t>Phí phát sinh khác</t>
        </is>
      </c>
      <c r="P12" s="6" t="inlineStr">
        <is>
          <t>Phí đầu nước ngoài</t>
        </is>
      </c>
      <c r="Q12" s="6" t="inlineStr">
        <is>
          <t>Cước vận tải quốc tế</t>
        </is>
      </c>
      <c r="R12" s="6" t="inlineStr">
        <is>
          <t>Phí xếp dỡ (THC)</t>
        </is>
      </c>
      <c r="S12" s="6" t="inlineStr">
        <is>
          <t>Phí gom hàng lẻ (CFS)/
CIC/ LSS</t>
        </is>
      </c>
      <c r="T12" s="6" t="inlineStr">
        <is>
          <t>Phí lấy lệnh  (DO)</t>
        </is>
      </c>
      <c r="U12" s="6" t="inlineStr">
        <is>
          <t>Phí  đại lý,</t>
        </is>
      </c>
      <c r="V12" s="6" t="inlineStr">
        <is>
          <t>Tổng</t>
        </is>
      </c>
      <c r="W12" s="6" t="inlineStr">
        <is>
          <t>Local charge</t>
        </is>
      </c>
      <c r="X12" s="6" t="inlineStr">
        <is>
          <t>CSHT, thuế, vé bãi</t>
        </is>
      </c>
      <c r="Y12" s="6" t="inlineStr">
        <is>
          <t>Lưu kho giao nhận bốc xếp, nâng hạ</t>
        </is>
      </c>
      <c r="Z12" s="6" t="inlineStr">
        <is>
          <t>Tổng phí trả hộ</t>
        </is>
      </c>
      <c r="AA12" s="5" t="n"/>
      <c r="AB12" s="5" t="n"/>
      <c r="AC12" s="5" t="n"/>
      <c r="AD12" s="5" t="n"/>
    </row>
    <row r="13" ht="37" customHeight="1">
      <c r="A13" s="7" t="n">
        <v>1</v>
      </c>
      <c r="B13" s="7" t="inlineStr">
        <is>
          <t>108021404521</t>
        </is>
      </c>
      <c r="C13" s="7" t="inlineStr">
        <is>
          <t>2025S0217</t>
        </is>
      </c>
      <c r="D13" s="7" t="inlineStr">
        <is>
          <t>2025CA0000102644</t>
        </is>
      </c>
      <c r="E13" s="7" t="inlineStr">
        <is>
          <t>05/03/2026</t>
        </is>
      </c>
      <c r="F13" s="7" t="inlineStr">
        <is>
          <t>Genoa, Italy - Thái Nguyên</t>
        </is>
      </c>
      <c r="G13" s="7" t="inlineStr">
        <is>
          <t>SEA</t>
        </is>
      </c>
      <c r="H13" s="7" t="n">
        <v>5890</v>
      </c>
      <c r="I13" s="7" t="inlineStr">
        <is>
          <t>LCL</t>
        </is>
      </c>
      <c r="J13" s="7" t="inlineStr">
        <is>
          <t>Elantas</t>
        </is>
      </c>
      <c r="K13" s="8" t="n">
        <v>943830</v>
      </c>
      <c r="L13" s="8" t="n"/>
      <c r="M13" s="8" t="n">
        <v>4561845</v>
      </c>
      <c r="N13" s="8" t="n">
        <v>4089930</v>
      </c>
      <c r="O13" s="8" t="n">
        <v>849447</v>
      </c>
      <c r="P13" s="8" t="n">
        <v>19568742</v>
      </c>
      <c r="Q13" s="8" t="n">
        <v>60216354</v>
      </c>
      <c r="R13" s="8" t="n">
        <v>20462234</v>
      </c>
      <c r="S13" s="8" t="n"/>
      <c r="T13" s="8" t="n">
        <v>1258440</v>
      </c>
      <c r="U13" s="8" t="n"/>
      <c r="V13" s="9">
        <f>SUM(K13:U13)</f>
        <v/>
      </c>
      <c r="W13" s="8" t="n"/>
      <c r="X13" s="8" t="n">
        <v>94240</v>
      </c>
      <c r="Y13" s="8" t="n">
        <v>13013670</v>
      </c>
      <c r="Z13" s="9">
        <f>SUM(W13:Y13)</f>
        <v/>
      </c>
      <c r="AA13" s="9">
        <f>+V13+Z13</f>
        <v/>
      </c>
      <c r="AB13" s="7" t="inlineStr">
        <is>
          <t>2985, 1148965</t>
        </is>
      </c>
      <c r="AC13" s="7" t="inlineStr">
        <is>
          <t>152</t>
        </is>
      </c>
      <c r="AD13" s="7" t="inlineStr">
        <is>
          <t>183, 184</t>
        </is>
      </c>
    </row>
    <row r="14" ht="37" customHeight="1">
      <c r="A14" s="7" t="n">
        <v>2</v>
      </c>
      <c r="B14" s="7" t="inlineStr">
        <is>
          <t>108016284830</t>
        </is>
      </c>
      <c r="C14" s="7" t="inlineStr">
        <is>
          <t>00000479</t>
        </is>
      </c>
      <c r="D14" s="7" t="inlineStr">
        <is>
          <t>2025CA0000102683</t>
        </is>
      </c>
      <c r="E14" s="7" t="inlineStr">
        <is>
          <t>03/03/2026</t>
        </is>
      </c>
      <c r="F14" s="7" t="inlineStr">
        <is>
          <t>Genoa, Italy - Thái Nguyên</t>
        </is>
      </c>
      <c r="G14" s="7" t="inlineStr">
        <is>
          <t>SEA</t>
        </is>
      </c>
      <c r="H14" s="7" t="n">
        <v>140</v>
      </c>
      <c r="I14" s="7" t="inlineStr">
        <is>
          <t>LCL</t>
        </is>
      </c>
      <c r="J14" s="7" t="inlineStr">
        <is>
          <t>EGI PROJECT</t>
        </is>
      </c>
      <c r="K14" s="8" t="n">
        <v>629220</v>
      </c>
      <c r="L14" s="8" t="n"/>
      <c r="M14" s="8" t="n">
        <v>2831490</v>
      </c>
      <c r="N14" s="8" t="n">
        <v>629220</v>
      </c>
      <c r="O14" s="8" t="n"/>
      <c r="P14" s="8" t="n"/>
      <c r="Q14" s="8" t="n">
        <v>5908690</v>
      </c>
      <c r="R14" s="8" t="n">
        <v>2301372</v>
      </c>
      <c r="S14" s="8" t="n"/>
      <c r="T14" s="8" t="n">
        <v>943830</v>
      </c>
      <c r="U14" s="8" t="n"/>
      <c r="V14" s="9">
        <f>SUM(K14:U14)</f>
        <v/>
      </c>
      <c r="W14" s="8" t="n"/>
      <c r="X14" s="8" t="n"/>
      <c r="Y14" s="8">
        <f>1153600+44550</f>
        <v/>
      </c>
      <c r="Z14" s="9">
        <f>SUM(W14:Y14)</f>
        <v/>
      </c>
      <c r="AA14" s="9">
        <f>+V14+Z14</f>
        <v/>
      </c>
      <c r="AB14" s="7" t="inlineStr">
        <is>
          <t>2915, 2934</t>
        </is>
      </c>
      <c r="AC14" s="7" t="inlineStr">
        <is>
          <t>149</t>
        </is>
      </c>
      <c r="AD14" s="7" t="inlineStr">
        <is>
          <t>185</t>
        </is>
      </c>
    </row>
    <row r="15" ht="37" customHeight="1">
      <c r="A15" s="7" t="n">
        <v>3</v>
      </c>
      <c r="B15" s="7" t="inlineStr">
        <is>
          <t>108015913130</t>
        </is>
      </c>
      <c r="C15" s="7" t="inlineStr">
        <is>
          <t>3G/066</t>
        </is>
      </c>
      <c r="D15" s="7" t="inlineStr">
        <is>
          <t xml:space="preserve">DELHPH263669 </t>
        </is>
      </c>
      <c r="E15" s="7" t="inlineStr">
        <is>
          <t>03/03/2026</t>
        </is>
      </c>
      <c r="F15" s="7" t="inlineStr">
        <is>
          <t>Mundra, Ấn Độ- Thái Nguyên</t>
        </is>
      </c>
      <c r="G15" s="7" t="inlineStr">
        <is>
          <t>SEA</t>
        </is>
      </c>
      <c r="H15" s="7" t="n">
        <v>169</v>
      </c>
      <c r="I15" s="7" t="inlineStr">
        <is>
          <t>LCL</t>
        </is>
      </c>
      <c r="J15" s="7" t="inlineStr">
        <is>
          <t>3 GENERATIONS</t>
        </is>
      </c>
      <c r="K15" s="8" t="n">
        <v>788670</v>
      </c>
      <c r="L15" s="8" t="n"/>
      <c r="M15" s="8" t="n">
        <v>2497455</v>
      </c>
      <c r="N15" s="8" t="n">
        <v>525780</v>
      </c>
      <c r="O15" s="8" t="n"/>
      <c r="P15" s="8" t="n">
        <v>5731002</v>
      </c>
      <c r="Q15" s="8" t="n">
        <v>1314450</v>
      </c>
      <c r="R15" s="8" t="n">
        <v>709803</v>
      </c>
      <c r="S15" s="8" t="n"/>
      <c r="T15" s="8" t="n">
        <v>788670</v>
      </c>
      <c r="U15" s="8" t="n"/>
      <c r="V15" s="9">
        <f>SUM(K15:U15)</f>
        <v/>
      </c>
      <c r="W15" s="8" t="n"/>
      <c r="X15" s="8" t="n"/>
      <c r="Y15" s="8" t="n">
        <v>685800</v>
      </c>
      <c r="Z15" s="9">
        <f>SUM(W15:Y15)</f>
        <v/>
      </c>
      <c r="AA15" s="9">
        <f>+V15+Z15</f>
        <v/>
      </c>
      <c r="AB15" s="7" t="inlineStr">
        <is>
          <t>9512</t>
        </is>
      </c>
      <c r="AC15" s="7" t="inlineStr">
        <is>
          <t>148</t>
        </is>
      </c>
      <c r="AD15" s="7" t="inlineStr">
        <is>
          <t>186</t>
        </is>
      </c>
    </row>
    <row r="16">
      <c r="A16" s="10" t="inlineStr">
        <is>
          <t>Tổng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2">
        <f>SUM(K13:K15)</f>
        <v/>
      </c>
      <c r="L16" s="12">
        <f>SUM(L13:L15)</f>
        <v/>
      </c>
      <c r="M16" s="12">
        <f>SUM(M13:M15)</f>
        <v/>
      </c>
      <c r="N16" s="12">
        <f>SUM(N13:N15)</f>
        <v/>
      </c>
      <c r="O16" s="12">
        <f>SUM(O13:O15)</f>
        <v/>
      </c>
      <c r="P16" s="12">
        <f>SUM(P13:P15)</f>
        <v/>
      </c>
      <c r="Q16" s="12">
        <f>SUM(Q13:Q15)</f>
        <v/>
      </c>
      <c r="R16" s="12">
        <f>SUM(R13:R15)</f>
        <v/>
      </c>
      <c r="S16" s="12">
        <f>SUM(S13:S15)</f>
        <v/>
      </c>
      <c r="T16" s="12">
        <f>SUM(T13:T15)</f>
        <v/>
      </c>
      <c r="U16" s="12">
        <f>SUM(U13:U15)</f>
        <v/>
      </c>
      <c r="V16" s="12">
        <f>SUM(V13:V15)</f>
        <v/>
      </c>
      <c r="W16" s="12">
        <f>SUM(W13:W15)</f>
        <v/>
      </c>
      <c r="X16" s="12">
        <f>SUM(X13:X15)</f>
        <v/>
      </c>
      <c r="Y16" s="12">
        <f>SUM(Y13:Y15)</f>
        <v/>
      </c>
      <c r="Z16" s="12">
        <f>SUM(Z13:Z15)</f>
        <v/>
      </c>
      <c r="AA16" s="12">
        <f>SUM(AA13:AA15)</f>
        <v/>
      </c>
    </row>
    <row r="17">
      <c r="A17" s="10" t="inlineStr">
        <is>
          <t>VAT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2" t="n">
        <v>0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</row>
    <row r="18">
      <c r="A18" s="10" t="inlineStr">
        <is>
          <t>Tổng cộng</t>
        </is>
      </c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2">
        <f>SUM(K16:K17)</f>
        <v/>
      </c>
      <c r="L18" s="12">
        <f>SUM(L16:L17)</f>
        <v/>
      </c>
      <c r="M18" s="12">
        <f>SUM(M16:M17)</f>
        <v/>
      </c>
      <c r="N18" s="12">
        <f>SUM(N16:N17)</f>
        <v/>
      </c>
      <c r="O18" s="12">
        <f>SUM(O16:O17)</f>
        <v/>
      </c>
      <c r="P18" s="12">
        <f>SUM(P16:P17)</f>
        <v/>
      </c>
      <c r="Q18" s="12">
        <f>SUM(Q16:Q17)</f>
        <v/>
      </c>
      <c r="R18" s="12">
        <f>SUM(R16:R17)</f>
        <v/>
      </c>
      <c r="S18" s="12">
        <f>SUM(S16:S17)</f>
        <v/>
      </c>
      <c r="T18" s="12">
        <f>SUM(T16:T17)</f>
        <v/>
      </c>
      <c r="U18" s="12">
        <f>SUM(U16:U17)</f>
        <v/>
      </c>
      <c r="V18" s="12">
        <f>SUM(V16:V17)</f>
        <v/>
      </c>
      <c r="W18" s="12">
        <f>SUM(W16:W17)</f>
        <v/>
      </c>
      <c r="X18" s="12">
        <f>SUM(X16:X17)</f>
        <v/>
      </c>
      <c r="Y18" s="12">
        <f>SUM(Y16:Y17)</f>
        <v/>
      </c>
      <c r="Z18" s="12">
        <f>SUM(Z16:Z17)</f>
        <v/>
      </c>
      <c r="AA18" s="12">
        <f>SUM(AA16:AA17)</f>
        <v/>
      </c>
    </row>
    <row r="22">
      <c r="A22" s="13" t="inlineStr">
        <is>
          <t>Thông tin chuyển khoản:</t>
        </is>
      </c>
    </row>
    <row r="23">
      <c r="A23" s="13" t="inlineStr">
        <is>
          <t>Tài khoản: Công Ty TNHH Thương mại và dịch vụ 5P Việt Nam</t>
        </is>
      </c>
    </row>
    <row r="24">
      <c r="A24" s="13" t="inlineStr">
        <is>
          <t>Số tài khoản: 346886</t>
        </is>
      </c>
    </row>
    <row r="25">
      <c r="A25" s="14" t="inlineStr">
        <is>
          <t>Tại Ngân hàng: Ngân hàng TMCP Kỹ thương Việt Nam - Techcombank Chi nhánh Đông Đô</t>
        </is>
      </c>
    </row>
  </sheetData>
  <mergeCells count="13">
    <mergeCell ref="H11:I11"/>
    <mergeCell ref="K11:V11"/>
    <mergeCell ref="AA11:AA12"/>
    <mergeCell ref="A17:J17"/>
    <mergeCell ref="A18:J18"/>
    <mergeCell ref="W11:Z11"/>
    <mergeCell ref="AC11:AD12"/>
    <mergeCell ref="A16:J16"/>
    <mergeCell ref="A25:F25"/>
    <mergeCell ref="AB11:AB12"/>
    <mergeCell ref="A11:G11"/>
    <mergeCell ref="J11:J12"/>
    <mergeCell ref="A5:AD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2026-04-18T14:59:16Z</dcterms:created>
  <dcterms:modified xmlns:dcterms="http://purl.org/dc/terms/" xmlns:xsi="http://www.w3.org/2001/XMLSchema-instance" xsi:type="dcterms:W3CDTF">2026-04-18T14:59:16Z</dcterms:modified>
</cp:coreProperties>
</file>