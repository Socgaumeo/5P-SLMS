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MARKH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##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38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LÀM HÀNG THÁNG 03/2026</t>
        </is>
      </c>
    </row>
    <row r="8">
      <c r="A8" s="3" t="inlineStr">
        <is>
          <t>Họ tên người mua hàng (Customer): CHI NHÁNH HÀ NỘI - CÔNG TY TNHH LOGIMARK INTERNATIONAL</t>
        </is>
      </c>
    </row>
    <row r="9">
      <c r="A9" s="3" t="inlineStr">
        <is>
          <t>Địa chỉ (Address): Tầng 8A, toà nhà 201 Đường Trường Chinh, Phường Phương Liệt, Thành phố Hà Nội, Việt Nam</t>
        </is>
      </c>
    </row>
    <row r="10">
      <c r="A10" s="3" t="inlineStr">
        <is>
          <t>Mã số thuế (Tax- code): 0316972812-001</t>
        </is>
      </c>
    </row>
    <row r="12" ht="32" customHeight="1">
      <c r="A12" s="4" t="inlineStr">
        <is>
          <t>STT</t>
        </is>
      </c>
      <c r="B12" s="4" t="inlineStr">
        <is>
          <t>Ngày</t>
        </is>
      </c>
      <c r="C12" s="4" t="inlineStr">
        <is>
          <t>BKS / Loại xe</t>
        </is>
      </c>
      <c r="D12" s="4" t="inlineStr">
        <is>
          <t>Nội dung dịch vụ</t>
        </is>
      </c>
      <c r="E12" s="4" t="inlineStr">
        <is>
          <t>Số lượng</t>
        </is>
      </c>
      <c r="F12" s="4" t="inlineStr">
        <is>
          <t>ĐVT</t>
        </is>
      </c>
      <c r="G12" s="4" t="inlineStr">
        <is>
          <t>Đơn giá</t>
        </is>
      </c>
      <c r="H12" s="4" t="inlineStr">
        <is>
          <t>Thành tiền</t>
        </is>
      </c>
      <c r="I12" s="4" t="inlineStr">
        <is>
          <t>VAT %</t>
        </is>
      </c>
      <c r="J12" s="4" t="inlineStr">
        <is>
          <t>Tổng tiền (sau VAT)</t>
        </is>
      </c>
      <c r="K12" s="4" t="inlineStr">
        <is>
          <t>Số HĐ</t>
        </is>
      </c>
      <c r="L12" s="4" t="inlineStr">
        <is>
          <t>Ghi chú</t>
        </is>
      </c>
    </row>
    <row r="13" ht="28" customHeight="1">
      <c r="A13" s="5" t="n">
        <v>1</v>
      </c>
      <c r="B13" s="6" t="n">
        <v>46093</v>
      </c>
      <c r="C13" s="5" t="inlineStr"/>
      <c r="D13" s="7" t="inlineStr">
        <is>
          <t>Phí dịch vụ hải quan</t>
        </is>
      </c>
      <c r="E13" s="8" t="n">
        <v>1</v>
      </c>
      <c r="F13" s="5" t="inlineStr">
        <is>
          <t>Tờ khai</t>
        </is>
      </c>
      <c r="G13" s="9" t="n">
        <v>650000</v>
      </c>
      <c r="H13" s="9">
        <f>E13*G13</f>
        <v/>
      </c>
      <c r="I13" s="10" t="n">
        <v>8</v>
      </c>
      <c r="J13" s="9">
        <f>H13*(1+I13/100)</f>
        <v/>
      </c>
      <c r="K13" s="5" t="inlineStr"/>
      <c r="L13" s="7" t="inlineStr"/>
    </row>
    <row r="14" ht="28" customHeight="1">
      <c r="A14" s="5" t="n">
        <v>2</v>
      </c>
      <c r="B14" s="6" t="n">
        <v>46104</v>
      </c>
      <c r="C14" s="5" t="inlineStr"/>
      <c r="D14" s="7" t="inlineStr">
        <is>
          <t>Phí dịch vụ hải quan</t>
        </is>
      </c>
      <c r="E14" s="8" t="n">
        <v>1</v>
      </c>
      <c r="F14" s="5" t="inlineStr">
        <is>
          <t>Tờ khai</t>
        </is>
      </c>
      <c r="G14" s="9" t="n">
        <v>650000</v>
      </c>
      <c r="H14" s="9">
        <f>E14*G14</f>
        <v/>
      </c>
      <c r="I14" s="10" t="n">
        <v>8</v>
      </c>
      <c r="J14" s="9">
        <f>H14*(1+I14/100)</f>
        <v/>
      </c>
      <c r="K14" s="5" t="inlineStr"/>
      <c r="L14" s="7" t="inlineStr"/>
    </row>
    <row r="15">
      <c r="A15" s="11" t="inlineStr">
        <is>
          <t>Tổng (trước VAT)</t>
        </is>
      </c>
      <c r="B15" s="12" t="n"/>
      <c r="C15" s="12" t="n"/>
      <c r="D15" s="12" t="n"/>
      <c r="E15" s="12" t="n"/>
      <c r="F15" s="12" t="n"/>
      <c r="G15" s="12" t="n"/>
      <c r="H15" s="13">
        <f>SUM(H13:H14)</f>
        <v/>
      </c>
      <c r="I15" s="12" t="n"/>
      <c r="J15" s="12" t="n"/>
      <c r="K15" s="12" t="n"/>
      <c r="L15" s="12" t="n"/>
    </row>
    <row r="16">
      <c r="A16" s="11" t="inlineStr">
        <is>
          <t>Tổng thanh toán (đã VAT)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>
        <f>SUM(J13:J14)</f>
        <v/>
      </c>
      <c r="K16" s="12" t="n"/>
      <c r="L16" s="12" t="n"/>
    </row>
    <row r="18">
      <c r="A18" s="14" t="inlineStr">
        <is>
          <t>Tổng số tiền bằng chữ: Một triệu bốn trăm lẻ bốn nghìn đồng chẵn./.</t>
        </is>
      </c>
    </row>
    <row r="21">
      <c r="A21" s="14" t="inlineStr">
        <is>
          <t>Thông tin chuyển khoản:</t>
        </is>
      </c>
    </row>
    <row r="22">
      <c r="A22" s="15" t="inlineStr">
        <is>
          <t>Tài khoản: Công Ty TNHH Thương mại và dịch vụ 5P Việt Nam</t>
        </is>
      </c>
    </row>
    <row r="23">
      <c r="A23" s="15" t="inlineStr">
        <is>
          <t>Số tài khoản: 346886</t>
        </is>
      </c>
    </row>
    <row r="24">
      <c r="A24" s="16" t="inlineStr">
        <is>
          <t>Tại Ngân hàng: Ngân hàng TMCP Kỹ thương Việt Nam - Techcombank Chi nhánh Đông Đô</t>
        </is>
      </c>
    </row>
  </sheetData>
  <mergeCells count="4">
    <mergeCell ref="A24:F24"/>
    <mergeCell ref="A16:G16"/>
    <mergeCell ref="A6:L6"/>
    <mergeCell ref="A15:G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2026-04-20T15:14:07Z</dcterms:created>
  <dcterms:modified xsi:type="dcterms:W3CDTF">2026-04-20T15:14:07Z</dcterms:modified>
</cp:coreProperties>
</file>