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GTHEP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##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38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LÀM HÀNG THÁNG 03/2026</t>
        </is>
      </c>
    </row>
    <row r="8">
      <c r="A8" s="3" t="inlineStr">
        <is>
          <t>Họ tên người mua hàng (Customer): CÔNG TY CỔ PHẦN CƠ KHÍ GANG THÉP</t>
        </is>
      </c>
    </row>
    <row r="9">
      <c r="A9" s="3" t="inlineStr">
        <is>
          <t>Địa chỉ (Address): Tổ dân phố Cam Giá 13, Phường Gia Sàng, Tỉnh Thái Nguyên,Việt Nam.</t>
        </is>
      </c>
    </row>
    <row r="10">
      <c r="A10" s="3" t="inlineStr">
        <is>
          <t>Mã số thuế (Tax- code): 4600479367</t>
        </is>
      </c>
    </row>
    <row r="12" ht="32" customHeight="1">
      <c r="A12" s="4" t="inlineStr">
        <is>
          <t>STT</t>
        </is>
      </c>
      <c r="B12" s="4" t="inlineStr">
        <is>
          <t>Ngày</t>
        </is>
      </c>
      <c r="C12" s="4" t="inlineStr">
        <is>
          <t>BKS / Loại xe</t>
        </is>
      </c>
      <c r="D12" s="4" t="inlineStr">
        <is>
          <t>Nội dung dịch vụ</t>
        </is>
      </c>
      <c r="E12" s="4" t="inlineStr">
        <is>
          <t>Số lượng</t>
        </is>
      </c>
      <c r="F12" s="4" t="inlineStr">
        <is>
          <t>ĐVT</t>
        </is>
      </c>
      <c r="G12" s="4" t="inlineStr">
        <is>
          <t>Đơn giá</t>
        </is>
      </c>
      <c r="H12" s="4" t="inlineStr">
        <is>
          <t>Thành tiền</t>
        </is>
      </c>
      <c r="I12" s="4" t="inlineStr">
        <is>
          <t>VAT %</t>
        </is>
      </c>
      <c r="J12" s="4" t="inlineStr">
        <is>
          <t>Tổng tiền (sau VAT)</t>
        </is>
      </c>
      <c r="K12" s="4" t="inlineStr">
        <is>
          <t>Số HĐ</t>
        </is>
      </c>
      <c r="L12" s="4" t="inlineStr">
        <is>
          <t>Ghi chú</t>
        </is>
      </c>
    </row>
    <row r="13" ht="28" customHeight="1">
      <c r="A13" s="5" t="n">
        <v>1</v>
      </c>
      <c r="B13" s="6" t="n">
        <v>46083</v>
      </c>
      <c r="C13" s="5" t="inlineStr"/>
      <c r="D13" s="7" t="inlineStr">
        <is>
          <t>Phí dịch vụ làm thủ tục hải quan xuất khẩu tại chỗ ở Thái Nguyên ngày 02/03/2026 (Luồng xanh)  tờ khai số 308284049050</t>
        </is>
      </c>
      <c r="E13" s="8" t="n">
        <v>1</v>
      </c>
      <c r="F13" s="5" t="inlineStr">
        <is>
          <t>TK</t>
        </is>
      </c>
      <c r="G13" s="9" t="n">
        <v>800000</v>
      </c>
      <c r="H13" s="9">
        <f>E13*G13</f>
        <v/>
      </c>
      <c r="I13" s="10" t="n">
        <v>8</v>
      </c>
      <c r="J13" s="9">
        <f>H13*(1+I13/100)</f>
        <v/>
      </c>
      <c r="K13" s="5" t="inlineStr"/>
      <c r="L13" s="7" t="inlineStr"/>
    </row>
    <row r="14" ht="28" customHeight="1">
      <c r="A14" s="5" t="n">
        <v>2</v>
      </c>
      <c r="B14" s="6" t="n">
        <v>46083</v>
      </c>
      <c r="C14" s="5" t="inlineStr"/>
      <c r="D14" s="7" t="inlineStr">
        <is>
          <t>Phí dịch vụ làm thủ tục hải quan nhập khẩu tại chỗ ở Đồng Nai ngày 02/03/2026 (Luồng xanh)  tờ khai số 108012996010</t>
        </is>
      </c>
      <c r="E14" s="8" t="n">
        <v>1</v>
      </c>
      <c r="F14" s="5" t="inlineStr">
        <is>
          <t>TK</t>
        </is>
      </c>
      <c r="G14" s="9" t="n">
        <v>400000</v>
      </c>
      <c r="H14" s="9">
        <f>E14*G14</f>
        <v/>
      </c>
      <c r="I14" s="10" t="n">
        <v>8</v>
      </c>
      <c r="J14" s="9">
        <f>H14*(1+I14/100)</f>
        <v/>
      </c>
      <c r="K14" s="5" t="inlineStr"/>
      <c r="L14" s="7" t="inlineStr"/>
    </row>
    <row r="15" ht="28" customHeight="1">
      <c r="A15" s="5" t="n">
        <v>3</v>
      </c>
      <c r="B15" s="6" t="n">
        <v>46084</v>
      </c>
      <c r="C15" s="5" t="inlineStr"/>
      <c r="D15" s="7" t="inlineStr">
        <is>
          <t>Phí dịch vụ làm thủ tục hải quan xuất khẩu tại chỗ ở Thái Nguyên ngày 03/03/2026 (Luồng xanh)  tờ khai số 308288227940</t>
        </is>
      </c>
      <c r="E15" s="8" t="n">
        <v>1</v>
      </c>
      <c r="F15" s="5" t="inlineStr">
        <is>
          <t>TK</t>
        </is>
      </c>
      <c r="G15" s="9" t="n">
        <v>800000</v>
      </c>
      <c r="H15" s="9">
        <f>E15*G15</f>
        <v/>
      </c>
      <c r="I15" s="10" t="n">
        <v>8</v>
      </c>
      <c r="J15" s="9">
        <f>H15*(1+I15/100)</f>
        <v/>
      </c>
      <c r="K15" s="5" t="inlineStr"/>
      <c r="L15" s="7" t="inlineStr"/>
    </row>
    <row r="16" ht="28" customHeight="1">
      <c r="A16" s="5" t="n">
        <v>4</v>
      </c>
      <c r="B16" s="6" t="n">
        <v>46085</v>
      </c>
      <c r="C16" s="5" t="inlineStr"/>
      <c r="D16" s="7" t="inlineStr">
        <is>
          <t>Phí dịch vụ làm thủ tục hải quan nhập khẩu tại chỗ ở Đồng Nai ngày 04/03/2026 (Luồng xanh)  tờ khai số 108021011930</t>
        </is>
      </c>
      <c r="E16" s="8" t="n">
        <v>1</v>
      </c>
      <c r="F16" s="5" t="inlineStr">
        <is>
          <t>TK</t>
        </is>
      </c>
      <c r="G16" s="9" t="n">
        <v>400000</v>
      </c>
      <c r="H16" s="9">
        <f>E16*G16</f>
        <v/>
      </c>
      <c r="I16" s="10" t="n">
        <v>8</v>
      </c>
      <c r="J16" s="9">
        <f>H16*(1+I16/100)</f>
        <v/>
      </c>
      <c r="K16" s="5" t="inlineStr"/>
      <c r="L16" s="7" t="inlineStr"/>
    </row>
    <row r="17" ht="28" customHeight="1">
      <c r="A17" s="5" t="n">
        <v>5</v>
      </c>
      <c r="B17" s="6" t="n">
        <v>46087</v>
      </c>
      <c r="C17" s="5" t="inlineStr"/>
      <c r="D17" s="7" t="inlineStr">
        <is>
          <t>Phí dịch vụ làm thủ tục hải quan xuất khẩu tại chỗ ở Thái Nguyên ngày 06/03/2026 (Luồng xanh)  tờ khai số 308301907120</t>
        </is>
      </c>
      <c r="E17" s="8" t="n">
        <v>1</v>
      </c>
      <c r="F17" s="5" t="inlineStr">
        <is>
          <t>TK</t>
        </is>
      </c>
      <c r="G17" s="9" t="n">
        <v>800000</v>
      </c>
      <c r="H17" s="9">
        <f>E17*G17</f>
        <v/>
      </c>
      <c r="I17" s="10" t="n">
        <v>8</v>
      </c>
      <c r="J17" s="9">
        <f>H17*(1+I17/100)</f>
        <v/>
      </c>
      <c r="K17" s="5" t="inlineStr"/>
      <c r="L17" s="7" t="inlineStr"/>
    </row>
    <row r="18" ht="28" customHeight="1">
      <c r="A18" s="5" t="n">
        <v>6</v>
      </c>
      <c r="B18" s="6" t="n">
        <v>46090</v>
      </c>
      <c r="C18" s="5" t="inlineStr"/>
      <c r="D18" s="7" t="inlineStr">
        <is>
          <t>Phí dịch vụ làm thủ tục hải quan xuất khẩu tại chỗ ở Thái Nguyên ngày 09/03/2026 (Luồng xanh)  tờ khai số 308305971320</t>
        </is>
      </c>
      <c r="E18" s="8" t="n">
        <v>1</v>
      </c>
      <c r="F18" s="5" t="inlineStr">
        <is>
          <t>TK</t>
        </is>
      </c>
      <c r="G18" s="9" t="n">
        <v>800000</v>
      </c>
      <c r="H18" s="9">
        <f>E18*G18</f>
        <v/>
      </c>
      <c r="I18" s="10" t="n">
        <v>8</v>
      </c>
      <c r="J18" s="9">
        <f>H18*(1+I18/100)</f>
        <v/>
      </c>
      <c r="K18" s="5" t="inlineStr"/>
      <c r="L18" s="7" t="inlineStr"/>
    </row>
    <row r="19" ht="28" customHeight="1">
      <c r="A19" s="5" t="n">
        <v>7</v>
      </c>
      <c r="B19" s="6" t="n">
        <v>46090</v>
      </c>
      <c r="C19" s="5" t="inlineStr"/>
      <c r="D19" s="7" t="inlineStr">
        <is>
          <t>Phí dịch vụ làm thủ tục hải quan nhập khẩu tại chỗ ở Đồng Nai ngày 09/03/2026 (Luồng xanh)  tờ khai số 108030239440</t>
        </is>
      </c>
      <c r="E19" s="8" t="n">
        <v>1</v>
      </c>
      <c r="F19" s="5" t="inlineStr">
        <is>
          <t>TK</t>
        </is>
      </c>
      <c r="G19" s="9" t="n">
        <v>400000</v>
      </c>
      <c r="H19" s="9">
        <f>E19*G19</f>
        <v/>
      </c>
      <c r="I19" s="10" t="n">
        <v>8</v>
      </c>
      <c r="J19" s="9">
        <f>H19*(1+I19/100)</f>
        <v/>
      </c>
      <c r="K19" s="5" t="inlineStr"/>
      <c r="L19" s="7" t="inlineStr"/>
    </row>
    <row r="20" ht="28" customHeight="1">
      <c r="A20" s="5" t="n">
        <v>8</v>
      </c>
      <c r="B20" s="6" t="n">
        <v>46090</v>
      </c>
      <c r="C20" s="5" t="inlineStr"/>
      <c r="D20" s="7" t="inlineStr">
        <is>
          <t>Phí dịch vụ làm thủ tục hải quan nhập khẩu tại chỗ ở Đồng Nai ngày 09/03/2026 (Luồng xanh)  tờ khai số 108032965460</t>
        </is>
      </c>
      <c r="E20" s="8" t="n">
        <v>1</v>
      </c>
      <c r="F20" s="5" t="inlineStr">
        <is>
          <t>TK</t>
        </is>
      </c>
      <c r="G20" s="9" t="n">
        <v>400000</v>
      </c>
      <c r="H20" s="9">
        <f>E20*G20</f>
        <v/>
      </c>
      <c r="I20" s="10" t="n">
        <v>8</v>
      </c>
      <c r="J20" s="9">
        <f>H20*(1+I20/100)</f>
        <v/>
      </c>
      <c r="K20" s="5" t="inlineStr"/>
      <c r="L20" s="7" t="inlineStr"/>
    </row>
    <row r="21" ht="28" customHeight="1">
      <c r="A21" s="5" t="n">
        <v>9</v>
      </c>
      <c r="B21" s="6" t="n">
        <v>46092</v>
      </c>
      <c r="C21" s="5" t="inlineStr"/>
      <c r="D21" s="7" t="inlineStr">
        <is>
          <t>Phí dịch vụ làm thủ tục hải quan xuất khẩu tại chỗ ở Thái Nguyên ngày 11/03/2026 (Luồng xanh)  tờ khai số 308314211460</t>
        </is>
      </c>
      <c r="E21" s="8" t="n">
        <v>1</v>
      </c>
      <c r="F21" s="5" t="inlineStr">
        <is>
          <t>TK</t>
        </is>
      </c>
      <c r="G21" s="9" t="n">
        <v>800000</v>
      </c>
      <c r="H21" s="9">
        <f>E21*G21</f>
        <v/>
      </c>
      <c r="I21" s="10" t="n">
        <v>8</v>
      </c>
      <c r="J21" s="9">
        <f>H21*(1+I21/100)</f>
        <v/>
      </c>
      <c r="K21" s="5" t="inlineStr"/>
      <c r="L21" s="7" t="inlineStr"/>
    </row>
    <row r="22" ht="28" customHeight="1">
      <c r="A22" s="5" t="n">
        <v>10</v>
      </c>
      <c r="B22" s="6" t="n">
        <v>46093</v>
      </c>
      <c r="C22" s="5" t="inlineStr"/>
      <c r="D22" s="7" t="inlineStr">
        <is>
          <t>Phí dịch vụ làm thủ tục hải quan nhập khẩu tại chỗ ở Đồng Nai ngày 12/03/2026 (Luồng xanh)  tờ khai số 108044109830</t>
        </is>
      </c>
      <c r="E22" s="8" t="n">
        <v>1</v>
      </c>
      <c r="F22" s="5" t="inlineStr">
        <is>
          <t>TK</t>
        </is>
      </c>
      <c r="G22" s="9" t="n">
        <v>400000</v>
      </c>
      <c r="H22" s="9">
        <f>E22*G22</f>
        <v/>
      </c>
      <c r="I22" s="10" t="n">
        <v>8</v>
      </c>
      <c r="J22" s="9">
        <f>H22*(1+I22/100)</f>
        <v/>
      </c>
      <c r="K22" s="5" t="inlineStr"/>
      <c r="L22" s="7" t="inlineStr"/>
    </row>
    <row r="23" ht="28" customHeight="1">
      <c r="A23" s="5" t="n">
        <v>11</v>
      </c>
      <c r="B23" s="6" t="n">
        <v>46095</v>
      </c>
      <c r="C23" s="5" t="inlineStr"/>
      <c r="D23" s="7" t="inlineStr">
        <is>
          <t>Phí dịch vụ làm thủ tục hải quan xuất khẩu tại chỗ ở Thái Nguyên ngày 14/03/2026 (Luồng xanh)  tờ khai số 308327046660</t>
        </is>
      </c>
      <c r="E23" s="8" t="n">
        <v>1</v>
      </c>
      <c r="F23" s="5" t="inlineStr">
        <is>
          <t>TK</t>
        </is>
      </c>
      <c r="G23" s="9" t="n">
        <v>800000</v>
      </c>
      <c r="H23" s="9">
        <f>E23*G23</f>
        <v/>
      </c>
      <c r="I23" s="10" t="n">
        <v>8</v>
      </c>
      <c r="J23" s="9">
        <f>H23*(1+I23/100)</f>
        <v/>
      </c>
      <c r="K23" s="5" t="inlineStr"/>
      <c r="L23" s="7" t="inlineStr"/>
    </row>
    <row r="24" ht="28" customHeight="1">
      <c r="A24" s="5" t="n">
        <v>12</v>
      </c>
      <c r="B24" s="6" t="n">
        <v>46097</v>
      </c>
      <c r="C24" s="5" t="inlineStr"/>
      <c r="D24" s="7" t="inlineStr">
        <is>
          <t>Phí dịch vụ làm thủ tục hải quan xuất khẩu tại chỗ ở Thái Nguyên ngày 16/03/2026 (Luồng xanh)  tờ khai số 308329885200</t>
        </is>
      </c>
      <c r="E24" s="8" t="n">
        <v>1</v>
      </c>
      <c r="F24" s="5" t="inlineStr">
        <is>
          <t>TK</t>
        </is>
      </c>
      <c r="G24" s="9" t="n">
        <v>800000</v>
      </c>
      <c r="H24" s="9">
        <f>E24*G24</f>
        <v/>
      </c>
      <c r="I24" s="10" t="n">
        <v>8</v>
      </c>
      <c r="J24" s="9">
        <f>H24*(1+I24/100)</f>
        <v/>
      </c>
      <c r="K24" s="5" t="inlineStr"/>
      <c r="L24" s="7" t="inlineStr"/>
    </row>
    <row r="25" ht="28" customHeight="1">
      <c r="A25" s="5" t="n">
        <v>13</v>
      </c>
      <c r="B25" s="6" t="n">
        <v>46097</v>
      </c>
      <c r="C25" s="5" t="inlineStr"/>
      <c r="D25" s="7" t="inlineStr">
        <is>
          <t>Phí dịch vụ làm thủ tục hải quan nhập khẩu tại chỗ ở Đồng Nai ngày 16/03/2026 (Luồng xanh)  tờ khai số 108053078560</t>
        </is>
      </c>
      <c r="E25" s="8" t="n">
        <v>1</v>
      </c>
      <c r="F25" s="5" t="inlineStr">
        <is>
          <t>TK</t>
        </is>
      </c>
      <c r="G25" s="9" t="n">
        <v>400000</v>
      </c>
      <c r="H25" s="9">
        <f>E25*G25</f>
        <v/>
      </c>
      <c r="I25" s="10" t="n">
        <v>8</v>
      </c>
      <c r="J25" s="9">
        <f>H25*(1+I25/100)</f>
        <v/>
      </c>
      <c r="K25" s="5" t="inlineStr"/>
      <c r="L25" s="7" t="inlineStr"/>
    </row>
    <row r="26" ht="28" customHeight="1">
      <c r="A26" s="5" t="n">
        <v>14</v>
      </c>
      <c r="B26" s="6" t="n">
        <v>46098</v>
      </c>
      <c r="C26" s="5" t="inlineStr"/>
      <c r="D26" s="7" t="inlineStr">
        <is>
          <t>Phí dịch vụ làm thủ tục hải quan xuất khẩu tại chỗ ở Thái Nguyên ngày 17/03/2026 (Luồng xanh)  tờ khai số 308333230500</t>
        </is>
      </c>
      <c r="E26" s="8" t="n">
        <v>1</v>
      </c>
      <c r="F26" s="5" t="inlineStr">
        <is>
          <t>TK</t>
        </is>
      </c>
      <c r="G26" s="9" t="n">
        <v>800000</v>
      </c>
      <c r="H26" s="9">
        <f>E26*G26</f>
        <v/>
      </c>
      <c r="I26" s="10" t="n">
        <v>8</v>
      </c>
      <c r="J26" s="9">
        <f>H26*(1+I26/100)</f>
        <v/>
      </c>
      <c r="K26" s="5" t="inlineStr"/>
      <c r="L26" s="7" t="inlineStr"/>
    </row>
    <row r="27" ht="28" customHeight="1">
      <c r="A27" s="5" t="n">
        <v>15</v>
      </c>
      <c r="B27" s="6" t="n">
        <v>46098</v>
      </c>
      <c r="C27" s="5" t="inlineStr"/>
      <c r="D27" s="7" t="inlineStr">
        <is>
          <t>Phí dịch vụ làm thủ tục hải quan xuất khẩu tại chỗ ở Thái Nguyên ngày 17/03/2026 (Luồng xanh)  tờ khai số 308335276450</t>
        </is>
      </c>
      <c r="E27" s="8" t="n">
        <v>1</v>
      </c>
      <c r="F27" s="5" t="inlineStr">
        <is>
          <t>TK</t>
        </is>
      </c>
      <c r="G27" s="9" t="n">
        <v>800000</v>
      </c>
      <c r="H27" s="9">
        <f>E27*G27</f>
        <v/>
      </c>
      <c r="I27" s="10" t="n">
        <v>8</v>
      </c>
      <c r="J27" s="9">
        <f>H27*(1+I27/100)</f>
        <v/>
      </c>
      <c r="K27" s="5" t="inlineStr"/>
      <c r="L27" s="7" t="inlineStr"/>
    </row>
    <row r="28" ht="28" customHeight="1">
      <c r="A28" s="5" t="n">
        <v>16</v>
      </c>
      <c r="B28" s="6" t="n">
        <v>46098</v>
      </c>
      <c r="C28" s="5" t="inlineStr"/>
      <c r="D28" s="7" t="inlineStr">
        <is>
          <t>Phí dịch vụ làm thủ tục hải quan nhập khẩu tại chỗ ở Đồng Nai ngày 17/03/2026 (Luồng xanh)  tờ khai số 108060402220</t>
        </is>
      </c>
      <c r="E28" s="8" t="n">
        <v>1</v>
      </c>
      <c r="F28" s="5" t="inlineStr">
        <is>
          <t>TK</t>
        </is>
      </c>
      <c r="G28" s="9" t="n">
        <v>400000</v>
      </c>
      <c r="H28" s="9">
        <f>E28*G28</f>
        <v/>
      </c>
      <c r="I28" s="10" t="n">
        <v>8</v>
      </c>
      <c r="J28" s="9">
        <f>H28*(1+I28/100)</f>
        <v/>
      </c>
      <c r="K28" s="5" t="inlineStr"/>
      <c r="L28" s="7" t="inlineStr"/>
    </row>
    <row r="29" ht="28" customHeight="1">
      <c r="A29" s="5" t="n">
        <v>17</v>
      </c>
      <c r="B29" s="6" t="n">
        <v>46100</v>
      </c>
      <c r="C29" s="5" t="inlineStr"/>
      <c r="D29" s="7" t="inlineStr">
        <is>
          <t>Phí dịch vụ làm thủ tục hải quan nhập khẩu tại chỗ ở Đồng Nai ngày 19/03/2026 (Luồng xanh)  tờ khai số 108065502310</t>
        </is>
      </c>
      <c r="E29" s="8" t="n">
        <v>1</v>
      </c>
      <c r="F29" s="5" t="inlineStr">
        <is>
          <t>TK</t>
        </is>
      </c>
      <c r="G29" s="9" t="n">
        <v>400000</v>
      </c>
      <c r="H29" s="9">
        <f>E29*G29</f>
        <v/>
      </c>
      <c r="I29" s="10" t="n">
        <v>8</v>
      </c>
      <c r="J29" s="9">
        <f>H29*(1+I29/100)</f>
        <v/>
      </c>
      <c r="K29" s="5" t="inlineStr"/>
      <c r="L29" s="7" t="inlineStr"/>
    </row>
    <row r="30" ht="28" customHeight="1">
      <c r="A30" s="5" t="n">
        <v>18</v>
      </c>
      <c r="B30" s="6" t="n">
        <v>46100</v>
      </c>
      <c r="C30" s="5" t="inlineStr"/>
      <c r="D30" s="7" t="inlineStr">
        <is>
          <t>Phí dịch vụ làm thủ tục hải quan nhập khẩu tại chỗ ở Đồng Nai ngày 19/03/2026 (Luồng xanh)  tờ khai số 108068485120</t>
        </is>
      </c>
      <c r="E30" s="8" t="n">
        <v>1</v>
      </c>
      <c r="F30" s="5" t="inlineStr">
        <is>
          <t>TK</t>
        </is>
      </c>
      <c r="G30" s="9" t="n">
        <v>400000</v>
      </c>
      <c r="H30" s="9">
        <f>E30*G30</f>
        <v/>
      </c>
      <c r="I30" s="10" t="n">
        <v>8</v>
      </c>
      <c r="J30" s="9">
        <f>H30*(1+I30/100)</f>
        <v/>
      </c>
      <c r="K30" s="5" t="inlineStr"/>
      <c r="L30" s="7" t="inlineStr"/>
    </row>
    <row r="31" ht="28" customHeight="1">
      <c r="A31" s="5" t="n">
        <v>19</v>
      </c>
      <c r="B31" s="6" t="n">
        <v>46101</v>
      </c>
      <c r="C31" s="5" t="inlineStr"/>
      <c r="D31" s="7" t="inlineStr">
        <is>
          <t>Phí dịch vụ làm thủ tục hải quan xuất khẩu tại chỗ ở Thái Nguyên ngày 20/03/2026 (Luồng xanh)  tờ khai số 308346095760</t>
        </is>
      </c>
      <c r="E31" s="8" t="n">
        <v>1</v>
      </c>
      <c r="F31" s="5" t="inlineStr">
        <is>
          <t>TK</t>
        </is>
      </c>
      <c r="G31" s="9" t="n">
        <v>800000</v>
      </c>
      <c r="H31" s="9">
        <f>E31*G31</f>
        <v/>
      </c>
      <c r="I31" s="10" t="n">
        <v>8</v>
      </c>
      <c r="J31" s="9">
        <f>H31*(1+I31/100)</f>
        <v/>
      </c>
      <c r="K31" s="5" t="inlineStr"/>
      <c r="L31" s="7" t="inlineStr"/>
    </row>
    <row r="32" ht="28" customHeight="1">
      <c r="A32" s="5" t="n">
        <v>20</v>
      </c>
      <c r="B32" s="6" t="n">
        <v>46102</v>
      </c>
      <c r="C32" s="5" t="inlineStr"/>
      <c r="D32" s="7" t="inlineStr">
        <is>
          <t>Phí dịch vụ làm thủ tục hải quan nhập khẩu tại chỗ ở Đồng Nai ngày 21/03/2026 (Luồng xanh)  tờ khai số 108072669610</t>
        </is>
      </c>
      <c r="E32" s="8" t="n">
        <v>1</v>
      </c>
      <c r="F32" s="5" t="inlineStr">
        <is>
          <t>TK</t>
        </is>
      </c>
      <c r="G32" s="9" t="n">
        <v>400000</v>
      </c>
      <c r="H32" s="9">
        <f>E32*G32</f>
        <v/>
      </c>
      <c r="I32" s="10" t="n">
        <v>8</v>
      </c>
      <c r="J32" s="9">
        <f>H32*(1+I32/100)</f>
        <v/>
      </c>
      <c r="K32" s="5" t="inlineStr"/>
      <c r="L32" s="7" t="inlineStr"/>
    </row>
    <row r="33" ht="28" customHeight="1">
      <c r="A33" s="5" t="n">
        <v>21</v>
      </c>
      <c r="B33" s="6" t="n">
        <v>46104</v>
      </c>
      <c r="C33" s="5" t="inlineStr"/>
      <c r="D33" s="7" t="inlineStr">
        <is>
          <t>Phí dịch vụ làm thủ tục hải quan xuất khẩu tại chỗ ở Thái Nguyên ngày 23/03/2026 (Luồng xanh)  tờ khai số 308353362240</t>
        </is>
      </c>
      <c r="E33" s="8" t="n">
        <v>1</v>
      </c>
      <c r="F33" s="5" t="inlineStr">
        <is>
          <t>TK</t>
        </is>
      </c>
      <c r="G33" s="9" t="n">
        <v>800000</v>
      </c>
      <c r="H33" s="9">
        <f>E33*G33</f>
        <v/>
      </c>
      <c r="I33" s="10" t="n">
        <v>8</v>
      </c>
      <c r="J33" s="9">
        <f>H33*(1+I33/100)</f>
        <v/>
      </c>
      <c r="K33" s="5" t="inlineStr"/>
      <c r="L33" s="7" t="inlineStr"/>
    </row>
    <row r="34" ht="28" customHeight="1">
      <c r="A34" s="5" t="n">
        <v>22</v>
      </c>
      <c r="B34" s="6" t="n">
        <v>46104</v>
      </c>
      <c r="C34" s="5" t="inlineStr"/>
      <c r="D34" s="7" t="inlineStr">
        <is>
          <t>Phí dịch vụ làm thủ tục hải quan nhập khẩu tại chỗ ở Đồng Nai ngày 23/03/2026 (Luồng xanh)  tờ khai số 108078394650</t>
        </is>
      </c>
      <c r="E34" s="8" t="n">
        <v>1</v>
      </c>
      <c r="F34" s="5" t="inlineStr">
        <is>
          <t>TK</t>
        </is>
      </c>
      <c r="G34" s="9" t="n">
        <v>400000</v>
      </c>
      <c r="H34" s="9">
        <f>E34*G34</f>
        <v/>
      </c>
      <c r="I34" s="10" t="n">
        <v>8</v>
      </c>
      <c r="J34" s="9">
        <f>H34*(1+I34/100)</f>
        <v/>
      </c>
      <c r="K34" s="5" t="inlineStr"/>
      <c r="L34" s="7" t="inlineStr"/>
    </row>
    <row r="35" ht="28" customHeight="1">
      <c r="A35" s="5" t="n">
        <v>23</v>
      </c>
      <c r="B35" s="6" t="n">
        <v>46105</v>
      </c>
      <c r="C35" s="5" t="inlineStr"/>
      <c r="D35" s="7" t="inlineStr">
        <is>
          <t>Thủ tục hải quan xuất khẩu tại Thái Nguyên</t>
        </is>
      </c>
      <c r="E35" s="8" t="n">
        <v>1</v>
      </c>
      <c r="F35" s="5" t="inlineStr">
        <is>
          <t>TK</t>
        </is>
      </c>
      <c r="G35" s="9" t="n">
        <v>1200000</v>
      </c>
      <c r="H35" s="9">
        <f>E35*G35</f>
        <v/>
      </c>
      <c r="I35" s="10" t="n">
        <v>8</v>
      </c>
      <c r="J35" s="9">
        <f>H35*(1+I35/100)</f>
        <v/>
      </c>
      <c r="K35" s="5" t="inlineStr"/>
      <c r="L35" s="7" t="inlineStr"/>
    </row>
    <row r="36" ht="28" customHeight="1">
      <c r="A36" s="5" t="n">
        <v>24</v>
      </c>
      <c r="B36" s="6" t="n">
        <v>46105</v>
      </c>
      <c r="C36" s="5" t="inlineStr"/>
      <c r="D36" s="7" t="inlineStr">
        <is>
          <t>Phí Chuyển phát nhanh Việt Nam - Tianjin, Trung Quốc</t>
        </is>
      </c>
      <c r="E36" s="8" t="n">
        <v>1</v>
      </c>
      <c r="F36" s="5" t="inlineStr">
        <is>
          <t>Chuyến</t>
        </is>
      </c>
      <c r="G36" s="9" t="n">
        <v>4800000</v>
      </c>
      <c r="H36" s="9">
        <f>E36*G36</f>
        <v/>
      </c>
      <c r="I36" s="10" t="n">
        <v>8</v>
      </c>
      <c r="J36" s="9">
        <f>H36*(1+I36/100)</f>
        <v/>
      </c>
      <c r="K36" s="5" t="inlineStr"/>
      <c r="L36" s="7" t="inlineStr"/>
    </row>
    <row r="37">
      <c r="A37" s="11" t="inlineStr">
        <is>
          <t>Tổng (trước VAT)</t>
        </is>
      </c>
      <c r="B37" s="12" t="n"/>
      <c r="C37" s="12" t="n"/>
      <c r="D37" s="12" t="n"/>
      <c r="E37" s="12" t="n"/>
      <c r="F37" s="12" t="n"/>
      <c r="G37" s="12" t="n"/>
      <c r="H37" s="13">
        <f>SUM(H13:H36)</f>
        <v/>
      </c>
      <c r="I37" s="12" t="n"/>
      <c r="J37" s="12" t="n"/>
      <c r="K37" s="12" t="n"/>
      <c r="L37" s="12" t="n"/>
    </row>
    <row r="38">
      <c r="A38" s="11" t="inlineStr">
        <is>
          <t>Tổng thanh toán (đã VAT)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3">
        <f>SUM(J13:J36)</f>
        <v/>
      </c>
      <c r="K38" s="12" t="n"/>
      <c r="L38" s="12" t="n"/>
    </row>
    <row r="40">
      <c r="A40" s="14" t="inlineStr">
        <is>
          <t>Tổng số tiền bằng chữ: Hai mươi triệu bảy trăm ba mươi sáu nghìn đồng chẵn./.</t>
        </is>
      </c>
    </row>
    <row r="43">
      <c r="A43" s="14" t="inlineStr">
        <is>
          <t>Thông tin chuyển khoản:</t>
        </is>
      </c>
    </row>
    <row r="44">
      <c r="A44" s="15" t="inlineStr">
        <is>
          <t>Tài khoản: Công Ty TNHH Thương mại và dịch vụ 5P Việt Nam</t>
        </is>
      </c>
    </row>
    <row r="45">
      <c r="A45" s="15" t="inlineStr">
        <is>
          <t>Số tài khoản: 346886</t>
        </is>
      </c>
    </row>
    <row r="46">
      <c r="A46" s="16" t="inlineStr">
        <is>
          <t>Tại Ngân hàng: Ngân hàng TMCP Kỹ thương Việt Nam - Techcombank Chi nhánh Đông Đô</t>
        </is>
      </c>
    </row>
  </sheetData>
  <mergeCells count="4">
    <mergeCell ref="A38:G38"/>
    <mergeCell ref="A6:L6"/>
    <mergeCell ref="A46:F46"/>
    <mergeCell ref="A37:G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2026-04-20T15:07:05Z</dcterms:created>
  <dcterms:modified xsi:type="dcterms:W3CDTF">2026-04-20T15:07:05Z</dcterms:modified>
</cp:coreProperties>
</file>