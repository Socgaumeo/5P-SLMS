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##"/>
    <numFmt numFmtId="166" formatCode="0.##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38" customWidth="1" min="4" max="4"/>
    <col width="9" customWidth="1" min="5" max="5"/>
    <col width="10" customWidth="1" min="6" max="6"/>
    <col width="13" customWidth="1" min="7" max="7"/>
    <col width="14" customWidth="1" min="8" max="8"/>
    <col width="8" customWidth="1" min="9" max="9"/>
    <col width="14" customWidth="1" min="10" max="10"/>
    <col width="14" customWidth="1" min="11" max="11"/>
    <col width="22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LÀM HÀNG THÁNG 03/2026</t>
        </is>
      </c>
    </row>
    <row r="8">
      <c r="A8" s="3" t="inlineStr">
        <is>
          <t>Họ tên người mua hàng (Customer): CÔNG TY CỔ PHẦN TỰ ĐỘNG HÓA VINTECH</t>
        </is>
      </c>
    </row>
    <row r="9">
      <c r="A9" s="3" t="inlineStr">
        <is>
          <t>Địa chỉ (Address): Số nhà 10/79, Phố Thái Thịnh, Phường Thịnh Quang, Quận Đống Đa, TP Hà Nội</t>
        </is>
      </c>
    </row>
    <row r="10">
      <c r="A10" s="3" t="inlineStr">
        <is>
          <t>Mã số thuế (Tax- code): 0106292659</t>
        </is>
      </c>
    </row>
    <row r="12" ht="32" customHeight="1">
      <c r="A12" s="4" t="inlineStr">
        <is>
          <t>STT</t>
        </is>
      </c>
      <c r="B12" s="4" t="inlineStr">
        <is>
          <t>Ngày</t>
        </is>
      </c>
      <c r="C12" s="4" t="inlineStr">
        <is>
          <t>BKS / Loại xe</t>
        </is>
      </c>
      <c r="D12" s="4" t="inlineStr">
        <is>
          <t>Nội dung dịch vụ</t>
        </is>
      </c>
      <c r="E12" s="4" t="inlineStr">
        <is>
          <t>Số lượng</t>
        </is>
      </c>
      <c r="F12" s="4" t="inlineStr">
        <is>
          <t>ĐVT</t>
        </is>
      </c>
      <c r="G12" s="4" t="inlineStr">
        <is>
          <t>Đơn giá</t>
        </is>
      </c>
      <c r="H12" s="4" t="inlineStr">
        <is>
          <t>Thành tiền</t>
        </is>
      </c>
      <c r="I12" s="4" t="inlineStr">
        <is>
          <t>VAT %</t>
        </is>
      </c>
      <c r="J12" s="4" t="inlineStr">
        <is>
          <t>Tổng tiền (sau VAT)</t>
        </is>
      </c>
      <c r="K12" s="4" t="inlineStr">
        <is>
          <t>Số HĐ</t>
        </is>
      </c>
      <c r="L12" s="4" t="inlineStr">
        <is>
          <t>Ghi chú</t>
        </is>
      </c>
    </row>
    <row r="13" ht="28" customHeight="1">
      <c r="A13" s="5" t="n">
        <v>1</v>
      </c>
      <c r="B13" s="6" t="n">
        <v>46082</v>
      </c>
      <c r="C13" s="5" t="inlineStr"/>
      <c r="D13" s="7" t="inlineStr">
        <is>
          <t>Cước VCQT Shanghai-HCM (562kg x 1.5 USD x 26,321)</t>
        </is>
      </c>
      <c r="E13" s="8" t="n">
        <v>1</v>
      </c>
      <c r="F13" s="5" t="inlineStr">
        <is>
          <t>Lô</t>
        </is>
      </c>
      <c r="G13" s="9" t="n">
        <v>22188603</v>
      </c>
      <c r="H13" s="9">
        <f>E13*G13</f>
        <v/>
      </c>
      <c r="I13" s="10" t="n">
        <v>0</v>
      </c>
      <c r="J13" s="9">
        <f>H13*(1+I13/100)</f>
        <v/>
      </c>
      <c r="K13" s="5" t="inlineStr">
        <is>
          <t>{}</t>
        </is>
      </c>
      <c r="L13" s="7" t="inlineStr"/>
    </row>
    <row r="14" ht="28" customHeight="1">
      <c r="A14" s="5" t="n">
        <v>2</v>
      </c>
      <c r="B14" s="6" t="n">
        <v>46082</v>
      </c>
      <c r="C14" s="5" t="inlineStr"/>
      <c r="D14" s="7" t="inlineStr">
        <is>
          <t>Phí làm hàng tại Trung Quốc (350 USD)</t>
        </is>
      </c>
      <c r="E14" s="8" t="n">
        <v>1</v>
      </c>
      <c r="F14" s="5" t="inlineStr">
        <is>
          <t>Lô</t>
        </is>
      </c>
      <c r="G14" s="9" t="n">
        <v>9212350</v>
      </c>
      <c r="H14" s="9">
        <f>E14*G14</f>
        <v/>
      </c>
      <c r="I14" s="10" t="n">
        <v>0</v>
      </c>
      <c r="J14" s="9">
        <f>H14*(1+I14/100)</f>
        <v/>
      </c>
      <c r="K14" s="5" t="inlineStr">
        <is>
          <t>{}</t>
        </is>
      </c>
      <c r="L14" s="7" t="inlineStr"/>
    </row>
    <row r="15" ht="28" customHeight="1">
      <c r="A15" s="5" t="n">
        <v>3</v>
      </c>
      <c r="B15" s="6" t="n">
        <v>46082</v>
      </c>
      <c r="C15" s="5" t="inlineStr"/>
      <c r="D15" s="7" t="inlineStr">
        <is>
          <t>Phí dịch vụ HQ TK 108057770660</t>
        </is>
      </c>
      <c r="E15" s="8" t="n">
        <v>1</v>
      </c>
      <c r="F15" s="5" t="inlineStr">
        <is>
          <t>Tờ khai</t>
        </is>
      </c>
      <c r="G15" s="9" t="n">
        <v>1300000</v>
      </c>
      <c r="H15" s="9">
        <f>E15*G15</f>
        <v/>
      </c>
      <c r="I15" s="10" t="n">
        <v>8</v>
      </c>
      <c r="J15" s="9">
        <f>H15*(1+I15/100)</f>
        <v/>
      </c>
      <c r="K15" s="5" t="inlineStr">
        <is>
          <t>{}</t>
        </is>
      </c>
      <c r="L15" s="7" t="inlineStr"/>
    </row>
    <row r="16" ht="28" customHeight="1">
      <c r="A16" s="5" t="n">
        <v>4</v>
      </c>
      <c r="B16" s="6" t="n">
        <v>46082</v>
      </c>
      <c r="C16" s="5" t="inlineStr"/>
      <c r="D16" s="7" t="inlineStr">
        <is>
          <t>DO fee (30 USD)</t>
        </is>
      </c>
      <c r="E16" s="8" t="n">
        <v>1</v>
      </c>
      <c r="F16" s="5" t="inlineStr">
        <is>
          <t>Lô</t>
        </is>
      </c>
      <c r="G16" s="9" t="n">
        <v>789630</v>
      </c>
      <c r="H16" s="9">
        <f>E16*G16</f>
        <v/>
      </c>
      <c r="I16" s="10" t="n">
        <v>8</v>
      </c>
      <c r="J16" s="9">
        <f>H16*(1+I16/100)</f>
        <v/>
      </c>
      <c r="K16" s="5" t="inlineStr">
        <is>
          <t>{}</t>
        </is>
      </c>
      <c r="L16" s="7" t="inlineStr"/>
    </row>
    <row r="17" ht="28" customHeight="1">
      <c r="A17" s="5" t="n">
        <v>5</v>
      </c>
      <c r="B17" s="6" t="n">
        <v>46082</v>
      </c>
      <c r="C17" s="5" t="inlineStr"/>
      <c r="D17" s="7" t="inlineStr">
        <is>
          <t>Phí VC TSN - Tân Thới Hiệp, BKS: 51C-42668</t>
        </is>
      </c>
      <c r="E17" s="8" t="n">
        <v>1</v>
      </c>
      <c r="F17" s="5" t="inlineStr">
        <is>
          <t>Chuyến</t>
        </is>
      </c>
      <c r="G17" s="9" t="n">
        <v>1200000</v>
      </c>
      <c r="H17" s="9">
        <f>E17*G17</f>
        <v/>
      </c>
      <c r="I17" s="10" t="n">
        <v>8</v>
      </c>
      <c r="J17" s="9">
        <f>H17*(1+I17/100)</f>
        <v/>
      </c>
      <c r="K17" s="5" t="inlineStr">
        <is>
          <t>{}</t>
        </is>
      </c>
      <c r="L17" s="7" t="inlineStr"/>
    </row>
    <row r="18" ht="28" customHeight="1">
      <c r="A18" s="5" t="n">
        <v>6</v>
      </c>
      <c r="B18" s="6" t="n">
        <v>46082</v>
      </c>
      <c r="C18" s="5" t="inlineStr"/>
      <c r="D18" s="7" t="inlineStr">
        <is>
          <t>Thu hộ: Lưu kho, bốc xếp - HĐ: 84495</t>
        </is>
      </c>
      <c r="E18" s="8" t="n">
        <v>1</v>
      </c>
      <c r="F18" s="5" t="inlineStr">
        <is>
          <t>Lô</t>
        </is>
      </c>
      <c r="G18" s="9" t="n">
        <v>2006004</v>
      </c>
      <c r="H18" s="9">
        <f>E18*G18</f>
        <v/>
      </c>
      <c r="I18" s="10" t="n">
        <v>0</v>
      </c>
      <c r="J18" s="9">
        <f>H18*(1+I18/100)</f>
        <v/>
      </c>
      <c r="K18" s="5" t="inlineStr">
        <is>
          <t>{}</t>
        </is>
      </c>
      <c r="L18" s="7" t="inlineStr"/>
    </row>
    <row r="19" ht="28" customHeight="1">
      <c r="A19" s="5" t="n">
        <v>7</v>
      </c>
      <c r="B19" s="6" t="n">
        <v>46109</v>
      </c>
      <c r="C19" s="5" t="inlineStr">
        <is>
          <t>Consol</t>
        </is>
      </c>
      <c r="D19" s="7" t="inlineStr">
        <is>
          <t>Cước vận chuyển Thanh Liệt, Hà Nội- Vạn Tường, Quảng Ngãi</t>
        </is>
      </c>
      <c r="E19" s="8" t="n">
        <v>1</v>
      </c>
      <c r="F19" s="5" t="inlineStr">
        <is>
          <t>Chuyến</t>
        </is>
      </c>
      <c r="G19" s="9" t="n">
        <v>4500000</v>
      </c>
      <c r="H19" s="9">
        <f>E19*G19</f>
        <v/>
      </c>
      <c r="I19" s="10" t="n">
        <v>8</v>
      </c>
      <c r="J19" s="9">
        <f>H19*(1+I19/100)</f>
        <v/>
      </c>
      <c r="K19" s="5" t="inlineStr"/>
      <c r="L19" s="7" t="inlineStr"/>
    </row>
    <row r="20">
      <c r="A20" s="11" t="inlineStr">
        <is>
          <t>Tổng (trước VAT)</t>
        </is>
      </c>
      <c r="B20" s="12" t="n"/>
      <c r="C20" s="12" t="n"/>
      <c r="D20" s="12" t="n"/>
      <c r="E20" s="12" t="n"/>
      <c r="F20" s="12" t="n"/>
      <c r="G20" s="12" t="n"/>
      <c r="H20" s="13">
        <f>SUM(H13:H19)</f>
        <v/>
      </c>
      <c r="I20" s="12" t="n"/>
      <c r="J20" s="12" t="n"/>
      <c r="K20" s="12" t="n"/>
      <c r="L20" s="12" t="n"/>
    </row>
    <row r="21">
      <c r="A21" s="11" t="inlineStr">
        <is>
          <t>Tổng thanh toán (đã VAT)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>
        <f>SUM(J13:J19)</f>
        <v/>
      </c>
      <c r="K21" s="12" t="n"/>
      <c r="L21" s="12" t="n"/>
    </row>
    <row r="23">
      <c r="A23" s="14" t="inlineStr">
        <is>
          <t>Tổng số tiền bằng chữ: Bốn mươi mốt triệu tám trăm mười chín nghìn bảy trăm năm mươi bảy đồng chẵn./.</t>
        </is>
      </c>
    </row>
    <row r="26">
      <c r="A26" s="14" t="inlineStr">
        <is>
          <t>Thông tin chuyển khoản:</t>
        </is>
      </c>
    </row>
    <row r="27">
      <c r="A27" s="15" t="inlineStr">
        <is>
          <t>Tài khoản: Công Ty TNHH Thương mại và dịch vụ 5P Việt Nam</t>
        </is>
      </c>
    </row>
    <row r="28">
      <c r="A28" s="15" t="inlineStr">
        <is>
          <t>Số tài khoản: 346886</t>
        </is>
      </c>
    </row>
    <row r="29">
      <c r="A29" s="16" t="inlineStr">
        <is>
          <t>Tại Ngân hàng: Ngân hàng TMCP Kỹ thương Việt Nam - Techcombank Chi nhánh Đông Đô</t>
        </is>
      </c>
    </row>
  </sheetData>
  <mergeCells count="4">
    <mergeCell ref="A21:G21"/>
    <mergeCell ref="A20:G20"/>
    <mergeCell ref="A6:L6"/>
    <mergeCell ref="A29:F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2026-04-20T15:07:02Z</dcterms:created>
  <dcterms:modified xsi:type="dcterms:W3CDTF">2026-04-20T15:07:02Z</dcterms:modified>
</cp:coreProperties>
</file>