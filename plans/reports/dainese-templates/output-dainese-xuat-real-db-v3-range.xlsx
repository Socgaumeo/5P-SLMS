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Ấ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_(* #,##0_);_(* (#,##0);_(* &quot;-&quot;_);_(@_)"/>
    <numFmt numFmtId="166" formatCode="d/m/yyyy"/>
  </numFmts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8"/>
    </font>
    <font>
      <name val="Times New Roman"/>
      <b val="1"/>
      <i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1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selection activeCell="A1" sqref="A1"/>
    </sheetView>
  </sheetViews>
  <sheetFormatPr baseColWidth="8" defaultRowHeight="15"/>
  <cols>
    <col width="5.4" customWidth="1" min="1" max="1"/>
    <col width="16" customWidth="1" min="2" max="2"/>
    <col width="21.2" customWidth="1" min="3" max="3"/>
    <col width="32.5" customWidth="1" min="4" max="4"/>
    <col width="13.7" customWidth="1" min="5" max="5"/>
    <col width="27.7" customWidth="1" min="6" max="6"/>
    <col width="11.4" customWidth="1" min="7" max="7"/>
    <col width="13.5" customWidth="1" min="8" max="8"/>
    <col width="13.4" customWidth="1" min="9" max="9"/>
    <col width="12.8" customWidth="1" min="10" max="10"/>
    <col width="16.2" customWidth="1" min="11" max="11"/>
    <col width="14" customWidth="1" min="12" max="12"/>
    <col width="15.4" customWidth="1" min="13" max="13"/>
    <col width="11" customWidth="1" min="14" max="14"/>
    <col width="11" customWidth="1" min="15" max="15"/>
    <col width="11" customWidth="1" min="16" max="16"/>
    <col width="14.5" customWidth="1" min="17" max="17"/>
    <col width="14.5" customWidth="1" min="18" max="18"/>
    <col width="13.7" customWidth="1" min="19" max="19"/>
    <col width="12.6" customWidth="1" min="20" max="20"/>
    <col width="13.8" customWidth="1" min="21" max="21"/>
    <col width="11" customWidth="1" min="22" max="22"/>
    <col width="11" customWidth="1" min="23" max="23"/>
    <col width="12.1" customWidth="1" min="24" max="24"/>
    <col width="11.5" customWidth="1" min="25" max="25"/>
    <col width="11.5" customWidth="1" min="26" max="26"/>
    <col width="14.2" customWidth="1" min="27" max="27"/>
    <col width="14.2" customWidth="1" min="28" max="28"/>
    <col width="18.5" customWidth="1" min="29" max="29"/>
    <col width="16.7" customWidth="1" min="30" max="30"/>
    <col width="17.6" customWidth="1" min="31" max="31"/>
    <col width="16.9" customWidth="1" min="32" max="3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22" customHeight="1">
      <c r="A5" s="2" t="inlineStr">
        <is>
          <t>BẢNG KÊ CHI TIẾT DỊCH VỤ HÀNG XUẤT THÁNG 04 NĂM 2026</t>
        </is>
      </c>
    </row>
    <row r="7">
      <c r="B7" s="1" t="inlineStr">
        <is>
          <t>KÍNH GỬI :  Công ty TNHH Dainese Việt Nam</t>
        </is>
      </c>
    </row>
    <row r="8">
      <c r="B8" s="1" t="inlineStr">
        <is>
          <t>Địa chỉ : Lô CN13 Lô CN18 Khu Công nghiệp Yên Bình, Phường Vạn Xuân, Tỉnh Thái Nguyên, Việt Nam</t>
        </is>
      </c>
    </row>
    <row r="9">
      <c r="B9" s="1" t="inlineStr">
        <is>
          <t xml:space="preserve">Attn:   </t>
        </is>
      </c>
    </row>
    <row r="10" ht="16" customHeight="1"/>
    <row r="11" ht="30" customHeight="1">
      <c r="A11" s="3" t="inlineStr">
        <is>
          <t>Thông tin chung</t>
        </is>
      </c>
      <c r="B11" s="4" t="n"/>
      <c r="C11" s="4" t="n"/>
      <c r="D11" s="4" t="n"/>
      <c r="E11" s="4" t="n"/>
      <c r="F11" s="4" t="n"/>
      <c r="G11" s="4" t="n"/>
      <c r="H11" s="3" t="inlineStr">
        <is>
          <t>Khối lượng</t>
        </is>
      </c>
      <c r="I11" s="4" t="n"/>
      <c r="J11" s="3" t="inlineStr">
        <is>
          <t>Luồng</t>
        </is>
      </c>
      <c r="K11" s="3" t="inlineStr">
        <is>
          <t xml:space="preserve">Phí dịch vụ làm hàng  ( VND) 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3" t="inlineStr">
        <is>
          <t>Phí trả hộ</t>
        </is>
      </c>
      <c r="Z11" s="4" t="n"/>
      <c r="AA11" s="4" t="n"/>
      <c r="AB11" s="4" t="n"/>
      <c r="AC11" s="3" t="inlineStr">
        <is>
          <t xml:space="preserve">Tổng tiền phải trả </t>
        </is>
      </c>
      <c r="AD11" s="3" t="inlineStr">
        <is>
          <t>Thu chi hộ</t>
        </is>
      </c>
      <c r="AE11" s="4" t="n"/>
      <c r="AF11" s="3" t="inlineStr">
        <is>
          <t>Số hóa đơn của forwarder</t>
        </is>
      </c>
    </row>
    <row r="12" ht="36" customHeight="1">
      <c r="A12" s="5" t="inlineStr">
        <is>
          <t>No.</t>
        </is>
      </c>
      <c r="B12" s="5" t="inlineStr">
        <is>
          <t>Tờ khai</t>
        </is>
      </c>
      <c r="C12" s="5" t="inlineStr">
        <is>
          <t>Hóa đơn thương mại</t>
        </is>
      </c>
      <c r="D12" s="5" t="inlineStr">
        <is>
          <t>Note</t>
        </is>
      </c>
      <c r="E12" s="5" t="inlineStr">
        <is>
          <t>Ngày tờ khai</t>
        </is>
      </c>
      <c r="F12" s="5" t="inlineStr">
        <is>
          <t>Tuyến đường</t>
        </is>
      </c>
      <c r="G12" s="5" t="inlineStr">
        <is>
          <t>Loại hình</t>
        </is>
      </c>
      <c r="H12" s="5" t="inlineStr">
        <is>
          <t>Kgs</t>
        </is>
      </c>
      <c r="I12" s="5" t="inlineStr">
        <is>
          <t>No. Cont</t>
        </is>
      </c>
      <c r="J12" s="4" t="n"/>
      <c r="K12" s="5" t="inlineStr">
        <is>
          <t>Phí mở tờ khai hải quan</t>
        </is>
      </c>
      <c r="L12" s="5" t="inlineStr">
        <is>
          <t>Phí kiểm hóa</t>
        </is>
      </c>
      <c r="M12" s="5" t="inlineStr">
        <is>
          <t>Phí vận chuyển</t>
        </is>
      </c>
      <c r="N12" s="5" t="inlineStr">
        <is>
          <t>Phí làm hàng</t>
        </is>
      </c>
      <c r="O12" s="5" t="inlineStr">
        <is>
          <t>Phí phát sinh khác</t>
        </is>
      </c>
      <c r="P12" s="5" t="inlineStr">
        <is>
          <t>Phí phục vụ kiểm hóa tại cảng</t>
        </is>
      </c>
      <c r="Q12" s="5" t="inlineStr">
        <is>
          <t>Phí đầu nước ngoài</t>
        </is>
      </c>
      <c r="R12" s="5" t="inlineStr">
        <is>
          <t>Cước vận tải quốc tế</t>
        </is>
      </c>
      <c r="S12" s="5" t="inlineStr">
        <is>
          <t>Phí xếp dỡ (THC)</t>
        </is>
      </c>
      <c r="T12" s="5" t="inlineStr">
        <is>
          <t>Phí gom hàng lẻ (CFS)/
CIC/ LSS</t>
        </is>
      </c>
      <c r="U12" s="5" t="inlineStr">
        <is>
          <t>Phí lấy lệnh  (DO)</t>
        </is>
      </c>
      <c r="V12" s="5" t="inlineStr">
        <is>
          <t>Phí  đại lý,</t>
        </is>
      </c>
      <c r="W12" s="5" t="inlineStr">
        <is>
          <t>Phụ phí xăng dầu</t>
        </is>
      </c>
      <c r="X12" s="5" t="inlineStr">
        <is>
          <t>Tổng</t>
        </is>
      </c>
      <c r="Y12" s="5" t="inlineStr">
        <is>
          <t>Local charge</t>
        </is>
      </c>
      <c r="Z12" s="5" t="inlineStr">
        <is>
          <t>CSHT, thuế</t>
        </is>
      </c>
      <c r="AA12" s="5" t="inlineStr">
        <is>
          <t>Lưu kho giao nhận bốc xếp, nâng hạ</t>
        </is>
      </c>
      <c r="AB12" s="5" t="inlineStr">
        <is>
          <t>Tổng phí trả hộ</t>
        </is>
      </c>
      <c r="AC12" s="4" t="n"/>
      <c r="AD12" s="5" t="inlineStr">
        <is>
          <t>HĐ TCH</t>
        </is>
      </c>
      <c r="AE12" s="5" t="inlineStr">
        <is>
          <t>Total</t>
        </is>
      </c>
      <c r="AF12" s="4" t="n"/>
    </row>
    <row r="13" ht="33" customHeight="1">
      <c r="A13" s="6" t="n">
        <v>1</v>
      </c>
      <c r="B13" s="6" t="inlineStr">
        <is>
          <t>308272507560</t>
        </is>
      </c>
      <c r="C13" s="6" t="inlineStr">
        <is>
          <t>V126000006</t>
        </is>
      </c>
      <c r="D13" s="6" t="inlineStr">
        <is>
          <t>MAVETS.R.L.</t>
        </is>
      </c>
      <c r="E13" s="7" t="n">
        <v>46079</v>
      </c>
      <c r="F13" s="6" t="inlineStr"/>
      <c r="G13" s="6" t="inlineStr">
        <is>
          <t>DHL</t>
        </is>
      </c>
      <c r="H13" s="6" t="inlineStr"/>
      <c r="I13" s="6" t="inlineStr"/>
      <c r="J13" s="6" t="inlineStr">
        <is>
          <t>Xanh</t>
        </is>
      </c>
      <c r="K13" s="8" t="n">
        <v>600000</v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9">
        <f>M13*0.145</f>
        <v/>
      </c>
      <c r="X13" s="8">
        <f>SUM(K13:W13)</f>
        <v/>
      </c>
      <c r="Y13" s="8" t="n"/>
      <c r="Z13" s="8" t="n"/>
      <c r="AA13" s="8" t="n"/>
      <c r="AB13" s="8">
        <f>SUM(Y13:AA13)</f>
        <v/>
      </c>
      <c r="AC13" s="8">
        <f>+X13+AB13</f>
        <v/>
      </c>
      <c r="AD13" s="6" t="inlineStr"/>
      <c r="AE13" s="6" t="inlineStr"/>
      <c r="AF13" s="6" t="inlineStr"/>
    </row>
    <row r="14" ht="33" customHeight="1">
      <c r="A14" s="6" t="n">
        <v>2</v>
      </c>
      <c r="B14" s="6" t="inlineStr">
        <is>
          <t>308273214600</t>
        </is>
      </c>
      <c r="C14" s="6" t="inlineStr">
        <is>
          <t>DAVN-000553</t>
        </is>
      </c>
      <c r="D14" s="6" t="inlineStr">
        <is>
          <t>DAINESE S.P.A</t>
        </is>
      </c>
      <c r="E14" s="7" t="n">
        <v>46079</v>
      </c>
      <c r="F14" s="6" t="inlineStr"/>
      <c r="G14" s="6" t="inlineStr">
        <is>
          <t>DHL</t>
        </is>
      </c>
      <c r="H14" s="6" t="inlineStr"/>
      <c r="I14" s="6" t="inlineStr"/>
      <c r="J14" s="6" t="inlineStr">
        <is>
          <t>Xanh</t>
        </is>
      </c>
      <c r="K14" s="8" t="n">
        <v>600000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9">
        <f>M14*0.145</f>
        <v/>
      </c>
      <c r="X14" s="8">
        <f>SUM(K14:W14)</f>
        <v/>
      </c>
      <c r="Y14" s="8" t="n"/>
      <c r="Z14" s="8" t="n"/>
      <c r="AA14" s="8" t="n"/>
      <c r="AB14" s="8">
        <f>SUM(Y14:AA14)</f>
        <v/>
      </c>
      <c r="AC14" s="8">
        <f>+X14+AB14</f>
        <v/>
      </c>
      <c r="AD14" s="6" t="inlineStr"/>
      <c r="AE14" s="6" t="inlineStr"/>
      <c r="AF14" s="6" t="inlineStr"/>
    </row>
    <row r="15" ht="33" customHeight="1">
      <c r="A15" s="6" t="n">
        <v>3</v>
      </c>
      <c r="B15" s="6" t="inlineStr">
        <is>
          <t>308274063550</t>
        </is>
      </c>
      <c r="C15" s="6" t="inlineStr">
        <is>
          <t>VEI2600052</t>
        </is>
      </c>
      <c r="D15" s="6" t="inlineStr">
        <is>
          <t>DAINESE S.P.A.</t>
        </is>
      </c>
      <c r="E15" s="7" t="n">
        <v>46079</v>
      </c>
      <c r="F15" s="6" t="inlineStr"/>
      <c r="G15" s="6" t="inlineStr">
        <is>
          <t>KNQ</t>
        </is>
      </c>
      <c r="H15" s="6" t="inlineStr"/>
      <c r="I15" s="6" t="inlineStr"/>
      <c r="J15" s="6" t="inlineStr">
        <is>
          <t>Xanh</t>
        </is>
      </c>
      <c r="K15" s="8" t="n">
        <v>600000</v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9">
        <f>M15*0.145</f>
        <v/>
      </c>
      <c r="X15" s="8">
        <f>SUM(K15:W15)</f>
        <v/>
      </c>
      <c r="Y15" s="8" t="n"/>
      <c r="Z15" s="8" t="n"/>
      <c r="AA15" s="8" t="n"/>
      <c r="AB15" s="8">
        <f>SUM(Y15:AA15)</f>
        <v/>
      </c>
      <c r="AC15" s="8">
        <f>+X15+AB15</f>
        <v/>
      </c>
      <c r="AD15" s="6" t="inlineStr"/>
      <c r="AE15" s="6" t="inlineStr"/>
      <c r="AF15" s="6" t="inlineStr"/>
    </row>
    <row r="16" ht="33" customHeight="1">
      <c r="A16" s="6" t="n">
        <v>4</v>
      </c>
      <c r="B16" s="6" t="inlineStr">
        <is>
          <t>308274068560</t>
        </is>
      </c>
      <c r="C16" s="6" t="inlineStr">
        <is>
          <t>VEI2600052</t>
        </is>
      </c>
      <c r="D16" s="6" t="inlineStr">
        <is>
          <t>DAINESE S.P.A.</t>
        </is>
      </c>
      <c r="E16" s="7" t="n">
        <v>46079</v>
      </c>
      <c r="F16" s="6" t="inlineStr"/>
      <c r="G16" s="6" t="inlineStr">
        <is>
          <t>KNQ</t>
        </is>
      </c>
      <c r="H16" s="6" t="inlineStr"/>
      <c r="I16" s="6" t="inlineStr"/>
      <c r="J16" s="6" t="inlineStr">
        <is>
          <t>Xanh</t>
        </is>
      </c>
      <c r="K16" s="8" t="n">
        <v>600000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>
        <f>M16*0.145</f>
        <v/>
      </c>
      <c r="X16" s="8">
        <f>SUM(K16:W16)</f>
        <v/>
      </c>
      <c r="Y16" s="8" t="n"/>
      <c r="Z16" s="8" t="n"/>
      <c r="AA16" s="8" t="n"/>
      <c r="AB16" s="8">
        <f>SUM(Y16:AA16)</f>
        <v/>
      </c>
      <c r="AC16" s="8">
        <f>+X16+AB16</f>
        <v/>
      </c>
      <c r="AD16" s="6" t="inlineStr"/>
      <c r="AE16" s="6" t="inlineStr"/>
      <c r="AF16" s="6" t="inlineStr"/>
    </row>
    <row r="17" ht="33" customHeight="1">
      <c r="A17" s="6" t="n">
        <v>5</v>
      </c>
      <c r="B17" s="6" t="inlineStr">
        <is>
          <t>308277626550</t>
        </is>
      </c>
      <c r="C17" s="6" t="inlineStr">
        <is>
          <t>V126000007</t>
        </is>
      </c>
      <c r="D17" s="6" t="inlineStr">
        <is>
          <t>TOPKEY CORPORATION</t>
        </is>
      </c>
      <c r="E17" s="7" t="n">
        <v>46080</v>
      </c>
      <c r="F17" s="6" t="inlineStr">
        <is>
          <t>20'DC - 15H12273 - KCN Yên Bình, TN- Hải Phòng</t>
        </is>
      </c>
      <c r="G17" s="6" t="inlineStr">
        <is>
          <t>SEA</t>
        </is>
      </c>
      <c r="H17" s="6" t="inlineStr"/>
      <c r="I17" s="6" t="inlineStr"/>
      <c r="J17" s="6" t="inlineStr">
        <is>
          <t>Xanh</t>
        </is>
      </c>
      <c r="K17" s="8" t="n">
        <v>790650</v>
      </c>
      <c r="L17" s="8" t="n"/>
      <c r="M17" s="8" t="n">
        <v>5534550</v>
      </c>
      <c r="N17" s="8" t="n"/>
      <c r="O17" s="8" t="n">
        <v>1066059.75</v>
      </c>
      <c r="P17" s="8" t="n"/>
      <c r="Q17" s="8" t="n"/>
      <c r="R17" s="8" t="n"/>
      <c r="S17" s="8" t="n"/>
      <c r="T17" s="8" t="n"/>
      <c r="U17" s="8" t="n"/>
      <c r="V17" s="8" t="n"/>
      <c r="W17" s="9">
        <f>M17*0.145</f>
        <v/>
      </c>
      <c r="X17" s="8">
        <f>SUM(K17:W17)</f>
        <v/>
      </c>
      <c r="Y17" s="8" t="n">
        <v>5577508</v>
      </c>
      <c r="Z17" s="8" t="n">
        <v>250000</v>
      </c>
      <c r="AA17" s="8" t="n">
        <v>2350000</v>
      </c>
      <c r="AB17" s="8">
        <f>SUM(Y17:AA17)</f>
        <v/>
      </c>
      <c r="AC17" s="8">
        <f>+X17+AB17</f>
        <v/>
      </c>
      <c r="AD17" s="6" t="inlineStr"/>
      <c r="AE17" s="6" t="inlineStr"/>
      <c r="AF17" s="6" t="inlineStr"/>
    </row>
    <row r="18" ht="33" customHeight="1">
      <c r="A18" s="6" t="n">
        <v>6</v>
      </c>
      <c r="B18" s="6" t="inlineStr">
        <is>
          <t>308276827040</t>
        </is>
      </c>
      <c r="C18" s="6" t="inlineStr">
        <is>
          <t>VEI2600054</t>
        </is>
      </c>
      <c r="D18" s="6" t="inlineStr">
        <is>
          <t>DAINESE S.P.A.</t>
        </is>
      </c>
      <c r="E18" s="7" t="n">
        <v>46080</v>
      </c>
      <c r="F18" s="6" t="inlineStr">
        <is>
          <t>10T CD - 15H 02397 -  KCN Yên Bình, TN- Hải Phòng</t>
        </is>
      </c>
      <c r="G18" s="6" t="inlineStr">
        <is>
          <t>KNQ</t>
        </is>
      </c>
      <c r="H18" s="6" t="inlineStr"/>
      <c r="I18" s="6" t="inlineStr"/>
      <c r="J18" s="6" t="inlineStr">
        <is>
          <t>Xanh</t>
        </is>
      </c>
      <c r="K18" s="8" t="n">
        <v>600000</v>
      </c>
      <c r="L18" s="8" t="n"/>
      <c r="M18" s="8" t="n">
        <v>4830000</v>
      </c>
      <c r="N18" s="8" t="n"/>
      <c r="O18" s="8" t="n">
        <v>1110350</v>
      </c>
      <c r="P18" s="8" t="n"/>
      <c r="Q18" s="8" t="n"/>
      <c r="R18" s="8" t="n"/>
      <c r="S18" s="8" t="n"/>
      <c r="T18" s="8" t="n"/>
      <c r="U18" s="8" t="n"/>
      <c r="V18" s="8" t="n"/>
      <c r="W18" s="9">
        <f>M18*0.145</f>
        <v/>
      </c>
      <c r="X18" s="8">
        <f>SUM(K18:W18)</f>
        <v/>
      </c>
      <c r="Y18" s="8" t="n"/>
      <c r="Z18" s="8" t="n"/>
      <c r="AA18" s="8" t="n"/>
      <c r="AB18" s="8">
        <f>SUM(Y18:AA18)</f>
        <v/>
      </c>
      <c r="AC18" s="8">
        <f>+X18+AB18</f>
        <v/>
      </c>
      <c r="AD18" s="6" t="inlineStr"/>
      <c r="AE18" s="6" t="inlineStr"/>
      <c r="AF18" s="6" t="inlineStr"/>
    </row>
    <row r="19" ht="33" customHeight="1">
      <c r="A19" s="6" t="n">
        <v>7</v>
      </c>
      <c r="B19" s="6" t="inlineStr">
        <is>
          <t>308276835440</t>
        </is>
      </c>
      <c r="C19" s="6" t="inlineStr">
        <is>
          <t>VEI2600054</t>
        </is>
      </c>
      <c r="D19" s="6" t="inlineStr">
        <is>
          <t>DAINESE S.P.A.</t>
        </is>
      </c>
      <c r="E19" s="7" t="n">
        <v>46080</v>
      </c>
      <c r="F19" s="6" t="inlineStr"/>
      <c r="G19" s="6" t="inlineStr">
        <is>
          <t>KNQ</t>
        </is>
      </c>
      <c r="H19" s="6" t="inlineStr"/>
      <c r="I19" s="6" t="inlineStr"/>
      <c r="J19" s="6" t="inlineStr">
        <is>
          <t>Xanh</t>
        </is>
      </c>
      <c r="K19" s="8" t="n">
        <v>600000</v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9">
        <f>M19*0.145</f>
        <v/>
      </c>
      <c r="X19" s="8">
        <f>SUM(K19:W19)</f>
        <v/>
      </c>
      <c r="Y19" s="8" t="n"/>
      <c r="Z19" s="8" t="n"/>
      <c r="AA19" s="8" t="n"/>
      <c r="AB19" s="8">
        <f>SUM(Y19:AA19)</f>
        <v/>
      </c>
      <c r="AC19" s="8">
        <f>+X19+AB19</f>
        <v/>
      </c>
      <c r="AD19" s="6" t="inlineStr"/>
      <c r="AE19" s="6" t="inlineStr"/>
      <c r="AF19" s="6" t="inlineStr"/>
    </row>
    <row r="20" ht="33" customHeight="1">
      <c r="A20" s="6" t="n">
        <v>8</v>
      </c>
      <c r="B20" s="6" t="inlineStr">
        <is>
          <t>308277806560</t>
        </is>
      </c>
      <c r="C20" s="6" t="inlineStr">
        <is>
          <t>VEI2600053</t>
        </is>
      </c>
      <c r="D20" s="6" t="inlineStr">
        <is>
          <t>DAINESE S.P.A.</t>
        </is>
      </c>
      <c r="E20" s="7" t="n">
        <v>46080</v>
      </c>
      <c r="F20" s="6" t="inlineStr"/>
      <c r="G20" s="6" t="inlineStr">
        <is>
          <t>DHL</t>
        </is>
      </c>
      <c r="H20" s="6" t="inlineStr"/>
      <c r="I20" s="6" t="inlineStr"/>
      <c r="J20" s="6" t="inlineStr">
        <is>
          <t>Xanh</t>
        </is>
      </c>
      <c r="K20" s="8" t="n">
        <v>600000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>
        <f>M20*0.145</f>
        <v/>
      </c>
      <c r="X20" s="8">
        <f>SUM(K20:W20)</f>
        <v/>
      </c>
      <c r="Y20" s="8" t="n"/>
      <c r="Z20" s="8" t="n"/>
      <c r="AA20" s="8" t="n"/>
      <c r="AB20" s="8">
        <f>SUM(Y20:AA20)</f>
        <v/>
      </c>
      <c r="AC20" s="8">
        <f>+X20+AB20</f>
        <v/>
      </c>
      <c r="AD20" s="6" t="inlineStr"/>
      <c r="AE20" s="6" t="inlineStr"/>
      <c r="AF20" s="6" t="inlineStr"/>
    </row>
    <row r="21" ht="33" customHeight="1">
      <c r="A21" s="6" t="n">
        <v>9</v>
      </c>
      <c r="B21" s="6" t="inlineStr">
        <is>
          <t>308282183330</t>
        </is>
      </c>
      <c r="C21" s="6" t="inlineStr">
        <is>
          <t>VEI2600056</t>
        </is>
      </c>
      <c r="D21" s="6" t="inlineStr">
        <is>
          <t>DAINESE S.P.A.</t>
        </is>
      </c>
      <c r="E21" s="7" t="n">
        <v>46083</v>
      </c>
      <c r="F21" s="6" t="inlineStr">
        <is>
          <t>10T CD - 15H 02397-   KCN Yên Bình, TN- Hải Phòng</t>
        </is>
      </c>
      <c r="G21" s="6" t="inlineStr">
        <is>
          <t>KNQ</t>
        </is>
      </c>
      <c r="H21" s="6" t="inlineStr"/>
      <c r="I21" s="6" t="inlineStr"/>
      <c r="J21" s="6" t="inlineStr">
        <is>
          <t>Xanh</t>
        </is>
      </c>
      <c r="K21" s="8" t="n">
        <v>600000</v>
      </c>
      <c r="L21" s="8" t="n"/>
      <c r="M21" s="8" t="n">
        <v>4830000</v>
      </c>
      <c r="N21" s="8" t="n"/>
      <c r="O21" s="8" t="n">
        <v>700350</v>
      </c>
      <c r="P21" s="8" t="n"/>
      <c r="Q21" s="8" t="n"/>
      <c r="R21" s="8" t="n"/>
      <c r="S21" s="8" t="n"/>
      <c r="T21" s="8" t="n"/>
      <c r="U21" s="8" t="n"/>
      <c r="V21" s="8" t="n"/>
      <c r="W21" s="9">
        <f>M21*0.145</f>
        <v/>
      </c>
      <c r="X21" s="8">
        <f>SUM(K21:W21)</f>
        <v/>
      </c>
      <c r="Y21" s="8" t="n"/>
      <c r="Z21" s="8" t="n"/>
      <c r="AA21" s="8" t="n"/>
      <c r="AB21" s="8">
        <f>SUM(Y21:AA21)</f>
        <v/>
      </c>
      <c r="AC21" s="8">
        <f>+X21+AB21</f>
        <v/>
      </c>
      <c r="AD21" s="6" t="inlineStr"/>
      <c r="AE21" s="6" t="inlineStr"/>
      <c r="AF21" s="6" t="inlineStr"/>
    </row>
    <row r="22" ht="33" customHeight="1">
      <c r="A22" s="6" t="n">
        <v>10</v>
      </c>
      <c r="B22" s="6" t="inlineStr">
        <is>
          <t>308286658210</t>
        </is>
      </c>
      <c r="C22" s="6" t="inlineStr">
        <is>
          <t>VEI2600058</t>
        </is>
      </c>
      <c r="D22" s="6" t="inlineStr">
        <is>
          <t>DAINESE S.P.A.</t>
        </is>
      </c>
      <c r="E22" s="7" t="n">
        <v>46084</v>
      </c>
      <c r="F22" s="6" t="inlineStr">
        <is>
          <t>10T CD - 15H 02376-  KCN Yên Bình, TN- Hải Phòng</t>
        </is>
      </c>
      <c r="G22" s="6" t="inlineStr">
        <is>
          <t>KNQ</t>
        </is>
      </c>
      <c r="H22" s="6" t="inlineStr"/>
      <c r="I22" s="6" t="inlineStr"/>
      <c r="J22" s="6" t="inlineStr">
        <is>
          <t>Xanh</t>
        </is>
      </c>
      <c r="K22" s="8" t="n">
        <v>600000</v>
      </c>
      <c r="L22" s="8" t="n"/>
      <c r="M22" s="8" t="n">
        <v>4830000</v>
      </c>
      <c r="N22" s="8" t="n"/>
      <c r="O22" s="8" t="n">
        <v>700350</v>
      </c>
      <c r="P22" s="8" t="n"/>
      <c r="Q22" s="8" t="n"/>
      <c r="R22" s="8" t="n"/>
      <c r="S22" s="8" t="n"/>
      <c r="T22" s="8" t="n"/>
      <c r="U22" s="8" t="n"/>
      <c r="V22" s="8" t="n"/>
      <c r="W22" s="9">
        <f>M22*0.145</f>
        <v/>
      </c>
      <c r="X22" s="8">
        <f>SUM(K22:W22)</f>
        <v/>
      </c>
      <c r="Y22" s="8" t="n"/>
      <c r="Z22" s="8" t="n"/>
      <c r="AA22" s="8" t="n"/>
      <c r="AB22" s="8">
        <f>SUM(Y22:AA22)</f>
        <v/>
      </c>
      <c r="AC22" s="8">
        <f>+X22+AB22</f>
        <v/>
      </c>
      <c r="AD22" s="6" t="inlineStr"/>
      <c r="AE22" s="6" t="inlineStr"/>
      <c r="AF22" s="6" t="inlineStr"/>
    </row>
    <row r="23" ht="33" customHeight="1">
      <c r="A23" s="6" t="n">
        <v>11</v>
      </c>
      <c r="B23" s="6" t="inlineStr">
        <is>
          <t>308290631520</t>
        </is>
      </c>
      <c r="C23" s="6" t="inlineStr">
        <is>
          <t>DAVN-000555</t>
        </is>
      </c>
      <c r="D23" s="6" t="inlineStr">
        <is>
          <t>DAINESE S.P.A.</t>
        </is>
      </c>
      <c r="E23" s="7" t="n">
        <v>46085</v>
      </c>
      <c r="F23" s="6" t="inlineStr"/>
      <c r="G23" s="6" t="inlineStr">
        <is>
          <t>DHL</t>
        </is>
      </c>
      <c r="H23" s="6" t="inlineStr"/>
      <c r="I23" s="6" t="inlineStr"/>
      <c r="J23" s="6" t="inlineStr">
        <is>
          <t>Xanh</t>
        </is>
      </c>
      <c r="K23" s="8" t="n">
        <v>600000</v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>
        <f>M23*0.145</f>
        <v/>
      </c>
      <c r="X23" s="8">
        <f>SUM(K23:W23)</f>
        <v/>
      </c>
      <c r="Y23" s="8" t="n"/>
      <c r="Z23" s="8" t="n"/>
      <c r="AA23" s="8" t="n"/>
      <c r="AB23" s="8">
        <f>SUM(Y23:AA23)</f>
        <v/>
      </c>
      <c r="AC23" s="8">
        <f>+X23+AB23</f>
        <v/>
      </c>
      <c r="AD23" s="6" t="inlineStr"/>
      <c r="AE23" s="6" t="inlineStr"/>
      <c r="AF23" s="6" t="inlineStr"/>
    </row>
    <row r="24" ht="33" customHeight="1">
      <c r="A24" s="6" t="n">
        <v>12</v>
      </c>
      <c r="B24" s="6" t="inlineStr">
        <is>
          <t>308290630560</t>
        </is>
      </c>
      <c r="C24" s="6" t="inlineStr">
        <is>
          <t>VEI2600059</t>
        </is>
      </c>
      <c r="D24" s="6" t="inlineStr">
        <is>
          <t>DAINESE S.P.A.</t>
        </is>
      </c>
      <c r="E24" s="7" t="n">
        <v>46085</v>
      </c>
      <c r="F24" s="6" t="inlineStr">
        <is>
          <t>10T CD -15C 32086-   KCN Yên Bình, TN- Hải Phòng</t>
        </is>
      </c>
      <c r="G24" s="6" t="inlineStr">
        <is>
          <t>KNQ</t>
        </is>
      </c>
      <c r="H24" s="6" t="inlineStr"/>
      <c r="I24" s="6" t="inlineStr"/>
      <c r="J24" s="6" t="inlineStr">
        <is>
          <t>Xanh</t>
        </is>
      </c>
      <c r="K24" s="8" t="n">
        <v>600000</v>
      </c>
      <c r="L24" s="8" t="n"/>
      <c r="M24" s="8" t="n">
        <v>4830000</v>
      </c>
      <c r="N24" s="8" t="n"/>
      <c r="O24" s="8" t="n">
        <v>700350</v>
      </c>
      <c r="P24" s="8" t="n"/>
      <c r="Q24" s="8" t="n"/>
      <c r="R24" s="8" t="n"/>
      <c r="S24" s="8" t="n"/>
      <c r="T24" s="8" t="n"/>
      <c r="U24" s="8" t="n"/>
      <c r="V24" s="8" t="n"/>
      <c r="W24" s="9">
        <f>M24*0.145</f>
        <v/>
      </c>
      <c r="X24" s="8">
        <f>SUM(K24:W24)</f>
        <v/>
      </c>
      <c r="Y24" s="8" t="n"/>
      <c r="Z24" s="8" t="n"/>
      <c r="AA24" s="8" t="n"/>
      <c r="AB24" s="8">
        <f>SUM(Y24:AA24)</f>
        <v/>
      </c>
      <c r="AC24" s="8">
        <f>+X24+AB24</f>
        <v/>
      </c>
      <c r="AD24" s="6" t="inlineStr"/>
      <c r="AE24" s="6" t="inlineStr"/>
      <c r="AF24" s="6" t="inlineStr"/>
    </row>
    <row r="25" ht="33" customHeight="1">
      <c r="A25" s="6" t="n">
        <v>13</v>
      </c>
      <c r="B25" s="6" t="inlineStr">
        <is>
          <t>308294009460</t>
        </is>
      </c>
      <c r="C25" s="6" t="inlineStr">
        <is>
          <t>VEI2600060</t>
        </is>
      </c>
      <c r="D25" s="6" t="inlineStr">
        <is>
          <t>DAINESE S.P.A.</t>
        </is>
      </c>
      <c r="E25" s="7" t="n">
        <v>46086</v>
      </c>
      <c r="F25" s="6" t="inlineStr">
        <is>
          <t>10T CD -  15C 32086- KCN Yên Bình, TN- Hải Phòng</t>
        </is>
      </c>
      <c r="G25" s="6" t="inlineStr">
        <is>
          <t>KNQ</t>
        </is>
      </c>
      <c r="H25" s="6" t="inlineStr"/>
      <c r="I25" s="6" t="inlineStr"/>
      <c r="J25" s="6" t="inlineStr">
        <is>
          <t>Xanh</t>
        </is>
      </c>
      <c r="K25" s="8" t="n">
        <v>600000</v>
      </c>
      <c r="L25" s="8" t="n"/>
      <c r="M25" s="8" t="n">
        <v>4830000</v>
      </c>
      <c r="N25" s="8" t="n"/>
      <c r="O25" s="8" t="n">
        <v>700350</v>
      </c>
      <c r="P25" s="8" t="n"/>
      <c r="Q25" s="8" t="n"/>
      <c r="R25" s="8" t="n"/>
      <c r="S25" s="8" t="n"/>
      <c r="T25" s="8" t="n"/>
      <c r="U25" s="8" t="n"/>
      <c r="V25" s="8" t="n"/>
      <c r="W25" s="9">
        <f>M25*0.145</f>
        <v/>
      </c>
      <c r="X25" s="8">
        <f>SUM(K25:W25)</f>
        <v/>
      </c>
      <c r="Y25" s="8" t="n"/>
      <c r="Z25" s="8" t="n"/>
      <c r="AA25" s="8" t="n"/>
      <c r="AB25" s="8">
        <f>SUM(Y25:AA25)</f>
        <v/>
      </c>
      <c r="AC25" s="8">
        <f>+X25+AB25</f>
        <v/>
      </c>
      <c r="AD25" s="6" t="inlineStr"/>
      <c r="AE25" s="6" t="inlineStr"/>
      <c r="AF25" s="6" t="inlineStr"/>
    </row>
    <row r="26" ht="33" customHeight="1">
      <c r="A26" s="6" t="n">
        <v>14</v>
      </c>
      <c r="B26" s="6" t="inlineStr">
        <is>
          <t>308300136930</t>
        </is>
      </c>
      <c r="C26" s="6" t="inlineStr">
        <is>
          <t>DAVN-000558</t>
        </is>
      </c>
      <c r="D26" s="6" t="inlineStr">
        <is>
          <t>DAINESE S.P.A.</t>
        </is>
      </c>
      <c r="E26" s="7" t="n">
        <v>46087</v>
      </c>
      <c r="F26" s="6" t="inlineStr"/>
      <c r="G26" s="6" t="inlineStr">
        <is>
          <t>DHL</t>
        </is>
      </c>
      <c r="H26" s="6" t="inlineStr"/>
      <c r="I26" s="6" t="inlineStr"/>
      <c r="J26" s="6" t="inlineStr">
        <is>
          <t>Xanh</t>
        </is>
      </c>
      <c r="K26" s="8" t="n">
        <v>600000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9">
        <f>M26*0.145</f>
        <v/>
      </c>
      <c r="X26" s="8">
        <f>SUM(K26:W26)</f>
        <v/>
      </c>
      <c r="Y26" s="8" t="n"/>
      <c r="Z26" s="8" t="n"/>
      <c r="AA26" s="8" t="n"/>
      <c r="AB26" s="8">
        <f>SUM(Y26:AA26)</f>
        <v/>
      </c>
      <c r="AC26" s="8">
        <f>+X26+AB26</f>
        <v/>
      </c>
      <c r="AD26" s="6" t="inlineStr"/>
      <c r="AE26" s="6" t="inlineStr"/>
      <c r="AF26" s="6" t="inlineStr"/>
    </row>
    <row r="27" ht="33" customHeight="1">
      <c r="A27" s="6" t="n">
        <v>15</v>
      </c>
      <c r="B27" s="6" t="inlineStr">
        <is>
          <t>308305008120</t>
        </is>
      </c>
      <c r="C27" s="6" t="inlineStr">
        <is>
          <t>VEI2600066</t>
        </is>
      </c>
      <c r="D27" s="6" t="inlineStr">
        <is>
          <t>DAINESE S.P.A.</t>
        </is>
      </c>
      <c r="E27" s="7" t="n">
        <v>46090</v>
      </c>
      <c r="F27" s="6" t="inlineStr">
        <is>
          <t>10T CD - 15H 02376-  KCN Yên Bình, TN- Hải Phòng</t>
        </is>
      </c>
      <c r="G27" s="6" t="inlineStr">
        <is>
          <t>KNQ</t>
        </is>
      </c>
      <c r="H27" s="6" t="inlineStr"/>
      <c r="I27" s="6" t="inlineStr"/>
      <c r="J27" s="6" t="inlineStr">
        <is>
          <t>Xanh</t>
        </is>
      </c>
      <c r="K27" s="8" t="n">
        <v>600000</v>
      </c>
      <c r="L27" s="8" t="n"/>
      <c r="M27" s="8" t="n">
        <v>4830000</v>
      </c>
      <c r="N27" s="8" t="n"/>
      <c r="O27" s="8" t="n">
        <v>700350</v>
      </c>
      <c r="P27" s="8" t="n"/>
      <c r="Q27" s="8" t="n"/>
      <c r="R27" s="8" t="n"/>
      <c r="S27" s="8" t="n"/>
      <c r="T27" s="8" t="n"/>
      <c r="U27" s="8" t="n"/>
      <c r="V27" s="8" t="n"/>
      <c r="W27" s="9">
        <f>M27*0.145</f>
        <v/>
      </c>
      <c r="X27" s="8">
        <f>SUM(K27:W27)</f>
        <v/>
      </c>
      <c r="Y27" s="8" t="n"/>
      <c r="Z27" s="8" t="n"/>
      <c r="AA27" s="8" t="n"/>
      <c r="AB27" s="8">
        <f>SUM(Y27:AA27)</f>
        <v/>
      </c>
      <c r="AC27" s="8">
        <f>+X27+AB27</f>
        <v/>
      </c>
      <c r="AD27" s="6" t="inlineStr"/>
      <c r="AE27" s="6" t="inlineStr"/>
      <c r="AF27" s="6" t="inlineStr"/>
    </row>
    <row r="28" ht="33" customHeight="1">
      <c r="A28" s="6" t="n">
        <v>16</v>
      </c>
      <c r="B28" s="6" t="inlineStr">
        <is>
          <t>308305009520</t>
        </is>
      </c>
      <c r="C28" s="6" t="inlineStr">
        <is>
          <t>VEI2600066</t>
        </is>
      </c>
      <c r="D28" s="6" t="inlineStr">
        <is>
          <t>DAINESE S.P.A.</t>
        </is>
      </c>
      <c r="E28" s="7" t="n">
        <v>46090</v>
      </c>
      <c r="F28" s="6" t="inlineStr"/>
      <c r="G28" s="6" t="inlineStr">
        <is>
          <t>KNQ</t>
        </is>
      </c>
      <c r="H28" s="6" t="inlineStr"/>
      <c r="I28" s="6" t="inlineStr"/>
      <c r="J28" s="6" t="inlineStr">
        <is>
          <t>Xanh</t>
        </is>
      </c>
      <c r="K28" s="8" t="n">
        <v>600000</v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9">
        <f>M28*0.145</f>
        <v/>
      </c>
      <c r="X28" s="8">
        <f>SUM(K28:W28)</f>
        <v/>
      </c>
      <c r="Y28" s="8" t="n"/>
      <c r="Z28" s="8" t="n"/>
      <c r="AA28" s="8" t="n"/>
      <c r="AB28" s="8">
        <f>SUM(Y28:AA28)</f>
        <v/>
      </c>
      <c r="AC28" s="8">
        <f>+X28+AB28</f>
        <v/>
      </c>
      <c r="AD28" s="6" t="inlineStr"/>
      <c r="AE28" s="6" t="inlineStr"/>
      <c r="AF28" s="6" t="inlineStr"/>
    </row>
    <row r="29" ht="33" customHeight="1">
      <c r="A29" s="6" t="n">
        <v>17</v>
      </c>
      <c r="B29" s="6" t="inlineStr">
        <is>
          <t>308309157130</t>
        </is>
      </c>
      <c r="C29" s="6" t="inlineStr">
        <is>
          <t>VEI2600069</t>
        </is>
      </c>
      <c r="D29" s="6" t="inlineStr">
        <is>
          <t>DAINESE S.P.A.</t>
        </is>
      </c>
      <c r="E29" s="7" t="n">
        <v>46091</v>
      </c>
      <c r="F29" s="6" t="inlineStr">
        <is>
          <t>10T CD - 15H 02397-  KCN Yên Bình, TN- Hải Phòng</t>
        </is>
      </c>
      <c r="G29" s="6" t="inlineStr">
        <is>
          <t>KNQ</t>
        </is>
      </c>
      <c r="H29" s="6" t="inlineStr"/>
      <c r="I29" s="6" t="inlineStr"/>
      <c r="J29" s="6" t="inlineStr">
        <is>
          <t>Xanh</t>
        </is>
      </c>
      <c r="K29" s="8" t="n">
        <v>600000</v>
      </c>
      <c r="L29" s="8" t="n"/>
      <c r="M29" s="8" t="n">
        <v>4830000</v>
      </c>
      <c r="N29" s="8" t="n"/>
      <c r="O29" s="8" t="n">
        <v>700350</v>
      </c>
      <c r="P29" s="8" t="n"/>
      <c r="Q29" s="8" t="n"/>
      <c r="R29" s="8" t="n"/>
      <c r="S29" s="8" t="n"/>
      <c r="T29" s="8" t="n"/>
      <c r="U29" s="8" t="n"/>
      <c r="V29" s="8" t="n"/>
      <c r="W29" s="9">
        <f>M29*0.145</f>
        <v/>
      </c>
      <c r="X29" s="8">
        <f>SUM(K29:W29)</f>
        <v/>
      </c>
      <c r="Y29" s="8" t="n"/>
      <c r="Z29" s="8" t="n"/>
      <c r="AA29" s="8" t="n"/>
      <c r="AB29" s="8">
        <f>SUM(Y29:AA29)</f>
        <v/>
      </c>
      <c r="AC29" s="8">
        <f>+X29+AB29</f>
        <v/>
      </c>
      <c r="AD29" s="6" t="inlineStr"/>
      <c r="AE29" s="6" t="inlineStr"/>
      <c r="AF29" s="6" t="inlineStr"/>
    </row>
    <row r="30" ht="33" customHeight="1">
      <c r="A30" s="6" t="n">
        <v>18</v>
      </c>
      <c r="B30" s="6" t="inlineStr">
        <is>
          <t>108040014460</t>
        </is>
      </c>
      <c r="C30" s="6" t="inlineStr">
        <is>
          <t>5222600284</t>
        </is>
      </c>
      <c r="D30" s="6" t="inlineStr">
        <is>
          <t>MEVIS S.P.A</t>
        </is>
      </c>
      <c r="E30" s="7" t="n">
        <v>46092</v>
      </c>
      <c r="F30" s="6" t="inlineStr"/>
      <c r="G30" s="6" t="inlineStr"/>
      <c r="H30" s="6" t="inlineStr"/>
      <c r="I30" s="6" t="inlineStr"/>
      <c r="J30" s="6" t="inlineStr">
        <is>
          <t>Luồng xanh</t>
        </is>
      </c>
      <c r="K30" s="8" t="n">
        <v>600000</v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9">
        <f>M30*0.145</f>
        <v/>
      </c>
      <c r="X30" s="8">
        <f>SUM(K30:W30)</f>
        <v/>
      </c>
      <c r="Y30" s="8" t="n"/>
      <c r="Z30" s="8" t="n"/>
      <c r="AA30" s="8" t="n"/>
      <c r="AB30" s="8">
        <f>SUM(Y30:AA30)</f>
        <v/>
      </c>
      <c r="AC30" s="8">
        <f>+X30+AB30</f>
        <v/>
      </c>
      <c r="AD30" s="6" t="inlineStr"/>
      <c r="AE30" s="6" t="inlineStr"/>
      <c r="AF30" s="6" t="inlineStr"/>
    </row>
    <row r="31" ht="33" customHeight="1">
      <c r="A31" s="6" t="n">
        <v>19</v>
      </c>
      <c r="B31" s="6" t="inlineStr">
        <is>
          <t>308311117500</t>
        </is>
      </c>
      <c r="C31" s="6" t="inlineStr">
        <is>
          <t>VEI2600072</t>
        </is>
      </c>
      <c r="D31" s="6" t="inlineStr">
        <is>
          <t>DAINESE S.P.A.</t>
        </is>
      </c>
      <c r="E31" s="7" t="n">
        <v>46092</v>
      </c>
      <c r="F31" s="6" t="inlineStr"/>
      <c r="G31" s="6" t="inlineStr">
        <is>
          <t>DHL</t>
        </is>
      </c>
      <c r="H31" s="6" t="inlineStr"/>
      <c r="I31" s="6" t="inlineStr"/>
      <c r="J31" s="6" t="inlineStr">
        <is>
          <t>Xanh</t>
        </is>
      </c>
      <c r="K31" s="8" t="n">
        <v>600000</v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9">
        <f>M31*0.145</f>
        <v/>
      </c>
      <c r="X31" s="8">
        <f>SUM(K31:W31)</f>
        <v/>
      </c>
      <c r="Y31" s="8" t="n"/>
      <c r="Z31" s="8" t="n"/>
      <c r="AA31" s="8" t="n"/>
      <c r="AB31" s="8">
        <f>SUM(Y31:AA31)</f>
        <v/>
      </c>
      <c r="AC31" s="8">
        <f>+X31+AB31</f>
        <v/>
      </c>
      <c r="AD31" s="6" t="inlineStr"/>
      <c r="AE31" s="6" t="inlineStr"/>
      <c r="AF31" s="6" t="inlineStr"/>
    </row>
    <row r="32" ht="33" customHeight="1">
      <c r="A32" s="6" t="n">
        <v>20</v>
      </c>
      <c r="B32" s="6" t="inlineStr">
        <is>
          <t>308312689660</t>
        </is>
      </c>
      <c r="C32" s="6" t="inlineStr">
        <is>
          <t>VEI2600073</t>
        </is>
      </c>
      <c r="D32" s="6" t="inlineStr">
        <is>
          <t>DAINESE S.P.A.</t>
        </is>
      </c>
      <c r="E32" s="7" t="n">
        <v>46092</v>
      </c>
      <c r="F32" s="6" t="inlineStr">
        <is>
          <t>10T CD - 15C 32086-  KCN Yên Bình, TN- Hải Phòng</t>
        </is>
      </c>
      <c r="G32" s="6" t="inlineStr">
        <is>
          <t>KNQ</t>
        </is>
      </c>
      <c r="H32" s="6" t="inlineStr"/>
      <c r="I32" s="6" t="inlineStr"/>
      <c r="J32" s="6" t="inlineStr">
        <is>
          <t>Xanh</t>
        </is>
      </c>
      <c r="K32" s="8" t="n">
        <v>600000</v>
      </c>
      <c r="L32" s="8" t="n"/>
      <c r="M32" s="8" t="n">
        <v>4830000</v>
      </c>
      <c r="N32" s="8" t="n"/>
      <c r="O32" s="8" t="n">
        <v>700350</v>
      </c>
      <c r="P32" s="8" t="n"/>
      <c r="Q32" s="8" t="n"/>
      <c r="R32" s="8" t="n"/>
      <c r="S32" s="8" t="n"/>
      <c r="T32" s="8" t="n"/>
      <c r="U32" s="8" t="n"/>
      <c r="V32" s="8" t="n"/>
      <c r="W32" s="9">
        <f>M32*0.145</f>
        <v/>
      </c>
      <c r="X32" s="8">
        <f>SUM(K32:W32)</f>
        <v/>
      </c>
      <c r="Y32" s="8" t="n"/>
      <c r="Z32" s="8" t="n"/>
      <c r="AA32" s="8" t="n"/>
      <c r="AB32" s="8">
        <f>SUM(Y32:AA32)</f>
        <v/>
      </c>
      <c r="AC32" s="8">
        <f>+X32+AB32</f>
        <v/>
      </c>
      <c r="AD32" s="6" t="inlineStr"/>
      <c r="AE32" s="6" t="inlineStr"/>
      <c r="AF32" s="6" t="inlineStr"/>
    </row>
    <row r="33" ht="33" customHeight="1">
      <c r="A33" s="6" t="n">
        <v>21</v>
      </c>
      <c r="B33" s="6" t="inlineStr">
        <is>
          <t>308313633300</t>
        </is>
      </c>
      <c r="C33" s="6" t="inlineStr">
        <is>
          <t>VEI2600071</t>
        </is>
      </c>
      <c r="D33" s="6" t="inlineStr">
        <is>
          <t>DAINESE S.P.A.</t>
        </is>
      </c>
      <c r="E33" s="7" t="n">
        <v>46092</v>
      </c>
      <c r="F33" s="6" t="inlineStr"/>
      <c r="G33" s="6" t="inlineStr">
        <is>
          <t>DHL</t>
        </is>
      </c>
      <c r="H33" s="6" t="inlineStr"/>
      <c r="I33" s="6" t="inlineStr"/>
      <c r="J33" s="6" t="inlineStr">
        <is>
          <t>Xanh</t>
        </is>
      </c>
      <c r="K33" s="8" t="n">
        <v>600000</v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9">
        <f>M33*0.145</f>
        <v/>
      </c>
      <c r="X33" s="8">
        <f>SUM(K33:W33)</f>
        <v/>
      </c>
      <c r="Y33" s="8" t="n"/>
      <c r="Z33" s="8" t="n"/>
      <c r="AA33" s="8" t="n"/>
      <c r="AB33" s="8">
        <f>SUM(Y33:AA33)</f>
        <v/>
      </c>
      <c r="AC33" s="8">
        <f>+X33+AB33</f>
        <v/>
      </c>
      <c r="AD33" s="6" t="inlineStr"/>
      <c r="AE33" s="6" t="inlineStr"/>
      <c r="AF33" s="6" t="inlineStr"/>
    </row>
    <row r="34" ht="33" customHeight="1">
      <c r="A34" s="6" t="n">
        <v>22</v>
      </c>
      <c r="B34" s="6" t="inlineStr">
        <is>
          <t>308321159660</t>
        </is>
      </c>
      <c r="C34" s="6" t="inlineStr">
        <is>
          <t>VEI2600076</t>
        </is>
      </c>
      <c r="D34" s="6" t="inlineStr">
        <is>
          <t>DAINESE S.P.A.</t>
        </is>
      </c>
      <c r="E34" s="7" t="n">
        <v>46094</v>
      </c>
      <c r="F34" s="6" t="inlineStr">
        <is>
          <t>10T CD - 15H 02397-  KCN Yên Bình, TN- Hải Phòng</t>
        </is>
      </c>
      <c r="G34" s="6" t="inlineStr">
        <is>
          <t>KNQ</t>
        </is>
      </c>
      <c r="H34" s="6" t="inlineStr"/>
      <c r="I34" s="6" t="inlineStr"/>
      <c r="J34" s="6" t="inlineStr">
        <is>
          <t>Xanh</t>
        </is>
      </c>
      <c r="K34" s="8" t="n">
        <v>600000</v>
      </c>
      <c r="L34" s="8" t="n"/>
      <c r="M34" s="8" t="n">
        <v>4830000</v>
      </c>
      <c r="N34" s="8" t="n"/>
      <c r="O34" s="8" t="n">
        <v>700350</v>
      </c>
      <c r="P34" s="8" t="n"/>
      <c r="Q34" s="8" t="n"/>
      <c r="R34" s="8" t="n"/>
      <c r="S34" s="8" t="n"/>
      <c r="T34" s="8" t="n"/>
      <c r="U34" s="8" t="n"/>
      <c r="V34" s="8" t="n"/>
      <c r="W34" s="9">
        <f>M34*0.145</f>
        <v/>
      </c>
      <c r="X34" s="8">
        <f>SUM(K34:W34)</f>
        <v/>
      </c>
      <c r="Y34" s="8" t="n"/>
      <c r="Z34" s="8" t="n"/>
      <c r="AA34" s="8" t="n"/>
      <c r="AB34" s="8">
        <f>SUM(Y34:AA34)</f>
        <v/>
      </c>
      <c r="AC34" s="8">
        <f>+X34+AB34</f>
        <v/>
      </c>
      <c r="AD34" s="6" t="inlineStr"/>
      <c r="AE34" s="6" t="inlineStr"/>
      <c r="AF34" s="6" t="inlineStr"/>
    </row>
    <row r="35" ht="33" customHeight="1">
      <c r="A35" s="6" t="n">
        <v>23</v>
      </c>
      <c r="B35" s="6" t="inlineStr">
        <is>
          <t>308323085840</t>
        </is>
      </c>
      <c r="C35" s="6" t="inlineStr">
        <is>
          <t>VEI2600079</t>
        </is>
      </c>
      <c r="D35" s="6" t="inlineStr">
        <is>
          <t>DAINESE S.P.A.</t>
        </is>
      </c>
      <c r="E35" s="7" t="n">
        <v>46094</v>
      </c>
      <c r="F35" s="6" t="inlineStr"/>
      <c r="G35" s="6" t="inlineStr">
        <is>
          <t>DHL</t>
        </is>
      </c>
      <c r="H35" s="6" t="inlineStr"/>
      <c r="I35" s="6" t="inlineStr"/>
      <c r="J35" s="6" t="inlineStr">
        <is>
          <t>Xanh</t>
        </is>
      </c>
      <c r="K35" s="8" t="n">
        <v>600000</v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9">
        <f>M35*0.145</f>
        <v/>
      </c>
      <c r="X35" s="8">
        <f>SUM(K35:W35)</f>
        <v/>
      </c>
      <c r="Y35" s="8" t="n"/>
      <c r="Z35" s="8" t="n"/>
      <c r="AA35" s="8" t="n"/>
      <c r="AB35" s="8">
        <f>SUM(Y35:AA35)</f>
        <v/>
      </c>
      <c r="AC35" s="8">
        <f>+X35+AB35</f>
        <v/>
      </c>
      <c r="AD35" s="6" t="inlineStr"/>
      <c r="AE35" s="6" t="inlineStr"/>
      <c r="AF35" s="6" t="inlineStr"/>
    </row>
    <row r="36" ht="33" customHeight="1">
      <c r="A36" s="6" t="n">
        <v>24</v>
      </c>
      <c r="B36" s="6" t="inlineStr">
        <is>
          <t>308329354930</t>
        </is>
      </c>
      <c r="C36" s="6" t="inlineStr">
        <is>
          <t>VEI2600077</t>
        </is>
      </c>
      <c r="D36" s="6" t="inlineStr">
        <is>
          <t>DAINESE S.P.A.</t>
        </is>
      </c>
      <c r="E36" s="7" t="n">
        <v>46097</v>
      </c>
      <c r="F36" s="6" t="inlineStr"/>
      <c r="G36" s="6" t="inlineStr">
        <is>
          <t>DHL</t>
        </is>
      </c>
      <c r="H36" s="6" t="inlineStr"/>
      <c r="I36" s="6" t="inlineStr"/>
      <c r="J36" s="6" t="inlineStr">
        <is>
          <t>Xanh</t>
        </is>
      </c>
      <c r="K36" s="8" t="n">
        <v>600000</v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9">
        <f>M36*0.145</f>
        <v/>
      </c>
      <c r="X36" s="8">
        <f>SUM(K36:W36)</f>
        <v/>
      </c>
      <c r="Y36" s="8" t="n"/>
      <c r="Z36" s="8" t="n"/>
      <c r="AA36" s="8" t="n"/>
      <c r="AB36" s="8">
        <f>SUM(Y36:AA36)</f>
        <v/>
      </c>
      <c r="AC36" s="8">
        <f>+X36+AB36</f>
        <v/>
      </c>
      <c r="AD36" s="6" t="inlineStr"/>
      <c r="AE36" s="6" t="inlineStr"/>
      <c r="AF36" s="6" t="inlineStr"/>
    </row>
    <row r="37" ht="33" customHeight="1">
      <c r="A37" s="6" t="n">
        <v>25</v>
      </c>
      <c r="B37" s="6" t="inlineStr">
        <is>
          <t>308329415240</t>
        </is>
      </c>
      <c r="C37" s="6" t="inlineStr">
        <is>
          <t>VEI2600078</t>
        </is>
      </c>
      <c r="D37" s="6" t="inlineStr">
        <is>
          <t>DAINESE S.P.A.</t>
        </is>
      </c>
      <c r="E37" s="7" t="n">
        <v>46097</v>
      </c>
      <c r="F37" s="6" t="inlineStr"/>
      <c r="G37" s="6" t="inlineStr">
        <is>
          <t>DHL</t>
        </is>
      </c>
      <c r="H37" s="6" t="inlineStr"/>
      <c r="I37" s="6" t="inlineStr"/>
      <c r="J37" s="6" t="inlineStr">
        <is>
          <t>Xanh</t>
        </is>
      </c>
      <c r="K37" s="8" t="n">
        <v>600000</v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9">
        <f>M37*0.145</f>
        <v/>
      </c>
      <c r="X37" s="8">
        <f>SUM(K37:W37)</f>
        <v/>
      </c>
      <c r="Y37" s="8" t="n"/>
      <c r="Z37" s="8" t="n"/>
      <c r="AA37" s="8" t="n"/>
      <c r="AB37" s="8">
        <f>SUM(Y37:AA37)</f>
        <v/>
      </c>
      <c r="AC37" s="8">
        <f>+X37+AB37</f>
        <v/>
      </c>
      <c r="AD37" s="6" t="inlineStr"/>
      <c r="AE37" s="6" t="inlineStr"/>
      <c r="AF37" s="6" t="inlineStr"/>
    </row>
    <row r="38" ht="33" customHeight="1">
      <c r="A38" s="6" t="n">
        <v>26</v>
      </c>
      <c r="B38" s="6" t="inlineStr">
        <is>
          <t>308330320230</t>
        </is>
      </c>
      <c r="C38" s="6" t="inlineStr">
        <is>
          <t>VEI2600080</t>
        </is>
      </c>
      <c r="D38" s="6" t="inlineStr">
        <is>
          <t>DAINESE S.P.A.</t>
        </is>
      </c>
      <c r="E38" s="7" t="n">
        <v>46097</v>
      </c>
      <c r="F38" s="6" t="inlineStr"/>
      <c r="G38" s="6" t="inlineStr">
        <is>
          <t>KNQ</t>
        </is>
      </c>
      <c r="H38" s="6" t="inlineStr"/>
      <c r="I38" s="6" t="inlineStr"/>
      <c r="J38" s="6" t="inlineStr">
        <is>
          <t>Xanh</t>
        </is>
      </c>
      <c r="K38" s="8" t="n">
        <v>600000</v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9">
        <f>M38*0.145</f>
        <v/>
      </c>
      <c r="X38" s="8">
        <f>SUM(K38:W38)</f>
        <v/>
      </c>
      <c r="Y38" s="8" t="n"/>
      <c r="Z38" s="8" t="n"/>
      <c r="AA38" s="8" t="n"/>
      <c r="AB38" s="8">
        <f>SUM(Y38:AA38)</f>
        <v/>
      </c>
      <c r="AC38" s="8">
        <f>+X38+AB38</f>
        <v/>
      </c>
      <c r="AD38" s="6" t="inlineStr"/>
      <c r="AE38" s="6" t="inlineStr"/>
      <c r="AF38" s="6" t="inlineStr"/>
    </row>
    <row r="39" ht="33" customHeight="1">
      <c r="A39" s="6" t="n">
        <v>27</v>
      </c>
      <c r="B39" s="6" t="inlineStr">
        <is>
          <t>308330321850</t>
        </is>
      </c>
      <c r="C39" s="6" t="inlineStr">
        <is>
          <t>VEI2600080</t>
        </is>
      </c>
      <c r="D39" s="6" t="inlineStr">
        <is>
          <t>DAINESE S.P.A.</t>
        </is>
      </c>
      <c r="E39" s="7" t="n">
        <v>46097</v>
      </c>
      <c r="F39" s="6" t="inlineStr"/>
      <c r="G39" s="6" t="inlineStr">
        <is>
          <t>KNQ</t>
        </is>
      </c>
      <c r="H39" s="6" t="inlineStr"/>
      <c r="I39" s="6" t="inlineStr"/>
      <c r="J39" s="6" t="inlineStr">
        <is>
          <t>Xanh</t>
        </is>
      </c>
      <c r="K39" s="8" t="n">
        <v>600000</v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9">
        <f>M39*0.145</f>
        <v/>
      </c>
      <c r="X39" s="8">
        <f>SUM(K39:W39)</f>
        <v/>
      </c>
      <c r="Y39" s="8" t="n"/>
      <c r="Z39" s="8" t="n"/>
      <c r="AA39" s="8" t="n"/>
      <c r="AB39" s="8">
        <f>SUM(Y39:AA39)</f>
        <v/>
      </c>
      <c r="AC39" s="8">
        <f>+X39+AB39</f>
        <v/>
      </c>
      <c r="AD39" s="6" t="inlineStr"/>
      <c r="AE39" s="6" t="inlineStr"/>
      <c r="AF39" s="6" t="inlineStr"/>
    </row>
    <row r="40" ht="33" customHeight="1">
      <c r="A40" s="6" t="n">
        <v>28</v>
      </c>
      <c r="B40" s="6" t="inlineStr">
        <is>
          <t>308346417430</t>
        </is>
      </c>
      <c r="C40" s="6" t="inlineStr">
        <is>
          <t>VEI2600084</t>
        </is>
      </c>
      <c r="D40" s="6" t="inlineStr">
        <is>
          <t>DAINESE S.P.A.</t>
        </is>
      </c>
      <c r="E40" s="7" t="n">
        <v>46101</v>
      </c>
      <c r="F40" s="6" t="inlineStr"/>
      <c r="G40" s="6" t="inlineStr">
        <is>
          <t>DHL</t>
        </is>
      </c>
      <c r="H40" s="6" t="inlineStr"/>
      <c r="I40" s="6" t="inlineStr"/>
      <c r="J40" s="6" t="inlineStr">
        <is>
          <t>Xanh</t>
        </is>
      </c>
      <c r="K40" s="8" t="n">
        <v>600000</v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9">
        <f>M40*0.145</f>
        <v/>
      </c>
      <c r="X40" s="8">
        <f>SUM(K40:W40)</f>
        <v/>
      </c>
      <c r="Y40" s="8" t="n"/>
      <c r="Z40" s="8" t="n"/>
      <c r="AA40" s="8" t="n"/>
      <c r="AB40" s="8">
        <f>SUM(Y40:AA40)</f>
        <v/>
      </c>
      <c r="AC40" s="8">
        <f>+X40+AB40</f>
        <v/>
      </c>
      <c r="AD40" s="6" t="inlineStr"/>
      <c r="AE40" s="6" t="inlineStr"/>
      <c r="AF40" s="6" t="inlineStr"/>
    </row>
    <row r="41" ht="33" customHeight="1">
      <c r="A41" s="6" t="n">
        <v>29</v>
      </c>
      <c r="B41" s="6" t="inlineStr">
        <is>
          <t>308356353230</t>
        </is>
      </c>
      <c r="C41" s="6" t="inlineStr">
        <is>
          <t>VEI2600088</t>
        </is>
      </c>
      <c r="D41" s="6" t="inlineStr">
        <is>
          <t>DAINESE S.P.A.</t>
        </is>
      </c>
      <c r="E41" s="7" t="n">
        <v>46105</v>
      </c>
      <c r="F41" s="6" t="inlineStr">
        <is>
          <t>10T CD- 15H 02376- KCN Yên Bình, TN- Hải Phòng</t>
        </is>
      </c>
      <c r="G41" s="6" t="inlineStr">
        <is>
          <t>KNQ</t>
        </is>
      </c>
      <c r="H41" s="6" t="inlineStr"/>
      <c r="I41" s="6" t="inlineStr"/>
      <c r="J41" s="6" t="inlineStr">
        <is>
          <t>Xanh</t>
        </is>
      </c>
      <c r="K41" s="8" t="n">
        <v>600000</v>
      </c>
      <c r="L41" s="8" t="n"/>
      <c r="M41" s="8" t="n">
        <v>4830000</v>
      </c>
      <c r="N41" s="8" t="n"/>
      <c r="O41" s="8" t="n">
        <v>700350</v>
      </c>
      <c r="P41" s="8" t="n"/>
      <c r="Q41" s="8" t="n"/>
      <c r="R41" s="8" t="n"/>
      <c r="S41" s="8" t="n"/>
      <c r="T41" s="8" t="n"/>
      <c r="U41" s="8" t="n"/>
      <c r="V41" s="8" t="n"/>
      <c r="W41" s="9">
        <f>M41*0.145</f>
        <v/>
      </c>
      <c r="X41" s="8">
        <f>SUM(K41:W41)</f>
        <v/>
      </c>
      <c r="Y41" s="8" t="n"/>
      <c r="Z41" s="8" t="n"/>
      <c r="AA41" s="8" t="n"/>
      <c r="AB41" s="8">
        <f>SUM(Y41:AA41)</f>
        <v/>
      </c>
      <c r="AC41" s="8">
        <f>+X41+AB41</f>
        <v/>
      </c>
      <c r="AD41" s="6" t="inlineStr"/>
      <c r="AE41" s="6" t="inlineStr"/>
      <c r="AF41" s="6" t="inlineStr"/>
    </row>
    <row r="42" ht="33" customHeight="1">
      <c r="A42" s="6" t="n">
        <v>30</v>
      </c>
      <c r="B42" s="6" t="inlineStr">
        <is>
          <t>308356355110</t>
        </is>
      </c>
      <c r="C42" s="6" t="inlineStr">
        <is>
          <t>VEI2600088</t>
        </is>
      </c>
      <c r="D42" s="6" t="inlineStr">
        <is>
          <t>DAINESE S.P.A.</t>
        </is>
      </c>
      <c r="E42" s="7" t="n">
        <v>46105</v>
      </c>
      <c r="F42" s="6" t="inlineStr"/>
      <c r="G42" s="6" t="inlineStr">
        <is>
          <t>KNQ</t>
        </is>
      </c>
      <c r="H42" s="6" t="inlineStr"/>
      <c r="I42" s="6" t="inlineStr"/>
      <c r="J42" s="6" t="inlineStr">
        <is>
          <t>Xanh</t>
        </is>
      </c>
      <c r="K42" s="8" t="n">
        <v>600000</v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9">
        <f>M42*0.145</f>
        <v/>
      </c>
      <c r="X42" s="8">
        <f>SUM(K42:W42)</f>
        <v/>
      </c>
      <c r="Y42" s="8" t="n"/>
      <c r="Z42" s="8" t="n"/>
      <c r="AA42" s="8" t="n"/>
      <c r="AB42" s="8">
        <f>SUM(Y42:AA42)</f>
        <v/>
      </c>
      <c r="AC42" s="8">
        <f>+X42+AB42</f>
        <v/>
      </c>
      <c r="AD42" s="6" t="inlineStr"/>
      <c r="AE42" s="6" t="inlineStr"/>
      <c r="AF42" s="6" t="inlineStr"/>
    </row>
    <row r="43" ht="33" customHeight="1">
      <c r="A43" s="6" t="n">
        <v>31</v>
      </c>
      <c r="B43" s="6" t="inlineStr">
        <is>
          <t>308367998910</t>
        </is>
      </c>
      <c r="C43" s="6" t="inlineStr">
        <is>
          <t>VEI2600092</t>
        </is>
      </c>
      <c r="D43" s="6" t="inlineStr">
        <is>
          <t>DAINESE S.P.A.</t>
        </is>
      </c>
      <c r="E43" s="7" t="n">
        <v>46107</v>
      </c>
      <c r="F43" s="6" t="inlineStr"/>
      <c r="G43" s="6" t="inlineStr">
        <is>
          <t>KNQ</t>
        </is>
      </c>
      <c r="H43" s="6" t="inlineStr"/>
      <c r="I43" s="6" t="inlineStr"/>
      <c r="J43" s="6" t="inlineStr">
        <is>
          <t>Xanh</t>
        </is>
      </c>
      <c r="K43" s="8" t="n">
        <v>600000</v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9">
        <f>M43*0.145</f>
        <v/>
      </c>
      <c r="X43" s="8">
        <f>SUM(K43:W43)</f>
        <v/>
      </c>
      <c r="Y43" s="8" t="n"/>
      <c r="Z43" s="8" t="n"/>
      <c r="AA43" s="8" t="n"/>
      <c r="AB43" s="8">
        <f>SUM(Y43:AA43)</f>
        <v/>
      </c>
      <c r="AC43" s="8">
        <f>+X43+AB43</f>
        <v/>
      </c>
      <c r="AD43" s="6" t="inlineStr"/>
      <c r="AE43" s="6" t="inlineStr"/>
      <c r="AF43" s="6" t="inlineStr"/>
    </row>
    <row r="44" ht="33" customHeight="1">
      <c r="A44" s="6" t="n">
        <v>32</v>
      </c>
      <c r="B44" s="6" t="inlineStr">
        <is>
          <t>308368005910</t>
        </is>
      </c>
      <c r="C44" s="6" t="inlineStr">
        <is>
          <t>VEI2600092</t>
        </is>
      </c>
      <c r="D44" s="6" t="inlineStr">
        <is>
          <t>DAINESE S.P.A.</t>
        </is>
      </c>
      <c r="E44" s="7" t="n">
        <v>46107</v>
      </c>
      <c r="F44" s="6" t="inlineStr"/>
      <c r="G44" s="6" t="inlineStr">
        <is>
          <t>KNQ</t>
        </is>
      </c>
      <c r="H44" s="6" t="inlineStr"/>
      <c r="I44" s="6" t="inlineStr"/>
      <c r="J44" s="6" t="inlineStr">
        <is>
          <t>Xanh</t>
        </is>
      </c>
      <c r="K44" s="8" t="n">
        <v>600000</v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9">
        <f>M44*0.145</f>
        <v/>
      </c>
      <c r="X44" s="8">
        <f>SUM(K44:W44)</f>
        <v/>
      </c>
      <c r="Y44" s="8" t="n"/>
      <c r="Z44" s="8" t="n"/>
      <c r="AA44" s="8" t="n"/>
      <c r="AB44" s="8">
        <f>SUM(Y44:AA44)</f>
        <v/>
      </c>
      <c r="AC44" s="8">
        <f>+X44+AB44</f>
        <v/>
      </c>
      <c r="AD44" s="6" t="inlineStr"/>
      <c r="AE44" s="6" t="inlineStr"/>
      <c r="AF44" s="6" t="inlineStr"/>
    </row>
    <row r="45">
      <c r="A45" s="10" t="inlineStr">
        <is>
          <t>Tổng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K45" s="12">
        <f>SUM(K13:K44)</f>
        <v/>
      </c>
      <c r="L45" s="12">
        <f>SUM(L13:L44)</f>
        <v/>
      </c>
      <c r="M45" s="12">
        <f>SUM(M13:M44)</f>
        <v/>
      </c>
      <c r="N45" s="12">
        <f>SUM(N13:N44)</f>
        <v/>
      </c>
      <c r="O45" s="12">
        <f>SUM(O13:O44)</f>
        <v/>
      </c>
      <c r="P45" s="12">
        <f>SUM(P13:P44)</f>
        <v/>
      </c>
      <c r="Q45" s="12">
        <f>SUM(Q13:Q44)</f>
        <v/>
      </c>
      <c r="R45" s="12">
        <f>SUM(R13:R44)</f>
        <v/>
      </c>
      <c r="S45" s="12">
        <f>SUM(S13:S44)</f>
        <v/>
      </c>
      <c r="T45" s="12">
        <f>SUM(T13:T44)</f>
        <v/>
      </c>
      <c r="U45" s="12">
        <f>SUM(U13:U44)</f>
        <v/>
      </c>
      <c r="V45" s="12">
        <f>SUM(V13:V44)</f>
        <v/>
      </c>
      <c r="W45" s="12">
        <f>SUM(W13:W44)</f>
        <v/>
      </c>
      <c r="X45" s="12">
        <f>SUM(X13:X44)</f>
        <v/>
      </c>
      <c r="Y45" s="12">
        <f>SUM(Y13:Y44)</f>
        <v/>
      </c>
      <c r="Z45" s="12">
        <f>SUM(Z13:Z44)</f>
        <v/>
      </c>
      <c r="AA45" s="12">
        <f>SUM(AA13:AA44)</f>
        <v/>
      </c>
      <c r="AB45" s="12">
        <f>SUM(AB13:AB44)</f>
        <v/>
      </c>
      <c r="AC45" s="12">
        <f>SUM(AC13:AC44)</f>
        <v/>
      </c>
    </row>
    <row r="46">
      <c r="A46" s="10" t="inlineStr">
        <is>
          <t>VAT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</row>
    <row r="47">
      <c r="A47" s="10" t="inlineStr">
        <is>
          <t>Tổng cộng</t>
        </is>
      </c>
      <c r="B47" s="11" t="n"/>
      <c r="C47" s="11" t="n"/>
      <c r="D47" s="11" t="n"/>
      <c r="E47" s="11" t="n"/>
      <c r="F47" s="11" t="n"/>
      <c r="G47" s="11" t="n"/>
      <c r="H47" s="11" t="n"/>
      <c r="I47" s="11" t="n"/>
      <c r="K47" s="12">
        <f>SUM(K45:K46)</f>
        <v/>
      </c>
      <c r="L47" s="12">
        <f>SUM(L45:L46)</f>
        <v/>
      </c>
      <c r="M47" s="12">
        <f>SUM(M45:M46)</f>
        <v/>
      </c>
      <c r="N47" s="12">
        <f>SUM(N45:N46)</f>
        <v/>
      </c>
      <c r="O47" s="12">
        <f>SUM(O45:O46)</f>
        <v/>
      </c>
      <c r="P47" s="12">
        <f>SUM(P45:P46)</f>
        <v/>
      </c>
      <c r="Q47" s="12">
        <f>SUM(Q45:Q46)</f>
        <v/>
      </c>
      <c r="R47" s="12">
        <f>SUM(R45:R46)</f>
        <v/>
      </c>
      <c r="S47" s="12">
        <f>SUM(S45:S46)</f>
        <v/>
      </c>
      <c r="T47" s="12">
        <f>SUM(T45:T46)</f>
        <v/>
      </c>
      <c r="U47" s="12">
        <f>SUM(U45:U46)</f>
        <v/>
      </c>
      <c r="V47" s="12">
        <f>SUM(V45:V46)</f>
        <v/>
      </c>
      <c r="W47" s="12">
        <f>SUM(W45:W46)</f>
        <v/>
      </c>
      <c r="X47" s="12">
        <f>SUM(X45:X46)</f>
        <v/>
      </c>
      <c r="Y47" s="12">
        <f>SUM(Y45:Y46)</f>
        <v/>
      </c>
      <c r="Z47" s="12">
        <f>SUM(Z45:Z46)</f>
        <v/>
      </c>
      <c r="AA47" s="12">
        <f>SUM(AA45:AA46)</f>
        <v/>
      </c>
      <c r="AB47" s="12">
        <f>SUM(AB45:AB46)</f>
        <v/>
      </c>
      <c r="AC47" s="12">
        <f>SUM(AC45:AC46)</f>
        <v/>
      </c>
    </row>
    <row r="56">
      <c r="A56" s="13" t="inlineStr">
        <is>
          <t>Thông tin chuyển khoản:</t>
        </is>
      </c>
    </row>
    <row r="57">
      <c r="A57" s="14" t="inlineStr">
        <is>
          <t>Tài khoản: Công Ty TNHH Thương mại và dịch vụ 5P Việt Nam</t>
        </is>
      </c>
    </row>
    <row r="58">
      <c r="A58" s="14" t="inlineStr">
        <is>
          <t>Số tài khoản: 346886</t>
        </is>
      </c>
    </row>
    <row r="59">
      <c r="A59" s="15" t="inlineStr">
        <is>
          <t>Tại Ngân hàng: Ngân hàng TMCP Kỹ thương Việt Nam - Techcombank Chi nhánh Đông Đô</t>
        </is>
      </c>
    </row>
  </sheetData>
  <mergeCells count="13">
    <mergeCell ref="H11:I11"/>
    <mergeCell ref="Y11:AB11"/>
    <mergeCell ref="A47:I47"/>
    <mergeCell ref="A5:AF5"/>
    <mergeCell ref="A46:I46"/>
    <mergeCell ref="K11:X11"/>
    <mergeCell ref="AF11:AF12"/>
    <mergeCell ref="A45:I45"/>
    <mergeCell ref="AD11:AE11"/>
    <mergeCell ref="A59:F59"/>
    <mergeCell ref="A11:G11"/>
    <mergeCell ref="AC11:AC12"/>
    <mergeCell ref="J11:J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2026-04-19T15:20:59Z</dcterms:created>
  <dcterms:modified xsi:type="dcterms:W3CDTF">2026-04-19T15:20:59Z</dcterms:modified>
</cp:coreProperties>
</file>