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, c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22"/>
    </font>
    <font>
      <name val="Times New Roman"/>
      <b val="1"/>
      <sz val="14"/>
    </font>
    <font>
      <name val="Times New Roman"/>
      <b val="1"/>
      <i val="1"/>
      <sz val="14"/>
    </font>
    <font>
      <name val="Times New Roman"/>
      <sz val="11"/>
    </font>
    <font>
      <name val="Times New Roman"/>
      <sz val="14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cols>
    <col width="5.4" customWidth="1" min="1" max="1"/>
    <col width="18.7" customWidth="1" min="2" max="2"/>
    <col width="28" customWidth="1" min="3" max="3"/>
    <col width="63.9" customWidth="1" min="4" max="4"/>
    <col width="19.9" customWidth="1" min="5" max="5"/>
    <col width="36.5" customWidth="1" min="6" max="6"/>
    <col width="11.4" customWidth="1" min="7" max="7"/>
    <col width="13.5" customWidth="1" min="8" max="8"/>
    <col width="13.4" customWidth="1" min="9" max="9"/>
    <col width="17.1" customWidth="1" min="10" max="10"/>
    <col width="16.2" customWidth="1" min="11" max="11"/>
    <col width="14" customWidth="1" min="12" max="12"/>
    <col width="17.4" customWidth="1" min="13" max="13"/>
    <col width="11" customWidth="1" min="14" max="14"/>
    <col width="14" customWidth="1" min="15" max="15"/>
    <col width="11" customWidth="1" min="16" max="16"/>
    <col width="14.5" customWidth="1" min="17" max="17"/>
    <col width="14.5" customWidth="1" min="18" max="18"/>
    <col width="13.7" customWidth="1" min="19" max="19"/>
    <col width="12.6" customWidth="1" min="20" max="20"/>
    <col width="13.8" customWidth="1" min="21" max="21"/>
    <col width="11" customWidth="1" min="22" max="22"/>
    <col width="18.1" customWidth="1" min="23" max="23"/>
    <col width="11.5" customWidth="1" min="24" max="24"/>
    <col width="11.5" customWidth="1" min="25" max="25"/>
    <col width="14.2" customWidth="1" min="26" max="26"/>
    <col width="14.2" customWidth="1" min="27" max="27"/>
    <col width="18.5" customWidth="1" min="28" max="28"/>
    <col width="15.9" customWidth="1" min="29" max="29"/>
    <col width="14.5" customWidth="1" min="30" max="30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52" customHeight="1">
      <c r="A5" s="2" t="inlineStr">
        <is>
          <t>BẢNG KÊ CHI TIẾT HÀNG XUẤT NHẬP TẠI CHỖ VÀ HÀNG NHẬP CPN THÁNG 03 NĂM 2026</t>
        </is>
      </c>
    </row>
    <row r="7" ht="18" customHeight="1">
      <c r="B7" s="3" t="inlineStr">
        <is>
          <t>KÍNH GỬI :  Công ty TNHH Dainese Việt Nam</t>
        </is>
      </c>
    </row>
    <row r="8" ht="18" customHeight="1">
      <c r="B8" s="3" t="inlineStr">
        <is>
          <t>Địa chỉ : Lô CN13 Lô CN18 Khu Công nghiệp Yên Bình, Phường Vạn Xuân, Tỉnh Thái Nguyên, Việt Nam</t>
        </is>
      </c>
    </row>
    <row r="9" ht="18" customHeight="1">
      <c r="B9" s="3" t="inlineStr">
        <is>
          <t xml:space="preserve">Attn:   </t>
        </is>
      </c>
    </row>
    <row r="10" ht="18" customHeight="1"/>
    <row r="11" ht="38" customHeight="1">
      <c r="A11" s="4" t="inlineStr">
        <is>
          <t>Thông tin chung</t>
        </is>
      </c>
      <c r="B11" s="5" t="n"/>
      <c r="C11" s="5" t="n"/>
      <c r="D11" s="5" t="n"/>
      <c r="E11" s="5" t="n"/>
      <c r="F11" s="5" t="n"/>
      <c r="G11" s="5" t="n"/>
      <c r="H11" s="4" t="inlineStr">
        <is>
          <t>Khối lượng</t>
        </is>
      </c>
      <c r="I11" s="5" t="n"/>
      <c r="J11" s="4" t="inlineStr">
        <is>
          <t>Luồng</t>
        </is>
      </c>
      <c r="K11" s="4" t="inlineStr">
        <is>
          <t xml:space="preserve">Phí dịch vụ làm hàng  ( VND) 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4" t="inlineStr">
        <is>
          <t>Phí trả hộ</t>
        </is>
      </c>
      <c r="Y11" s="5" t="n"/>
      <c r="Z11" s="5" t="n"/>
      <c r="AA11" s="5" t="n"/>
      <c r="AB11" s="4" t="inlineStr">
        <is>
          <t xml:space="preserve">Tổng tiền phải trả </t>
        </is>
      </c>
      <c r="AC11" s="4" t="inlineStr">
        <is>
          <t>Số hóa đơn trả hộ</t>
        </is>
      </c>
      <c r="AD11" s="4" t="inlineStr">
        <is>
          <t>Số hóa đơn của forwarder</t>
        </is>
      </c>
    </row>
    <row r="12" ht="41" customHeight="1">
      <c r="A12" s="6" t="inlineStr">
        <is>
          <t>No.</t>
        </is>
      </c>
      <c r="B12" s="6" t="inlineStr">
        <is>
          <t>Tờ khai</t>
        </is>
      </c>
      <c r="C12" s="6" t="inlineStr">
        <is>
          <t>Hóa đơn thương mại</t>
        </is>
      </c>
      <c r="D12" s="6" t="inlineStr">
        <is>
          <t>Note</t>
        </is>
      </c>
      <c r="E12" s="6" t="inlineStr">
        <is>
          <t>Ngày tờ khai</t>
        </is>
      </c>
      <c r="F12" s="6" t="inlineStr">
        <is>
          <t>Tuyến đường</t>
        </is>
      </c>
      <c r="G12" s="6" t="inlineStr">
        <is>
          <t>Loại hình</t>
        </is>
      </c>
      <c r="H12" s="6" t="inlineStr">
        <is>
          <t>Kgs</t>
        </is>
      </c>
      <c r="I12" s="6" t="inlineStr">
        <is>
          <t>No. Cont</t>
        </is>
      </c>
      <c r="J12" s="5" t="n"/>
      <c r="K12" s="6" t="inlineStr">
        <is>
          <t>Phí mở tờ khai hải quan</t>
        </is>
      </c>
      <c r="L12" s="6" t="inlineStr">
        <is>
          <t>Phí kiểm hóa</t>
        </is>
      </c>
      <c r="M12" s="6" t="inlineStr">
        <is>
          <t>Phí vận chuyển</t>
        </is>
      </c>
      <c r="N12" s="6" t="inlineStr">
        <is>
          <t>Phí làm hàng</t>
        </is>
      </c>
      <c r="O12" s="6" t="inlineStr">
        <is>
          <t>Phí phát sinh khác</t>
        </is>
      </c>
      <c r="P12" s="6" t="inlineStr">
        <is>
          <t>Phí phục vụ kiểm hóa tại cảng</t>
        </is>
      </c>
      <c r="Q12" s="6" t="inlineStr">
        <is>
          <t>Phí đầu nước ngoài</t>
        </is>
      </c>
      <c r="R12" s="6" t="inlineStr">
        <is>
          <t>Cước vận tải quốc tế</t>
        </is>
      </c>
      <c r="S12" s="6" t="inlineStr">
        <is>
          <t>Phí xếp dỡ (THC)</t>
        </is>
      </c>
      <c r="T12" s="6" t="inlineStr">
        <is>
          <t>Phí gom hàng lẻ (CFS)/
CIC/ LSS</t>
        </is>
      </c>
      <c r="U12" s="6" t="inlineStr">
        <is>
          <t>Phí lấy lệnh  (DO)</t>
        </is>
      </c>
      <c r="V12" s="6" t="inlineStr">
        <is>
          <t>Phí  đại lý,</t>
        </is>
      </c>
      <c r="W12" s="6" t="inlineStr">
        <is>
          <t>Tổng</t>
        </is>
      </c>
      <c r="X12" s="6" t="inlineStr">
        <is>
          <t>Local charge</t>
        </is>
      </c>
      <c r="Y12" s="6" t="inlineStr">
        <is>
          <t>Lệ phí</t>
        </is>
      </c>
      <c r="Z12" s="6" t="inlineStr">
        <is>
          <t>Vé bãi kiểm hóa</t>
        </is>
      </c>
      <c r="AA12" s="6" t="inlineStr">
        <is>
          <t>Tổng phí trả hộ</t>
        </is>
      </c>
      <c r="AB12" s="5" t="n"/>
      <c r="AC12" s="5" t="n"/>
      <c r="AD12" s="5" t="n"/>
    </row>
    <row r="13" ht="52" customHeight="1">
      <c r="A13" s="7" t="n">
        <v>1</v>
      </c>
      <c r="B13" s="7" t="inlineStr">
        <is>
          <t>308282183330</t>
        </is>
      </c>
      <c r="C13" s="7" t="inlineStr">
        <is>
          <t>VEI2600056</t>
        </is>
      </c>
      <c r="D13" s="7" t="inlineStr">
        <is>
          <t>DAINESE S.P.A.</t>
        </is>
      </c>
      <c r="E13" s="8" t="n">
        <v>46083</v>
      </c>
      <c r="F13" s="7" t="inlineStr">
        <is>
          <t>10T CD - 15H 02397-   KCN Yên Bình, TN- Hải Phòng</t>
        </is>
      </c>
      <c r="G13" s="7" t="inlineStr">
        <is>
          <t>DOM</t>
        </is>
      </c>
      <c r="H13" s="7" t="inlineStr"/>
      <c r="I13" s="7" t="inlineStr"/>
      <c r="J13" s="7" t="inlineStr">
        <is>
          <t>Luồng xanh</t>
        </is>
      </c>
      <c r="K13" s="9" t="n">
        <v>600000</v>
      </c>
      <c r="L13" s="9" t="n"/>
      <c r="M13" s="9" t="n">
        <v>4830000</v>
      </c>
      <c r="N13" s="9" t="n"/>
      <c r="O13" s="9" t="n">
        <v>700350</v>
      </c>
      <c r="P13" s="9" t="n"/>
      <c r="Q13" s="9" t="n"/>
      <c r="R13" s="9" t="n"/>
      <c r="S13" s="9" t="n"/>
      <c r="T13" s="9" t="n"/>
      <c r="U13" s="9" t="n"/>
      <c r="V13" s="9" t="n"/>
      <c r="W13" s="9">
        <f>SUM(K13:U13)</f>
        <v/>
      </c>
      <c r="X13" s="9" t="n"/>
      <c r="Y13" s="9" t="n"/>
      <c r="Z13" s="9" t="n"/>
      <c r="AA13" s="9">
        <f>SUM(X13:Z13)</f>
        <v/>
      </c>
      <c r="AB13" s="9">
        <f>+W13+AA13</f>
        <v/>
      </c>
      <c r="AC13" s="7" t="inlineStr"/>
      <c r="AD13" s="7" t="inlineStr"/>
    </row>
    <row r="14" ht="52" customHeight="1">
      <c r="A14" s="7" t="n">
        <v>2</v>
      </c>
      <c r="B14" s="7" t="inlineStr">
        <is>
          <t>308286658210</t>
        </is>
      </c>
      <c r="C14" s="7" t="inlineStr">
        <is>
          <t>VEI2600058</t>
        </is>
      </c>
      <c r="D14" s="7" t="inlineStr">
        <is>
          <t>DAINESE S.P.A.</t>
        </is>
      </c>
      <c r="E14" s="8" t="n">
        <v>46084</v>
      </c>
      <c r="F14" s="7" t="inlineStr">
        <is>
          <t>10T CD - 15H 02376-  KCN Yên Bình, TN- Hải Phòng</t>
        </is>
      </c>
      <c r="G14" s="7" t="inlineStr">
        <is>
          <t>DOM</t>
        </is>
      </c>
      <c r="H14" s="7" t="inlineStr"/>
      <c r="I14" s="7" t="inlineStr"/>
      <c r="J14" s="7" t="inlineStr">
        <is>
          <t>Luồng xanh</t>
        </is>
      </c>
      <c r="K14" s="9" t="n">
        <v>600000</v>
      </c>
      <c r="L14" s="9" t="n"/>
      <c r="M14" s="9" t="n">
        <v>4830000</v>
      </c>
      <c r="N14" s="9" t="n"/>
      <c r="O14" s="9" t="n">
        <v>700350</v>
      </c>
      <c r="P14" s="9" t="n"/>
      <c r="Q14" s="9" t="n"/>
      <c r="R14" s="9" t="n"/>
      <c r="S14" s="9" t="n"/>
      <c r="T14" s="9" t="n"/>
      <c r="U14" s="9" t="n"/>
      <c r="V14" s="9" t="n"/>
      <c r="W14" s="9">
        <f>SUM(K14:U14)</f>
        <v/>
      </c>
      <c r="X14" s="9" t="n"/>
      <c r="Y14" s="9" t="n"/>
      <c r="Z14" s="9" t="n"/>
      <c r="AA14" s="9">
        <f>SUM(X14:Z14)</f>
        <v/>
      </c>
      <c r="AB14" s="9">
        <f>+W14+AA14</f>
        <v/>
      </c>
      <c r="AC14" s="7" t="inlineStr"/>
      <c r="AD14" s="7" t="inlineStr"/>
    </row>
    <row r="15" ht="52" customHeight="1">
      <c r="A15" s="7" t="n">
        <v>3</v>
      </c>
      <c r="B15" s="7" t="inlineStr">
        <is>
          <t>308290631520</t>
        </is>
      </c>
      <c r="C15" s="7" t="inlineStr">
        <is>
          <t>DAVN-000555</t>
        </is>
      </c>
      <c r="D15" s="7" t="inlineStr">
        <is>
          <t>DAINESE S.P.A.</t>
        </is>
      </c>
      <c r="E15" s="8" t="n">
        <v>46085</v>
      </c>
      <c r="F15" s="7" t="inlineStr"/>
      <c r="G15" s="7" t="inlineStr">
        <is>
          <t>CPN</t>
        </is>
      </c>
      <c r="H15" s="7" t="inlineStr"/>
      <c r="I15" s="7" t="inlineStr"/>
      <c r="J15" s="7" t="inlineStr">
        <is>
          <t>Luồng xanh</t>
        </is>
      </c>
      <c r="K15" s="9" t="n">
        <v>600000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>
        <f>SUM(K15:U15)</f>
        <v/>
      </c>
      <c r="X15" s="9" t="n"/>
      <c r="Y15" s="9" t="n"/>
      <c r="Z15" s="9" t="n"/>
      <c r="AA15" s="9">
        <f>SUM(X15:Z15)</f>
        <v/>
      </c>
      <c r="AB15" s="9">
        <f>+W15+AA15</f>
        <v/>
      </c>
      <c r="AC15" s="7" t="inlineStr"/>
      <c r="AD15" s="7" t="inlineStr"/>
    </row>
    <row r="16" ht="52" customHeight="1">
      <c r="A16" s="7" t="n">
        <v>4</v>
      </c>
      <c r="B16" s="7" t="inlineStr">
        <is>
          <t>308290630560</t>
        </is>
      </c>
      <c r="C16" s="7" t="inlineStr">
        <is>
          <t>VEI2600059</t>
        </is>
      </c>
      <c r="D16" s="7" t="inlineStr">
        <is>
          <t>DAINESE S.P.A.</t>
        </is>
      </c>
      <c r="E16" s="8" t="n">
        <v>46085</v>
      </c>
      <c r="F16" s="7" t="inlineStr">
        <is>
          <t>10T CD -15C 32086-   KCN Yên Bình, TN- Hải Phòng</t>
        </is>
      </c>
      <c r="G16" s="7" t="inlineStr">
        <is>
          <t>DOM</t>
        </is>
      </c>
      <c r="H16" s="7" t="inlineStr"/>
      <c r="I16" s="7" t="inlineStr"/>
      <c r="J16" s="7" t="inlineStr">
        <is>
          <t>Luồng xanh</t>
        </is>
      </c>
      <c r="K16" s="9" t="n">
        <v>600000</v>
      </c>
      <c r="L16" s="9" t="n"/>
      <c r="M16" s="9" t="n">
        <v>4830000</v>
      </c>
      <c r="N16" s="9" t="n"/>
      <c r="O16" s="9" t="n">
        <v>700350</v>
      </c>
      <c r="P16" s="9" t="n"/>
      <c r="Q16" s="9" t="n"/>
      <c r="R16" s="9" t="n"/>
      <c r="S16" s="9" t="n"/>
      <c r="T16" s="9" t="n"/>
      <c r="U16" s="9" t="n"/>
      <c r="V16" s="9" t="n"/>
      <c r="W16" s="9">
        <f>SUM(K16:U16)</f>
        <v/>
      </c>
      <c r="X16" s="9" t="n"/>
      <c r="Y16" s="9" t="n"/>
      <c r="Z16" s="9" t="n"/>
      <c r="AA16" s="9">
        <f>SUM(X16:Z16)</f>
        <v/>
      </c>
      <c r="AB16" s="9">
        <f>+W16+AA16</f>
        <v/>
      </c>
      <c r="AC16" s="7" t="inlineStr"/>
      <c r="AD16" s="7" t="inlineStr"/>
    </row>
    <row r="17" ht="52" customHeight="1">
      <c r="A17" s="7" t="n">
        <v>5</v>
      </c>
      <c r="B17" s="7" t="inlineStr">
        <is>
          <t>308294009460</t>
        </is>
      </c>
      <c r="C17" s="7" t="inlineStr">
        <is>
          <t>VEI2600060</t>
        </is>
      </c>
      <c r="D17" s="7" t="inlineStr">
        <is>
          <t>DAINESE S.P.A.</t>
        </is>
      </c>
      <c r="E17" s="8" t="n">
        <v>46086</v>
      </c>
      <c r="F17" s="7" t="inlineStr">
        <is>
          <t>10T CD -  15C 32086- KCN Yên Bình, TN- Hải Phòng</t>
        </is>
      </c>
      <c r="G17" s="7" t="inlineStr">
        <is>
          <t>DOM</t>
        </is>
      </c>
      <c r="H17" s="7" t="inlineStr"/>
      <c r="I17" s="7" t="inlineStr"/>
      <c r="J17" s="7" t="inlineStr">
        <is>
          <t>Luồng xanh</t>
        </is>
      </c>
      <c r="K17" s="9" t="n">
        <v>600000</v>
      </c>
      <c r="L17" s="9" t="n"/>
      <c r="M17" s="9" t="n">
        <v>4830000</v>
      </c>
      <c r="N17" s="9" t="n"/>
      <c r="O17" s="9" t="n">
        <v>700350</v>
      </c>
      <c r="P17" s="9" t="n"/>
      <c r="Q17" s="9" t="n"/>
      <c r="R17" s="9" t="n"/>
      <c r="S17" s="9" t="n"/>
      <c r="T17" s="9" t="n"/>
      <c r="U17" s="9" t="n"/>
      <c r="V17" s="9" t="n"/>
      <c r="W17" s="9">
        <f>SUM(K17:U17)</f>
        <v/>
      </c>
      <c r="X17" s="9" t="n"/>
      <c r="Y17" s="9" t="n"/>
      <c r="Z17" s="9" t="n"/>
      <c r="AA17" s="9">
        <f>SUM(X17:Z17)</f>
        <v/>
      </c>
      <c r="AB17" s="9">
        <f>+W17+AA17</f>
        <v/>
      </c>
      <c r="AC17" s="7" t="inlineStr"/>
      <c r="AD17" s="7" t="inlineStr"/>
    </row>
    <row r="18" ht="52" customHeight="1">
      <c r="A18" s="7" t="n">
        <v>6</v>
      </c>
      <c r="B18" s="7" t="inlineStr">
        <is>
          <t>308300136930</t>
        </is>
      </c>
      <c r="C18" s="7" t="inlineStr">
        <is>
          <t>DAVN-000558</t>
        </is>
      </c>
      <c r="D18" s="7" t="inlineStr">
        <is>
          <t>DAINESE S.P.A.</t>
        </is>
      </c>
      <c r="E18" s="8" t="n">
        <v>46087</v>
      </c>
      <c r="F18" s="7" t="inlineStr"/>
      <c r="G18" s="7" t="inlineStr">
        <is>
          <t>CPN</t>
        </is>
      </c>
      <c r="H18" s="7" t="inlineStr"/>
      <c r="I18" s="7" t="inlineStr"/>
      <c r="J18" s="7" t="inlineStr">
        <is>
          <t>Luồng xanh</t>
        </is>
      </c>
      <c r="K18" s="9" t="n">
        <v>600000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>
        <f>SUM(K18:U18)</f>
        <v/>
      </c>
      <c r="X18" s="9" t="n"/>
      <c r="Y18" s="9" t="n"/>
      <c r="Z18" s="9" t="n"/>
      <c r="AA18" s="9">
        <f>SUM(X18:Z18)</f>
        <v/>
      </c>
      <c r="AB18" s="9">
        <f>+W18+AA18</f>
        <v/>
      </c>
      <c r="AC18" s="7" t="inlineStr"/>
      <c r="AD18" s="7" t="inlineStr"/>
    </row>
    <row r="19" ht="52" customHeight="1">
      <c r="A19" s="7" t="n">
        <v>7</v>
      </c>
      <c r="B19" s="7" t="inlineStr">
        <is>
          <t>308305008120</t>
        </is>
      </c>
      <c r="C19" s="7" t="inlineStr">
        <is>
          <t>VEI2600066</t>
        </is>
      </c>
      <c r="D19" s="7" t="inlineStr">
        <is>
          <t>DAINESE S.P.A.</t>
        </is>
      </c>
      <c r="E19" s="8" t="n">
        <v>46090</v>
      </c>
      <c r="F19" s="7" t="inlineStr">
        <is>
          <t>10T CD - 15H 02376-  KCN Yên Bình, TN- Hải Phòng</t>
        </is>
      </c>
      <c r="G19" s="7" t="inlineStr">
        <is>
          <t>DOM</t>
        </is>
      </c>
      <c r="H19" s="7" t="inlineStr"/>
      <c r="I19" s="7" t="inlineStr"/>
      <c r="J19" s="7" t="inlineStr">
        <is>
          <t>Luồng xanh</t>
        </is>
      </c>
      <c r="K19" s="9" t="n">
        <v>600000</v>
      </c>
      <c r="L19" s="9" t="n"/>
      <c r="M19" s="9" t="n">
        <v>4830000</v>
      </c>
      <c r="N19" s="9" t="n"/>
      <c r="O19" s="9" t="n">
        <v>700350</v>
      </c>
      <c r="P19" s="9" t="n"/>
      <c r="Q19" s="9" t="n"/>
      <c r="R19" s="9" t="n"/>
      <c r="S19" s="9" t="n"/>
      <c r="T19" s="9" t="n"/>
      <c r="U19" s="9" t="n"/>
      <c r="V19" s="9" t="n"/>
      <c r="W19" s="9">
        <f>SUM(K19:U19)</f>
        <v/>
      </c>
      <c r="X19" s="9" t="n"/>
      <c r="Y19" s="9" t="n"/>
      <c r="Z19" s="9" t="n"/>
      <c r="AA19" s="9">
        <f>SUM(X19:Z19)</f>
        <v/>
      </c>
      <c r="AB19" s="9">
        <f>+W19+AA19</f>
        <v/>
      </c>
      <c r="AC19" s="7" t="inlineStr"/>
      <c r="AD19" s="7" t="inlineStr"/>
    </row>
    <row r="20" ht="52" customHeight="1">
      <c r="A20" s="7" t="n">
        <v>8</v>
      </c>
      <c r="B20" s="7" t="inlineStr">
        <is>
          <t>308305009520</t>
        </is>
      </c>
      <c r="C20" s="7" t="inlineStr">
        <is>
          <t>VEI2600066</t>
        </is>
      </c>
      <c r="D20" s="7" t="inlineStr">
        <is>
          <t>DAINESE S.P.A.</t>
        </is>
      </c>
      <c r="E20" s="8" t="n">
        <v>46090</v>
      </c>
      <c r="F20" s="7" t="inlineStr"/>
      <c r="G20" s="7" t="inlineStr">
        <is>
          <t>DOM</t>
        </is>
      </c>
      <c r="H20" s="7" t="inlineStr"/>
      <c r="I20" s="7" t="inlineStr"/>
      <c r="J20" s="7" t="inlineStr">
        <is>
          <t>Luồng xanh</t>
        </is>
      </c>
      <c r="K20" s="9" t="n">
        <v>600000</v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>
        <f>SUM(K20:U20)</f>
        <v/>
      </c>
      <c r="X20" s="9" t="n"/>
      <c r="Y20" s="9" t="n"/>
      <c r="Z20" s="9" t="n"/>
      <c r="AA20" s="9">
        <f>SUM(X20:Z20)</f>
        <v/>
      </c>
      <c r="AB20" s="9">
        <f>+W20+AA20</f>
        <v/>
      </c>
      <c r="AC20" s="7" t="inlineStr"/>
      <c r="AD20" s="7" t="inlineStr"/>
    </row>
    <row r="21" ht="52" customHeight="1">
      <c r="A21" s="7" t="n">
        <v>9</v>
      </c>
      <c r="B21" s="7" t="inlineStr">
        <is>
          <t>308309157130</t>
        </is>
      </c>
      <c r="C21" s="7" t="inlineStr">
        <is>
          <t>VEI2600069</t>
        </is>
      </c>
      <c r="D21" s="7" t="inlineStr">
        <is>
          <t>DAINESE S.P.A.</t>
        </is>
      </c>
      <c r="E21" s="8" t="n">
        <v>46091</v>
      </c>
      <c r="F21" s="7" t="inlineStr">
        <is>
          <t>10T CD - 15H 02397-  KCN Yên Bình, TN- Hải Phòng</t>
        </is>
      </c>
      <c r="G21" s="7" t="inlineStr">
        <is>
          <t>DOM</t>
        </is>
      </c>
      <c r="H21" s="7" t="inlineStr"/>
      <c r="I21" s="7" t="inlineStr"/>
      <c r="J21" s="7" t="inlineStr">
        <is>
          <t>Luồng xanh</t>
        </is>
      </c>
      <c r="K21" s="9" t="n">
        <v>600000</v>
      </c>
      <c r="L21" s="9" t="n"/>
      <c r="M21" s="9" t="n">
        <v>4830000</v>
      </c>
      <c r="N21" s="9" t="n"/>
      <c r="O21" s="9" t="n">
        <v>700350</v>
      </c>
      <c r="P21" s="9" t="n"/>
      <c r="Q21" s="9" t="n"/>
      <c r="R21" s="9" t="n"/>
      <c r="S21" s="9" t="n"/>
      <c r="T21" s="9" t="n"/>
      <c r="U21" s="9" t="n"/>
      <c r="V21" s="9" t="n"/>
      <c r="W21" s="9">
        <f>SUM(K21:U21)</f>
        <v/>
      </c>
      <c r="X21" s="9" t="n"/>
      <c r="Y21" s="9" t="n"/>
      <c r="Z21" s="9" t="n"/>
      <c r="AA21" s="9">
        <f>SUM(X21:Z21)</f>
        <v/>
      </c>
      <c r="AB21" s="9">
        <f>+W21+AA21</f>
        <v/>
      </c>
      <c r="AC21" s="7" t="inlineStr"/>
      <c r="AD21" s="7" t="inlineStr"/>
    </row>
    <row r="22" ht="52" customHeight="1">
      <c r="A22" s="7" t="n">
        <v>10</v>
      </c>
      <c r="B22" s="7" t="inlineStr">
        <is>
          <t>308311117500</t>
        </is>
      </c>
      <c r="C22" s="7" t="inlineStr">
        <is>
          <t>VEI2600072</t>
        </is>
      </c>
      <c r="D22" s="7" t="inlineStr">
        <is>
          <t>DAINESE S.P.A.</t>
        </is>
      </c>
      <c r="E22" s="8" t="n">
        <v>46092</v>
      </c>
      <c r="F22" s="7" t="inlineStr"/>
      <c r="G22" s="7" t="inlineStr">
        <is>
          <t>CPN</t>
        </is>
      </c>
      <c r="H22" s="7" t="inlineStr"/>
      <c r="I22" s="7" t="inlineStr"/>
      <c r="J22" s="7" t="inlineStr">
        <is>
          <t>Luồng xanh</t>
        </is>
      </c>
      <c r="K22" s="9" t="n">
        <v>600000</v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>
        <f>SUM(K22:U22)</f>
        <v/>
      </c>
      <c r="X22" s="9" t="n"/>
      <c r="Y22" s="9" t="n"/>
      <c r="Z22" s="9" t="n"/>
      <c r="AA22" s="9">
        <f>SUM(X22:Z22)</f>
        <v/>
      </c>
      <c r="AB22" s="9">
        <f>+W22+AA22</f>
        <v/>
      </c>
      <c r="AC22" s="7" t="inlineStr"/>
      <c r="AD22" s="7" t="inlineStr"/>
    </row>
    <row r="23" ht="52" customHeight="1">
      <c r="A23" s="7" t="n">
        <v>11</v>
      </c>
      <c r="B23" s="7" t="inlineStr">
        <is>
          <t>308312689660</t>
        </is>
      </c>
      <c r="C23" s="7" t="inlineStr">
        <is>
          <t>VEI2600073</t>
        </is>
      </c>
      <c r="D23" s="7" t="inlineStr">
        <is>
          <t>DAINESE S.P.A.</t>
        </is>
      </c>
      <c r="E23" s="8" t="n">
        <v>46092</v>
      </c>
      <c r="F23" s="7" t="inlineStr">
        <is>
          <t>10T CD - 15C 32086-  KCN Yên Bình, TN- Hải Phòng</t>
        </is>
      </c>
      <c r="G23" s="7" t="inlineStr">
        <is>
          <t>DOM</t>
        </is>
      </c>
      <c r="H23" s="7" t="inlineStr"/>
      <c r="I23" s="7" t="inlineStr"/>
      <c r="J23" s="7" t="inlineStr">
        <is>
          <t>Luồng xanh</t>
        </is>
      </c>
      <c r="K23" s="9" t="n">
        <v>600000</v>
      </c>
      <c r="L23" s="9" t="n"/>
      <c r="M23" s="9" t="n">
        <v>4830000</v>
      </c>
      <c r="N23" s="9" t="n"/>
      <c r="O23" s="9" t="n">
        <v>700350</v>
      </c>
      <c r="P23" s="9" t="n"/>
      <c r="Q23" s="9" t="n"/>
      <c r="R23" s="9" t="n"/>
      <c r="S23" s="9" t="n"/>
      <c r="T23" s="9" t="n"/>
      <c r="U23" s="9" t="n"/>
      <c r="V23" s="9" t="n"/>
      <c r="W23" s="9">
        <f>SUM(K23:U23)</f>
        <v/>
      </c>
      <c r="X23" s="9" t="n"/>
      <c r="Y23" s="9" t="n"/>
      <c r="Z23" s="9" t="n"/>
      <c r="AA23" s="9">
        <f>SUM(X23:Z23)</f>
        <v/>
      </c>
      <c r="AB23" s="9">
        <f>+W23+AA23</f>
        <v/>
      </c>
      <c r="AC23" s="7" t="inlineStr"/>
      <c r="AD23" s="7" t="inlineStr"/>
    </row>
    <row r="24" ht="52" customHeight="1">
      <c r="A24" s="7" t="n">
        <v>12</v>
      </c>
      <c r="B24" s="7" t="inlineStr">
        <is>
          <t>308313633300</t>
        </is>
      </c>
      <c r="C24" s="7" t="inlineStr">
        <is>
          <t>VEI2600071</t>
        </is>
      </c>
      <c r="D24" s="7" t="inlineStr">
        <is>
          <t>DAINESE S.P.A.</t>
        </is>
      </c>
      <c r="E24" s="8" t="n">
        <v>46092</v>
      </c>
      <c r="F24" s="7" t="inlineStr"/>
      <c r="G24" s="7" t="inlineStr">
        <is>
          <t>CPN</t>
        </is>
      </c>
      <c r="H24" s="7" t="inlineStr"/>
      <c r="I24" s="7" t="inlineStr"/>
      <c r="J24" s="7" t="inlineStr">
        <is>
          <t>Luồng xanh</t>
        </is>
      </c>
      <c r="K24" s="9" t="n">
        <v>600000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>
        <f>SUM(K24:U24)</f>
        <v/>
      </c>
      <c r="X24" s="9" t="n"/>
      <c r="Y24" s="9" t="n"/>
      <c r="Z24" s="9" t="n"/>
      <c r="AA24" s="9">
        <f>SUM(X24:Z24)</f>
        <v/>
      </c>
      <c r="AB24" s="9">
        <f>+W24+AA24</f>
        <v/>
      </c>
      <c r="AC24" s="7" t="inlineStr"/>
      <c r="AD24" s="7" t="inlineStr"/>
    </row>
    <row r="25" ht="52" customHeight="1">
      <c r="A25" s="7" t="n">
        <v>13</v>
      </c>
      <c r="B25" s="7" t="inlineStr">
        <is>
          <t>308321159660</t>
        </is>
      </c>
      <c r="C25" s="7" t="inlineStr">
        <is>
          <t>VEI2600076</t>
        </is>
      </c>
      <c r="D25" s="7" t="inlineStr">
        <is>
          <t>DAINESE S.P.A.</t>
        </is>
      </c>
      <c r="E25" s="8" t="n">
        <v>46094</v>
      </c>
      <c r="F25" s="7" t="inlineStr">
        <is>
          <t>10T CD - 15H 02397-  KCN Yên Bình, TN- Hải Phòng</t>
        </is>
      </c>
      <c r="G25" s="7" t="inlineStr">
        <is>
          <t>DOM</t>
        </is>
      </c>
      <c r="H25" s="7" t="inlineStr"/>
      <c r="I25" s="7" t="inlineStr"/>
      <c r="J25" s="7" t="inlineStr">
        <is>
          <t>Luồng xanh</t>
        </is>
      </c>
      <c r="K25" s="9" t="n">
        <v>600000</v>
      </c>
      <c r="L25" s="9" t="n"/>
      <c r="M25" s="9" t="n">
        <v>4830000</v>
      </c>
      <c r="N25" s="9" t="n"/>
      <c r="O25" s="9" t="n">
        <v>700350</v>
      </c>
      <c r="P25" s="9" t="n"/>
      <c r="Q25" s="9" t="n"/>
      <c r="R25" s="9" t="n"/>
      <c r="S25" s="9" t="n"/>
      <c r="T25" s="9" t="n"/>
      <c r="U25" s="9" t="n"/>
      <c r="V25" s="9" t="n"/>
      <c r="W25" s="9">
        <f>SUM(K25:U25)</f>
        <v/>
      </c>
      <c r="X25" s="9" t="n"/>
      <c r="Y25" s="9" t="n"/>
      <c r="Z25" s="9" t="n"/>
      <c r="AA25" s="9">
        <f>SUM(X25:Z25)</f>
        <v/>
      </c>
      <c r="AB25" s="9">
        <f>+W25+AA25</f>
        <v/>
      </c>
      <c r="AC25" s="7" t="inlineStr"/>
      <c r="AD25" s="7" t="inlineStr"/>
    </row>
    <row r="26" ht="52" customHeight="1">
      <c r="A26" s="7" t="n">
        <v>14</v>
      </c>
      <c r="B26" s="7" t="inlineStr">
        <is>
          <t>308323085840</t>
        </is>
      </c>
      <c r="C26" s="7" t="inlineStr">
        <is>
          <t>VEI2600079</t>
        </is>
      </c>
      <c r="D26" s="7" t="inlineStr">
        <is>
          <t>DAINESE S.P.A.</t>
        </is>
      </c>
      <c r="E26" s="8" t="n">
        <v>46094</v>
      </c>
      <c r="F26" s="7" t="inlineStr"/>
      <c r="G26" s="7" t="inlineStr">
        <is>
          <t>CPN</t>
        </is>
      </c>
      <c r="H26" s="7" t="inlineStr"/>
      <c r="I26" s="7" t="inlineStr"/>
      <c r="J26" s="7" t="inlineStr">
        <is>
          <t>Luồng xanh</t>
        </is>
      </c>
      <c r="K26" s="9" t="n">
        <v>600000</v>
      </c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>
        <f>SUM(K26:U26)</f>
        <v/>
      </c>
      <c r="X26" s="9" t="n"/>
      <c r="Y26" s="9" t="n"/>
      <c r="Z26" s="9" t="n"/>
      <c r="AA26" s="9">
        <f>SUM(X26:Z26)</f>
        <v/>
      </c>
      <c r="AB26" s="9">
        <f>+W26+AA26</f>
        <v/>
      </c>
      <c r="AC26" s="7" t="inlineStr"/>
      <c r="AD26" s="7" t="inlineStr"/>
    </row>
    <row r="27" ht="52" customHeight="1">
      <c r="A27" s="7" t="n">
        <v>15</v>
      </c>
      <c r="B27" s="7" t="inlineStr">
        <is>
          <t>308329354930</t>
        </is>
      </c>
      <c r="C27" s="7" t="inlineStr">
        <is>
          <t>VEI2600077</t>
        </is>
      </c>
      <c r="D27" s="7" t="inlineStr">
        <is>
          <t>DAINESE S.P.A.</t>
        </is>
      </c>
      <c r="E27" s="8" t="n">
        <v>46097</v>
      </c>
      <c r="F27" s="7" t="inlineStr"/>
      <c r="G27" s="7" t="inlineStr">
        <is>
          <t>CPN</t>
        </is>
      </c>
      <c r="H27" s="7" t="inlineStr"/>
      <c r="I27" s="7" t="inlineStr"/>
      <c r="J27" s="7" t="inlineStr">
        <is>
          <t>Luồng xanh</t>
        </is>
      </c>
      <c r="K27" s="9" t="n">
        <v>600000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>
        <f>SUM(K27:U27)</f>
        <v/>
      </c>
      <c r="X27" s="9" t="n"/>
      <c r="Y27" s="9" t="n"/>
      <c r="Z27" s="9" t="n"/>
      <c r="AA27" s="9">
        <f>SUM(X27:Z27)</f>
        <v/>
      </c>
      <c r="AB27" s="9">
        <f>+W27+AA27</f>
        <v/>
      </c>
      <c r="AC27" s="7" t="inlineStr"/>
      <c r="AD27" s="7" t="inlineStr"/>
    </row>
    <row r="28" ht="52" customHeight="1">
      <c r="A28" s="7" t="n">
        <v>16</v>
      </c>
      <c r="B28" s="7" t="inlineStr">
        <is>
          <t>308329415240</t>
        </is>
      </c>
      <c r="C28" s="7" t="inlineStr">
        <is>
          <t>VEI2600078</t>
        </is>
      </c>
      <c r="D28" s="7" t="inlineStr">
        <is>
          <t>DAINESE S.P.A.</t>
        </is>
      </c>
      <c r="E28" s="8" t="n">
        <v>46097</v>
      </c>
      <c r="F28" s="7" t="inlineStr"/>
      <c r="G28" s="7" t="inlineStr">
        <is>
          <t>CPN</t>
        </is>
      </c>
      <c r="H28" s="7" t="inlineStr"/>
      <c r="I28" s="7" t="inlineStr"/>
      <c r="J28" s="7" t="inlineStr">
        <is>
          <t>Luồng xanh</t>
        </is>
      </c>
      <c r="K28" s="9" t="n">
        <v>600000</v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>
        <f>SUM(K28:U28)</f>
        <v/>
      </c>
      <c r="X28" s="9" t="n"/>
      <c r="Y28" s="9" t="n"/>
      <c r="Z28" s="9" t="n"/>
      <c r="AA28" s="9">
        <f>SUM(X28:Z28)</f>
        <v/>
      </c>
      <c r="AB28" s="9">
        <f>+W28+AA28</f>
        <v/>
      </c>
      <c r="AC28" s="7" t="inlineStr"/>
      <c r="AD28" s="7" t="inlineStr"/>
    </row>
    <row r="29" ht="52" customHeight="1">
      <c r="A29" s="7" t="n">
        <v>17</v>
      </c>
      <c r="B29" s="7" t="inlineStr">
        <is>
          <t>308330320230</t>
        </is>
      </c>
      <c r="C29" s="7" t="inlineStr">
        <is>
          <t>VEI2600080</t>
        </is>
      </c>
      <c r="D29" s="7" t="inlineStr">
        <is>
          <t>DAINESE S.P.A.</t>
        </is>
      </c>
      <c r="E29" s="8" t="n">
        <v>46097</v>
      </c>
      <c r="F29" s="7" t="inlineStr"/>
      <c r="G29" s="7" t="inlineStr">
        <is>
          <t>DOM</t>
        </is>
      </c>
      <c r="H29" s="7" t="inlineStr"/>
      <c r="I29" s="7" t="inlineStr"/>
      <c r="J29" s="7" t="inlineStr">
        <is>
          <t>Luồng xanh</t>
        </is>
      </c>
      <c r="K29" s="9" t="n">
        <v>600000</v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>
        <f>SUM(K29:U29)</f>
        <v/>
      </c>
      <c r="X29" s="9" t="n"/>
      <c r="Y29" s="9" t="n"/>
      <c r="Z29" s="9" t="n"/>
      <c r="AA29" s="9">
        <f>SUM(X29:Z29)</f>
        <v/>
      </c>
      <c r="AB29" s="9">
        <f>+W29+AA29</f>
        <v/>
      </c>
      <c r="AC29" s="7" t="inlineStr"/>
      <c r="AD29" s="7" t="inlineStr"/>
    </row>
    <row r="30" ht="52" customHeight="1">
      <c r="A30" s="7" t="n">
        <v>18</v>
      </c>
      <c r="B30" s="7" t="inlineStr">
        <is>
          <t>308330321850</t>
        </is>
      </c>
      <c r="C30" s="7" t="inlineStr">
        <is>
          <t>VEI2600080</t>
        </is>
      </c>
      <c r="D30" s="7" t="inlineStr">
        <is>
          <t>DAINESE S.P.A.</t>
        </is>
      </c>
      <c r="E30" s="8" t="n">
        <v>46097</v>
      </c>
      <c r="F30" s="7" t="inlineStr"/>
      <c r="G30" s="7" t="inlineStr">
        <is>
          <t>DOM</t>
        </is>
      </c>
      <c r="H30" s="7" t="inlineStr"/>
      <c r="I30" s="7" t="inlineStr"/>
      <c r="J30" s="7" t="inlineStr">
        <is>
          <t>Luồng xanh</t>
        </is>
      </c>
      <c r="K30" s="9" t="n">
        <v>600000</v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>
        <f>SUM(K30:U30)</f>
        <v/>
      </c>
      <c r="X30" s="9" t="n"/>
      <c r="Y30" s="9" t="n"/>
      <c r="Z30" s="9" t="n"/>
      <c r="AA30" s="9">
        <f>SUM(X30:Z30)</f>
        <v/>
      </c>
      <c r="AB30" s="9">
        <f>+W30+AA30</f>
        <v/>
      </c>
      <c r="AC30" s="7" t="inlineStr"/>
      <c r="AD30" s="7" t="inlineStr"/>
    </row>
    <row r="31" ht="52" customHeight="1">
      <c r="A31" s="7" t="n">
        <v>19</v>
      </c>
      <c r="B31" s="7" t="inlineStr">
        <is>
          <t>308346417430</t>
        </is>
      </c>
      <c r="C31" s="7" t="inlineStr">
        <is>
          <t>VEI2600084</t>
        </is>
      </c>
      <c r="D31" s="7" t="inlineStr">
        <is>
          <t>DAINESE S.P.A.</t>
        </is>
      </c>
      <c r="E31" s="8" t="n">
        <v>46101</v>
      </c>
      <c r="F31" s="7" t="inlineStr"/>
      <c r="G31" s="7" t="inlineStr">
        <is>
          <t>CPN</t>
        </is>
      </c>
      <c r="H31" s="7" t="inlineStr"/>
      <c r="I31" s="7" t="inlineStr"/>
      <c r="J31" s="7" t="inlineStr">
        <is>
          <t>Luồng xanh</t>
        </is>
      </c>
      <c r="K31" s="9" t="n">
        <v>600000</v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>
        <f>SUM(K31:U31)</f>
        <v/>
      </c>
      <c r="X31" s="9" t="n"/>
      <c r="Y31" s="9" t="n"/>
      <c r="Z31" s="9" t="n"/>
      <c r="AA31" s="9">
        <f>SUM(X31:Z31)</f>
        <v/>
      </c>
      <c r="AB31" s="9">
        <f>+W31+AA31</f>
        <v/>
      </c>
      <c r="AC31" s="7" t="inlineStr"/>
      <c r="AD31" s="7" t="inlineStr"/>
    </row>
    <row r="32" ht="52" customHeight="1">
      <c r="A32" s="7" t="n">
        <v>20</v>
      </c>
      <c r="B32" s="7" t="inlineStr">
        <is>
          <t>308356353230</t>
        </is>
      </c>
      <c r="C32" s="7" t="inlineStr">
        <is>
          <t>VEI2600088</t>
        </is>
      </c>
      <c r="D32" s="7" t="inlineStr">
        <is>
          <t>DAINESE S.P.A.</t>
        </is>
      </c>
      <c r="E32" s="8" t="n">
        <v>46105</v>
      </c>
      <c r="F32" s="7" t="inlineStr">
        <is>
          <t>10T CD- 15H 02376- KCN Yên Bình, TN- Hải Phòng</t>
        </is>
      </c>
      <c r="G32" s="7" t="inlineStr">
        <is>
          <t>DOM</t>
        </is>
      </c>
      <c r="H32" s="7" t="inlineStr"/>
      <c r="I32" s="7" t="inlineStr"/>
      <c r="J32" s="7" t="inlineStr">
        <is>
          <t>Luồng xanh</t>
        </is>
      </c>
      <c r="K32" s="9" t="n">
        <v>600000</v>
      </c>
      <c r="L32" s="9" t="n"/>
      <c r="M32" s="9" t="n">
        <v>4830000</v>
      </c>
      <c r="N32" s="9" t="n"/>
      <c r="O32" s="9" t="n">
        <v>700350</v>
      </c>
      <c r="P32" s="9" t="n"/>
      <c r="Q32" s="9" t="n"/>
      <c r="R32" s="9" t="n"/>
      <c r="S32" s="9" t="n"/>
      <c r="T32" s="9" t="n"/>
      <c r="U32" s="9" t="n"/>
      <c r="V32" s="9" t="n"/>
      <c r="W32" s="9">
        <f>SUM(K32:U32)</f>
        <v/>
      </c>
      <c r="X32" s="9" t="n"/>
      <c r="Y32" s="9" t="n"/>
      <c r="Z32" s="9" t="n"/>
      <c r="AA32" s="9">
        <f>SUM(X32:Z32)</f>
        <v/>
      </c>
      <c r="AB32" s="9">
        <f>+W32+AA32</f>
        <v/>
      </c>
      <c r="AC32" s="7" t="inlineStr"/>
      <c r="AD32" s="7" t="inlineStr"/>
    </row>
    <row r="33" ht="52" customHeight="1">
      <c r="A33" s="7" t="n">
        <v>21</v>
      </c>
      <c r="B33" s="7" t="inlineStr">
        <is>
          <t>308356355110</t>
        </is>
      </c>
      <c r="C33" s="7" t="inlineStr">
        <is>
          <t>VEI2600088</t>
        </is>
      </c>
      <c r="D33" s="7" t="inlineStr">
        <is>
          <t>DAINESE S.P.A.</t>
        </is>
      </c>
      <c r="E33" s="8" t="n">
        <v>46105</v>
      </c>
      <c r="F33" s="7" t="inlineStr"/>
      <c r="G33" s="7" t="inlineStr">
        <is>
          <t>DOM</t>
        </is>
      </c>
      <c r="H33" s="7" t="inlineStr"/>
      <c r="I33" s="7" t="inlineStr"/>
      <c r="J33" s="7" t="inlineStr">
        <is>
          <t>Luồng xanh</t>
        </is>
      </c>
      <c r="K33" s="9" t="n">
        <v>600000</v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>
        <f>SUM(K33:U33)</f>
        <v/>
      </c>
      <c r="X33" s="9" t="n"/>
      <c r="Y33" s="9" t="n"/>
      <c r="Z33" s="9" t="n"/>
      <c r="AA33" s="9">
        <f>SUM(X33:Z33)</f>
        <v/>
      </c>
      <c r="AB33" s="9">
        <f>+W33+AA33</f>
        <v/>
      </c>
      <c r="AC33" s="7" t="inlineStr"/>
      <c r="AD33" s="7" t="inlineStr"/>
    </row>
    <row r="34" ht="52" customHeight="1">
      <c r="A34" s="7" t="n">
        <v>22</v>
      </c>
      <c r="B34" s="7" t="inlineStr">
        <is>
          <t>308367998910</t>
        </is>
      </c>
      <c r="C34" s="7" t="inlineStr">
        <is>
          <t>VEI2600092</t>
        </is>
      </c>
      <c r="D34" s="7" t="inlineStr">
        <is>
          <t>DAINESE S.P.A.</t>
        </is>
      </c>
      <c r="E34" s="8" t="n">
        <v>46107</v>
      </c>
      <c r="F34" s="7" t="inlineStr"/>
      <c r="G34" s="7" t="inlineStr">
        <is>
          <t>DOM</t>
        </is>
      </c>
      <c r="H34" s="7" t="inlineStr"/>
      <c r="I34" s="7" t="inlineStr"/>
      <c r="J34" s="7" t="inlineStr">
        <is>
          <t>Luồng xanh</t>
        </is>
      </c>
      <c r="K34" s="9" t="n">
        <v>600000</v>
      </c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>
        <f>SUM(K34:U34)</f>
        <v/>
      </c>
      <c r="X34" s="9" t="n"/>
      <c r="Y34" s="9" t="n"/>
      <c r="Z34" s="9" t="n"/>
      <c r="AA34" s="9">
        <f>SUM(X34:Z34)</f>
        <v/>
      </c>
      <c r="AB34" s="9">
        <f>+W34+AA34</f>
        <v/>
      </c>
      <c r="AC34" s="7" t="inlineStr"/>
      <c r="AD34" s="7" t="inlineStr"/>
    </row>
    <row r="35" ht="52" customHeight="1">
      <c r="A35" s="7" t="n">
        <v>23</v>
      </c>
      <c r="B35" s="7" t="inlineStr">
        <is>
          <t>308368005910</t>
        </is>
      </c>
      <c r="C35" s="7" t="inlineStr">
        <is>
          <t>VEI2600092</t>
        </is>
      </c>
      <c r="D35" s="7" t="inlineStr">
        <is>
          <t>DAINESE S.P.A.</t>
        </is>
      </c>
      <c r="E35" s="8" t="n">
        <v>46107</v>
      </c>
      <c r="F35" s="7" t="inlineStr"/>
      <c r="G35" s="7" t="inlineStr">
        <is>
          <t>DOM</t>
        </is>
      </c>
      <c r="H35" s="7" t="inlineStr"/>
      <c r="I35" s="7" t="inlineStr"/>
      <c r="J35" s="7" t="inlineStr">
        <is>
          <t>Luồng xanh</t>
        </is>
      </c>
      <c r="K35" s="9" t="n">
        <v>600000</v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>
        <f>SUM(K35:U35)</f>
        <v/>
      </c>
      <c r="X35" s="9" t="n"/>
      <c r="Y35" s="9" t="n"/>
      <c r="Z35" s="9" t="n"/>
      <c r="AA35" s="9">
        <f>SUM(X35:Z35)</f>
        <v/>
      </c>
      <c r="AB35" s="9">
        <f>+W35+AA35</f>
        <v/>
      </c>
      <c r="AC35" s="7" t="inlineStr"/>
      <c r="AD35" s="7" t="inlineStr"/>
    </row>
    <row r="36">
      <c r="A36" s="10" t="inlineStr">
        <is>
          <t>Tổng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K36" s="12">
        <f>SUM(K13:K35)</f>
        <v/>
      </c>
      <c r="L36" s="12">
        <f>SUM(L13:L35)</f>
        <v/>
      </c>
      <c r="M36" s="12">
        <f>SUM(M13:M35)</f>
        <v/>
      </c>
      <c r="N36" s="12">
        <f>SUM(N13:N35)</f>
        <v/>
      </c>
      <c r="O36" s="12">
        <f>SUM(O13:O35)</f>
        <v/>
      </c>
      <c r="P36" s="12">
        <f>SUM(P13:P35)</f>
        <v/>
      </c>
      <c r="Q36" s="12">
        <f>SUM(Q13:Q35)</f>
        <v/>
      </c>
      <c r="R36" s="12">
        <f>SUM(R13:R35)</f>
        <v/>
      </c>
      <c r="S36" s="12">
        <f>SUM(S13:S35)</f>
        <v/>
      </c>
      <c r="T36" s="12">
        <f>SUM(T13:T35)</f>
        <v/>
      </c>
      <c r="U36" s="12">
        <f>SUM(U13:U35)</f>
        <v/>
      </c>
      <c r="V36" s="12">
        <f>SUM(V13:V35)</f>
        <v/>
      </c>
      <c r="W36" s="12">
        <f>SUM(W13:W35)</f>
        <v/>
      </c>
      <c r="X36" s="12">
        <f>SUM(X13:X35)</f>
        <v/>
      </c>
      <c r="Y36" s="12">
        <f>SUM(Y13:Y35)</f>
        <v/>
      </c>
      <c r="Z36" s="12">
        <f>SUM(Z13:Z35)</f>
        <v/>
      </c>
      <c r="AA36" s="12">
        <f>SUM(AA13:AA35)</f>
        <v/>
      </c>
    </row>
    <row r="37">
      <c r="A37" s="10" t="inlineStr">
        <is>
          <t>VAT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</row>
    <row r="38">
      <c r="A38" s="10" t="inlineStr">
        <is>
          <t>Tổng cộng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K38" s="12">
        <f>SUM(K36:K37)</f>
        <v/>
      </c>
      <c r="L38" s="12">
        <f>SUM(L36:L37)</f>
        <v/>
      </c>
      <c r="M38" s="12">
        <f>SUM(M36:M37)</f>
        <v/>
      </c>
      <c r="N38" s="12">
        <f>SUM(N36:N37)</f>
        <v/>
      </c>
      <c r="O38" s="12">
        <f>SUM(O36:O37)</f>
        <v/>
      </c>
      <c r="P38" s="12">
        <f>SUM(P36:P37)</f>
        <v/>
      </c>
      <c r="Q38" s="12">
        <f>SUM(Q36:Q37)</f>
        <v/>
      </c>
      <c r="R38" s="12">
        <f>SUM(R36:R37)</f>
        <v/>
      </c>
      <c r="S38" s="12">
        <f>SUM(S36:S37)</f>
        <v/>
      </c>
      <c r="T38" s="12">
        <f>SUM(T36:T37)</f>
        <v/>
      </c>
      <c r="U38" s="12">
        <f>SUM(U36:U37)</f>
        <v/>
      </c>
      <c r="V38" s="12">
        <f>SUM(V36:V37)</f>
        <v/>
      </c>
      <c r="W38" s="12">
        <f>SUM(W36:W37)</f>
        <v/>
      </c>
      <c r="X38" s="12">
        <f>SUM(X36:X37)</f>
        <v/>
      </c>
      <c r="Y38" s="12">
        <f>SUM(Y36:Y37)</f>
        <v/>
      </c>
      <c r="Z38" s="12">
        <f>SUM(Z36:Z37)</f>
        <v/>
      </c>
      <c r="AA38" s="12">
        <f>SUM(AA36:AA37)</f>
        <v/>
      </c>
    </row>
    <row r="47">
      <c r="A47" s="13" t="inlineStr">
        <is>
          <t>Thông tin chuyển khoản:</t>
        </is>
      </c>
    </row>
    <row r="48">
      <c r="A48" s="14" t="inlineStr">
        <is>
          <t>Tài khoản: Công Ty TNHH Thương mại và dịch vụ 5P Việt Nam</t>
        </is>
      </c>
    </row>
    <row r="49">
      <c r="A49" s="14" t="inlineStr">
        <is>
          <t>Số tài khoản: 346886</t>
        </is>
      </c>
    </row>
    <row r="50">
      <c r="A50" s="15" t="inlineStr">
        <is>
          <t>Tại Ngân hàng: Ngân hàng TMCP Kỹ thương Việt Nam - Techcombank Chi nhánh Đông Đô</t>
        </is>
      </c>
    </row>
  </sheetData>
  <mergeCells count="13">
    <mergeCell ref="H11:I11"/>
    <mergeCell ref="A37:I37"/>
    <mergeCell ref="A38:I38"/>
    <mergeCell ref="A36:I36"/>
    <mergeCell ref="A50:D50"/>
    <mergeCell ref="K11:W11"/>
    <mergeCell ref="AD11:AD12"/>
    <mergeCell ref="X11:AA11"/>
    <mergeCell ref="AB11:AB12"/>
    <mergeCell ref="A11:G11"/>
    <mergeCell ref="AC11:AC12"/>
    <mergeCell ref="J11:J12"/>
    <mergeCell ref="A5:A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2026-04-19T13:53:30Z</dcterms:created>
  <dcterms:modified xsi:type="dcterms:W3CDTF">2026-04-19T13:53:30Z</dcterms:modified>
</cp:coreProperties>
</file>