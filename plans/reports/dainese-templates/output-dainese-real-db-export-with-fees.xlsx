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(#,##0);_(* &quot;-&quot;_);_(@_)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6"/>
    </font>
    <font>
      <name val="Times New Roman"/>
      <b val="1"/>
      <sz val="14"/>
    </font>
    <font>
      <name val="Times New Roman"/>
      <b val="1"/>
      <i val="1"/>
      <sz val="12"/>
    </font>
    <font>
      <name val="Times New Roman"/>
      <b val="1"/>
      <sz val="1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" fillId="4" borderId="1" applyAlignment="1" pivotButton="0" quotePrefix="0" xfId="0">
      <alignment horizont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5.4" customWidth="1" min="1" max="1"/>
    <col width="13.6" customWidth="1" min="2" max="2"/>
    <col width="19.6" customWidth="1" min="3" max="3"/>
    <col width="19.9" customWidth="1" min="4" max="4"/>
    <col width="16.6" customWidth="1" min="5" max="5"/>
    <col width="26.3" customWidth="1" min="6" max="6"/>
    <col width="11.4" customWidth="1" min="7" max="7"/>
    <col width="13.5" customWidth="1" min="8" max="8"/>
    <col width="9.5" customWidth="1" min="9" max="9"/>
    <col width="18.5" customWidth="1" min="10" max="10"/>
    <col width="15.3" customWidth="1" min="11" max="11"/>
    <col width="14.5" customWidth="1" min="12" max="12"/>
    <col width="16.4" customWidth="1" min="13" max="13"/>
    <col width="15.2" customWidth="1" min="14" max="14"/>
    <col width="14.2" customWidth="1" min="15" max="15"/>
    <col width="18.8" customWidth="1" min="16" max="16"/>
    <col width="17.9" customWidth="1" min="17" max="17"/>
    <col width="13.7" customWidth="1" min="18" max="18"/>
    <col width="12.6" customWidth="1" min="19" max="19"/>
    <col width="13.8" customWidth="1" min="20" max="20"/>
    <col width="11" customWidth="1" min="21" max="21"/>
    <col width="15.7" customWidth="1" min="22" max="22"/>
    <col width="12.5" customWidth="1" min="23" max="23"/>
    <col width="11.5" customWidth="1" min="24" max="24"/>
    <col width="20.4" customWidth="1" min="25" max="25"/>
    <col width="15.7" customWidth="1" min="26" max="26"/>
    <col width="18.5" customWidth="1" min="27" max="27"/>
    <col width="21.8" customWidth="1" min="28" max="28"/>
    <col width="8.199999999999999" customWidth="1" min="29" max="29"/>
    <col width="8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67" customHeight="1">
      <c r="A5" s="2" t="inlineStr">
        <is>
          <t>BẢNG KÊ CHI TIẾT HÀNG NHẬP QUỐC TẾ THÁNG 03 NĂM 2026</t>
        </is>
      </c>
    </row>
    <row r="6" ht="38" customHeight="1"/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 Lô CN18 Khu Công nghiệp Yên Bình, Phường Vạn Xuân, Tỉnh Thái Nguyên, Việt Nam</t>
        </is>
      </c>
    </row>
    <row r="9" ht="18" customHeight="1">
      <c r="B9" s="3" t="inlineStr">
        <is>
          <t xml:space="preserve">Attn:   </t>
        </is>
      </c>
    </row>
    <row r="10" ht="73" customHeight="1"/>
    <row r="11" ht="26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Note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4" t="inlineStr">
        <is>
          <t>Phí trả hộ</t>
        </is>
      </c>
      <c r="X11" s="5" t="n"/>
      <c r="Y11" s="5" t="n"/>
      <c r="Z11" s="5" t="n"/>
      <c r="AA11" s="4" t="inlineStr">
        <is>
          <t xml:space="preserve">Tổng tiền phải trả </t>
        </is>
      </c>
      <c r="AB11" s="4" t="inlineStr">
        <is>
          <t>Số hóa đơn trả hộ</t>
        </is>
      </c>
      <c r="AC11" s="4" t="inlineStr">
        <is>
          <t>Số hóa đơn của forwarder</t>
        </is>
      </c>
      <c r="AD11" s="5" t="n"/>
    </row>
    <row r="12" ht="42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Vận đơn/Note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 vận chuyển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đầu nước ngoài</t>
        </is>
      </c>
      <c r="Q12" s="6" t="inlineStr">
        <is>
          <t>Cước vận tải quốc tế</t>
        </is>
      </c>
      <c r="R12" s="6" t="inlineStr">
        <is>
          <t>Phí xếp dỡ (THC)</t>
        </is>
      </c>
      <c r="S12" s="6" t="inlineStr">
        <is>
          <t>Phí gom hàng lẻ (CFS)/
CIC/ LSS</t>
        </is>
      </c>
      <c r="T12" s="6" t="inlineStr">
        <is>
          <t>Phí lấy lệnh  (DO)</t>
        </is>
      </c>
      <c r="U12" s="6" t="inlineStr">
        <is>
          <t>Phí  đại lý,</t>
        </is>
      </c>
      <c r="V12" s="6" t="inlineStr">
        <is>
          <t>Tổng</t>
        </is>
      </c>
      <c r="W12" s="6" t="inlineStr">
        <is>
          <t>Local charge</t>
        </is>
      </c>
      <c r="X12" s="6" t="inlineStr">
        <is>
          <t>CSHT, thuế, vé bãi</t>
        </is>
      </c>
      <c r="Y12" s="6" t="inlineStr">
        <is>
          <t>Lưu kho giao nhận bốc xếp, nâng hạ</t>
        </is>
      </c>
      <c r="Z12" s="6" t="inlineStr">
        <is>
          <t>Tổng phí trả hộ</t>
        </is>
      </c>
      <c r="AA12" s="5" t="n"/>
      <c r="AB12" s="5" t="n"/>
      <c r="AC12" s="5" t="n"/>
      <c r="AD12" s="5" t="n"/>
    </row>
    <row r="13" ht="37" customHeight="1">
      <c r="A13" s="7" t="n">
        <v>1</v>
      </c>
      <c r="B13" s="7" t="inlineStr">
        <is>
          <t>108016284830</t>
        </is>
      </c>
      <c r="C13" s="7" t="inlineStr">
        <is>
          <t>00000479</t>
        </is>
      </c>
      <c r="D13" s="7" t="inlineStr">
        <is>
          <t>2025CA0000102683</t>
        </is>
      </c>
      <c r="E13" s="7" t="inlineStr">
        <is>
          <t>2026-03-03</t>
        </is>
      </c>
      <c r="F13" s="7" t="inlineStr">
        <is>
          <t>Genoa, Italy - Thái Nguyên</t>
        </is>
      </c>
      <c r="G13" s="7" t="inlineStr">
        <is>
          <t>SEA</t>
        </is>
      </c>
      <c r="H13" s="7" t="n">
        <v>140</v>
      </c>
      <c r="I13" s="7" t="inlineStr">
        <is>
          <t>LCL</t>
        </is>
      </c>
      <c r="J13" s="7" t="inlineStr">
        <is>
          <t>EGI PROJECT</t>
        </is>
      </c>
      <c r="K13" s="8" t="n">
        <v>629220</v>
      </c>
      <c r="L13" s="8" t="n"/>
      <c r="M13" s="8" t="n">
        <v>2831490</v>
      </c>
      <c r="N13" s="8" t="n">
        <v>629220</v>
      </c>
      <c r="O13" s="8" t="n"/>
      <c r="P13" s="8" t="n"/>
      <c r="Q13" s="8" t="n">
        <v>5908690</v>
      </c>
      <c r="R13" s="8" t="n">
        <v>2301372</v>
      </c>
      <c r="S13" s="8" t="n"/>
      <c r="T13" s="8" t="n">
        <v>943830</v>
      </c>
      <c r="U13" s="8" t="n"/>
      <c r="V13" s="9">
        <f>SUM(K13:U13)</f>
        <v/>
      </c>
      <c r="W13" s="8" t="n"/>
      <c r="X13" s="8" t="n"/>
      <c r="Y13" s="8" t="n">
        <v>1198150</v>
      </c>
      <c r="Z13" s="9">
        <f>SUM(W13:Y13)</f>
        <v/>
      </c>
      <c r="AA13" s="9">
        <f>+V13+Z13</f>
        <v/>
      </c>
      <c r="AB13" s="7" t="inlineStr">
        <is>
          <t>00000479</t>
        </is>
      </c>
      <c r="AC13" s="7" t="inlineStr"/>
      <c r="AD13" s="7" t="inlineStr"/>
    </row>
    <row r="14" ht="37" customHeight="1">
      <c r="A14" s="7" t="n">
        <v>2</v>
      </c>
      <c r="B14" s="7" t="inlineStr">
        <is>
          <t>108015913130</t>
        </is>
      </c>
      <c r="C14" s="7" t="inlineStr">
        <is>
          <t>3G/066</t>
        </is>
      </c>
      <c r="D14" s="7" t="inlineStr">
        <is>
          <t>DELHPH263669</t>
        </is>
      </c>
      <c r="E14" s="7" t="inlineStr">
        <is>
          <t>2026-03-03</t>
        </is>
      </c>
      <c r="F14" s="7" t="inlineStr">
        <is>
          <t>Mundra, Ấn Độ- Thái Nguyên</t>
        </is>
      </c>
      <c r="G14" s="7" t="inlineStr">
        <is>
          <t>SEA</t>
        </is>
      </c>
      <c r="H14" s="7" t="n">
        <v>169</v>
      </c>
      <c r="I14" s="7" t="inlineStr">
        <is>
          <t>LCL</t>
        </is>
      </c>
      <c r="J14" s="7" t="inlineStr">
        <is>
          <t>3 GENERATIONS</t>
        </is>
      </c>
      <c r="K14" s="8" t="n">
        <v>788670</v>
      </c>
      <c r="L14" s="8" t="n"/>
      <c r="M14" s="8" t="n">
        <v>2497455</v>
      </c>
      <c r="N14" s="8" t="n">
        <v>525780</v>
      </c>
      <c r="O14" s="8" t="n"/>
      <c r="P14" s="8" t="n">
        <v>5731002</v>
      </c>
      <c r="Q14" s="8" t="n">
        <v>1314450</v>
      </c>
      <c r="R14" s="8" t="n">
        <v>709803</v>
      </c>
      <c r="S14" s="8" t="n"/>
      <c r="T14" s="8" t="n">
        <v>788670</v>
      </c>
      <c r="U14" s="8" t="n"/>
      <c r="V14" s="9">
        <f>SUM(K14:U14)</f>
        <v/>
      </c>
      <c r="W14" s="8" t="n"/>
      <c r="X14" s="8" t="n"/>
      <c r="Y14" s="8" t="n">
        <v>685800</v>
      </c>
      <c r="Z14" s="9">
        <f>SUM(W14:Y14)</f>
        <v/>
      </c>
      <c r="AA14" s="9">
        <f>+V14+Z14</f>
        <v/>
      </c>
      <c r="AB14" s="7" t="inlineStr">
        <is>
          <t>3G/066</t>
        </is>
      </c>
      <c r="AC14" s="7" t="inlineStr"/>
      <c r="AD14" s="7" t="inlineStr"/>
    </row>
    <row r="15" ht="37" customHeight="1">
      <c r="A15" s="7" t="n">
        <v>3</v>
      </c>
      <c r="B15" s="7" t="inlineStr">
        <is>
          <t>108021404521</t>
        </is>
      </c>
      <c r="C15" s="7" t="inlineStr">
        <is>
          <t>2025S0217</t>
        </is>
      </c>
      <c r="D15" s="7" t="inlineStr">
        <is>
          <t>2025CA0000102644</t>
        </is>
      </c>
      <c r="E15" s="7" t="inlineStr">
        <is>
          <t>2026-03-05</t>
        </is>
      </c>
      <c r="F15" s="7" t="inlineStr">
        <is>
          <t>Genoa, Italy - Thái Nguyên</t>
        </is>
      </c>
      <c r="G15" s="7" t="inlineStr">
        <is>
          <t>SEA</t>
        </is>
      </c>
      <c r="H15" s="7" t="n">
        <v>5890</v>
      </c>
      <c r="I15" s="7" t="inlineStr">
        <is>
          <t>LCL</t>
        </is>
      </c>
      <c r="J15" s="7" t="inlineStr">
        <is>
          <t>Elantas</t>
        </is>
      </c>
      <c r="K15" s="8" t="n">
        <v>943830</v>
      </c>
      <c r="L15" s="8" t="n"/>
      <c r="M15" s="8" t="n">
        <v>4561845</v>
      </c>
      <c r="N15" s="8" t="n">
        <v>4089930</v>
      </c>
      <c r="O15" s="8" t="n">
        <v>849447</v>
      </c>
      <c r="P15" s="8" t="n">
        <v>19568742</v>
      </c>
      <c r="Q15" s="8" t="n">
        <v>60216354</v>
      </c>
      <c r="R15" s="8" t="n">
        <v>20462234</v>
      </c>
      <c r="S15" s="8" t="n"/>
      <c r="T15" s="8" t="n">
        <v>1258440</v>
      </c>
      <c r="U15" s="8" t="n"/>
      <c r="V15" s="9">
        <f>SUM(K15:U15)</f>
        <v/>
      </c>
      <c r="W15" s="8" t="n"/>
      <c r="X15" s="8" t="n">
        <v>94240</v>
      </c>
      <c r="Y15" s="8" t="n">
        <v>13013670</v>
      </c>
      <c r="Z15" s="9">
        <f>SUM(W15:Y15)</f>
        <v/>
      </c>
      <c r="AA15" s="9">
        <f>+V15+Z15</f>
        <v/>
      </c>
      <c r="AB15" s="7" t="inlineStr">
        <is>
          <t>2025S0217</t>
        </is>
      </c>
      <c r="AC15" s="7" t="inlineStr"/>
      <c r="AD15" s="7" t="inlineStr"/>
    </row>
    <row r="16" ht="37" customHeight="1">
      <c r="A16" s="7" t="n">
        <v>4</v>
      </c>
      <c r="B16" s="7" t="inlineStr">
        <is>
          <t>108019206040</t>
        </is>
      </c>
      <c r="C16" s="7" t="inlineStr">
        <is>
          <t>INV-250162</t>
        </is>
      </c>
      <c r="D16" s="7" t="inlineStr">
        <is>
          <t>MNTHHG26021062</t>
        </is>
      </c>
      <c r="E16" s="7" t="inlineStr">
        <is>
          <t>2026-03-05</t>
        </is>
      </c>
      <c r="F16" s="7" t="inlineStr">
        <is>
          <t>Xiamen, TQ- Thái Nguyên, VN</t>
        </is>
      </c>
      <c r="G16" s="7" t="inlineStr">
        <is>
          <t>SEA</t>
        </is>
      </c>
      <c r="H16" s="7" t="n">
        <v>1120</v>
      </c>
      <c r="I16" s="7" t="inlineStr">
        <is>
          <t>LCL</t>
        </is>
      </c>
      <c r="J16" s="7" t="inlineStr">
        <is>
          <t>Shanghai_Tsubasa</t>
        </is>
      </c>
      <c r="K16" s="8" t="n">
        <v>472154</v>
      </c>
      <c r="L16" s="8" t="n"/>
      <c r="M16" s="8" t="n">
        <v>2498310</v>
      </c>
      <c r="N16" s="8" t="n"/>
      <c r="O16" s="8" t="n"/>
      <c r="P16" s="8" t="n"/>
      <c r="Q16" s="8" t="n">
        <v>140458</v>
      </c>
      <c r="R16" s="8" t="n"/>
      <c r="S16" s="8" t="n"/>
      <c r="T16" s="8" t="n"/>
      <c r="U16" s="8" t="n"/>
      <c r="V16" s="9">
        <f>SUM(K16:U16)</f>
        <v/>
      </c>
      <c r="W16" s="8" t="n"/>
      <c r="X16" s="8" t="n">
        <v>17920</v>
      </c>
      <c r="Y16" s="8" t="n">
        <v>6175047</v>
      </c>
      <c r="Z16" s="9">
        <f>SUM(W16:Y16)</f>
        <v/>
      </c>
      <c r="AA16" s="9">
        <f>+V16+Z16</f>
        <v/>
      </c>
      <c r="AB16" s="7" t="inlineStr">
        <is>
          <t>INV-250162</t>
        </is>
      </c>
      <c r="AC16" s="7" t="inlineStr"/>
      <c r="AD16" s="7" t="inlineStr"/>
    </row>
    <row r="17" ht="37" customHeight="1">
      <c r="A17" s="7" t="n">
        <v>5</v>
      </c>
      <c r="B17" s="7" t="inlineStr">
        <is>
          <t>108022539920</t>
        </is>
      </c>
      <c r="C17" s="7" t="inlineStr">
        <is>
          <t>DAINESE20260006</t>
        </is>
      </c>
      <c r="D17" s="7" t="inlineStr">
        <is>
          <t>AOF213404</t>
        </is>
      </c>
      <c r="E17" s="7" t="inlineStr">
        <is>
          <t>2026-03-05</t>
        </is>
      </c>
      <c r="F17" s="7" t="inlineStr">
        <is>
          <t>Xiamen, TQ- Thái Nguyên, VN</t>
        </is>
      </c>
      <c r="G17" s="7" t="inlineStr">
        <is>
          <t>AIR</t>
        </is>
      </c>
      <c r="H17" s="7" t="n">
        <v>56</v>
      </c>
      <c r="I17" s="7" t="inlineStr">
        <is>
          <t>AIR</t>
        </is>
      </c>
      <c r="J17" s="7" t="inlineStr">
        <is>
          <t>Dainese Xiamen</t>
        </is>
      </c>
      <c r="K17" s="8" t="n">
        <v>789120</v>
      </c>
      <c r="L17" s="8" t="n"/>
      <c r="M17" s="8" t="n">
        <v>789120</v>
      </c>
      <c r="N17" s="8" t="n"/>
      <c r="O17" s="8" t="n"/>
      <c r="P17" s="8" t="n">
        <v>3261696</v>
      </c>
      <c r="Q17" s="8" t="n">
        <v>2504141</v>
      </c>
      <c r="R17" s="8" t="n"/>
      <c r="S17" s="8" t="n"/>
      <c r="T17" s="8" t="n">
        <v>526080</v>
      </c>
      <c r="U17" s="8" t="n"/>
      <c r="V17" s="9">
        <f>SUM(K17:U17)</f>
        <v/>
      </c>
      <c r="W17" s="8" t="n"/>
      <c r="X17" s="8" t="n"/>
      <c r="Y17" s="8" t="n">
        <v>390053</v>
      </c>
      <c r="Z17" s="9">
        <f>SUM(W17:Y17)</f>
        <v/>
      </c>
      <c r="AA17" s="9">
        <f>+V17+Z17</f>
        <v/>
      </c>
      <c r="AB17" s="7" t="inlineStr">
        <is>
          <t>DAINESE20260006</t>
        </is>
      </c>
      <c r="AC17" s="7" t="inlineStr"/>
      <c r="AD17" s="7" t="inlineStr"/>
    </row>
    <row r="18" ht="37" customHeight="1">
      <c r="A18" s="7" t="n">
        <v>6</v>
      </c>
      <c r="B18" s="7" t="inlineStr">
        <is>
          <t>108036644000</t>
        </is>
      </c>
      <c r="C18" s="7" t="inlineStr">
        <is>
          <t>25/2026</t>
        </is>
      </c>
      <c r="D18" s="7" t="inlineStr">
        <is>
          <t>MNTHHG26021076</t>
        </is>
      </c>
      <c r="E18" s="7" t="inlineStr">
        <is>
          <t>2026-03-10</t>
        </is>
      </c>
      <c r="F18" s="7" t="inlineStr">
        <is>
          <t>Xiamen, TQ- Thái Nguyên, VN</t>
        </is>
      </c>
      <c r="G18" s="7" t="inlineStr">
        <is>
          <t>SEA</t>
        </is>
      </c>
      <c r="H18" s="7" t="n">
        <v>780</v>
      </c>
      <c r="I18" s="7" t="inlineStr">
        <is>
          <t>LCL</t>
        </is>
      </c>
      <c r="J18" s="7" t="inlineStr">
        <is>
          <t>Forma</t>
        </is>
      </c>
      <c r="K18" s="8" t="n">
        <v>657775</v>
      </c>
      <c r="L18" s="8" t="n"/>
      <c r="M18" s="8" t="n">
        <v>2499545</v>
      </c>
      <c r="N18" s="8" t="n">
        <v>499909</v>
      </c>
      <c r="O18" s="8" t="n"/>
      <c r="P18" s="8" t="n"/>
      <c r="Q18" s="8" t="n">
        <v>166706</v>
      </c>
      <c r="R18" s="8" t="n">
        <v>1500358</v>
      </c>
      <c r="S18" s="8" t="n"/>
      <c r="T18" s="8" t="n">
        <v>657775</v>
      </c>
      <c r="U18" s="8" t="n"/>
      <c r="V18" s="9">
        <f>SUM(K18:U18)</f>
        <v/>
      </c>
      <c r="W18" s="8" t="n">
        <v>3150575</v>
      </c>
      <c r="X18" s="8" t="n"/>
      <c r="Y18" s="8" t="n">
        <v>3864240</v>
      </c>
      <c r="Z18" s="9">
        <f>SUM(W18:Y18)</f>
        <v/>
      </c>
      <c r="AA18" s="9">
        <f>+V18+Z18</f>
        <v/>
      </c>
      <c r="AB18" s="7" t="inlineStr">
        <is>
          <t>25/2026</t>
        </is>
      </c>
      <c r="AC18" s="7" t="inlineStr"/>
      <c r="AD18" s="7" t="inlineStr"/>
    </row>
    <row r="19" ht="37" customHeight="1">
      <c r="A19" s="7" t="n">
        <v>7</v>
      </c>
      <c r="B19" s="7" t="inlineStr">
        <is>
          <t>108033977110</t>
        </is>
      </c>
      <c r="C19" s="7" t="inlineStr">
        <is>
          <t>DAINESE20260005</t>
        </is>
      </c>
      <c r="D19" s="7" t="inlineStr">
        <is>
          <t>MNTHHG26021091</t>
        </is>
      </c>
      <c r="E19" s="7" t="inlineStr">
        <is>
          <t>2026-03-10</t>
        </is>
      </c>
      <c r="F19" s="7" t="inlineStr">
        <is>
          <t>Xiamen, TQ- Thái Nguyên, VN</t>
        </is>
      </c>
      <c r="G19" s="7" t="inlineStr">
        <is>
          <t>SEA</t>
        </is>
      </c>
      <c r="H19" s="7" t="n">
        <v>314</v>
      </c>
      <c r="I19" s="7" t="inlineStr">
        <is>
          <t>LCL</t>
        </is>
      </c>
      <c r="J19" s="7" t="inlineStr">
        <is>
          <t>Dainese Xiamen</t>
        </is>
      </c>
      <c r="K19" s="8" t="n">
        <v>789330</v>
      </c>
      <c r="L19" s="8" t="n"/>
      <c r="M19" s="8" t="n">
        <v>3420430</v>
      </c>
      <c r="N19" s="8" t="n"/>
      <c r="O19" s="8" t="n"/>
      <c r="P19" s="8" t="n">
        <v>1442711</v>
      </c>
      <c r="Q19" s="8" t="n">
        <v>294604</v>
      </c>
      <c r="R19" s="8" t="n">
        <v>7365107</v>
      </c>
      <c r="S19" s="8" t="n"/>
      <c r="T19" s="8" t="n">
        <v>657775</v>
      </c>
      <c r="U19" s="8" t="n"/>
      <c r="V19" s="9">
        <f>SUM(K19:U19)</f>
        <v/>
      </c>
      <c r="W19" s="8" t="n"/>
      <c r="X19" s="8" t="n"/>
      <c r="Y19" s="8" t="n">
        <v>6430320</v>
      </c>
      <c r="Z19" s="9">
        <f>SUM(W19:Y19)</f>
        <v/>
      </c>
      <c r="AA19" s="9">
        <f>+V19+Z19</f>
        <v/>
      </c>
      <c r="AB19" s="7" t="inlineStr">
        <is>
          <t>DAINESE20260005</t>
        </is>
      </c>
      <c r="AC19" s="7" t="inlineStr"/>
      <c r="AD19" s="7" t="inlineStr"/>
    </row>
    <row r="20" ht="37" customHeight="1">
      <c r="A20" s="7" t="n">
        <v>8</v>
      </c>
      <c r="B20" s="7" t="inlineStr">
        <is>
          <t>108053441050</t>
        </is>
      </c>
      <c r="C20" s="7" t="inlineStr">
        <is>
          <t>CVNM121701/2025</t>
        </is>
      </c>
      <c r="D20" s="7" t="inlineStr">
        <is>
          <t>MNTHHG26031016</t>
        </is>
      </c>
      <c r="E20" s="7" t="inlineStr">
        <is>
          <t>2026-03-17</t>
        </is>
      </c>
      <c r="F20" s="7" t="inlineStr">
        <is>
          <t>Shanghai, TQ- Thái Nguyên, VN</t>
        </is>
      </c>
      <c r="G20" s="7" t="inlineStr">
        <is>
          <t>SEA</t>
        </is>
      </c>
      <c r="H20" s="7" t="n">
        <v>3770</v>
      </c>
      <c r="I20" s="7" t="inlineStr">
        <is>
          <t>LCL</t>
        </is>
      </c>
      <c r="J20" s="7" t="inlineStr">
        <is>
          <t>Sichuan</t>
        </is>
      </c>
      <c r="K20" s="8" t="n">
        <v>789540</v>
      </c>
      <c r="L20" s="8" t="n"/>
      <c r="M20" s="8" t="n">
        <v>3947700</v>
      </c>
      <c r="N20" s="8" t="n">
        <v>526360</v>
      </c>
      <c r="O20" s="8" t="n"/>
      <c r="P20" s="8" t="n"/>
      <c r="Q20" s="8" t="n">
        <v>5263600</v>
      </c>
      <c r="R20" s="8" t="n"/>
      <c r="S20" s="8" t="n">
        <v>3910855</v>
      </c>
      <c r="T20" s="8" t="n">
        <v>789540</v>
      </c>
      <c r="U20" s="8" t="n"/>
      <c r="V20" s="9">
        <f>SUM(K20:U20)</f>
        <v/>
      </c>
      <c r="W20" s="8" t="n"/>
      <c r="X20" s="8" t="n">
        <v>60320</v>
      </c>
      <c r="Y20" s="8" t="n">
        <v>6118805</v>
      </c>
      <c r="Z20" s="9">
        <f>SUM(W20:Y20)</f>
        <v/>
      </c>
      <c r="AA20" s="9">
        <f>+V20+Z20</f>
        <v/>
      </c>
      <c r="AB20" s="7" t="inlineStr">
        <is>
          <t>CVNM121701/2025</t>
        </is>
      </c>
      <c r="AC20" s="7" t="inlineStr"/>
      <c r="AD20" s="7" t="inlineStr"/>
    </row>
    <row r="21" ht="37" customHeight="1">
      <c r="A21" s="7" t="n">
        <v>9</v>
      </c>
      <c r="B21" s="7" t="inlineStr">
        <is>
          <t>108060328240</t>
        </is>
      </c>
      <c r="C21" s="7" t="inlineStr">
        <is>
          <t>AG26-002</t>
        </is>
      </c>
      <c r="D21" s="7" t="inlineStr">
        <is>
          <t>MNTHHG26031062</t>
        </is>
      </c>
      <c r="E21" s="7" t="inlineStr">
        <is>
          <t>2026-03-17</t>
        </is>
      </c>
      <c r="F21" s="7" t="inlineStr">
        <is>
          <t>Xiamen, TQ- Thái Nguyên, VN</t>
        </is>
      </c>
      <c r="G21" s="7" t="inlineStr">
        <is>
          <t>SEA</t>
        </is>
      </c>
      <c r="H21" s="7" t="n">
        <v>57.5</v>
      </c>
      <c r="I21" s="7" t="inlineStr">
        <is>
          <t>LCL</t>
        </is>
      </c>
      <c r="J21" s="7" t="inlineStr">
        <is>
          <t>Forever Trading</t>
        </is>
      </c>
      <c r="K21" s="8" t="n"/>
      <c r="L21" s="8" t="n"/>
      <c r="M21" s="8" t="n">
        <v>1947754</v>
      </c>
      <c r="N21" s="8" t="n"/>
      <c r="O21" s="8" t="n"/>
      <c r="P21" s="8" t="n"/>
      <c r="Q21" s="8" t="n">
        <v>26321</v>
      </c>
      <c r="R21" s="8" t="n"/>
      <c r="S21" s="8" t="n"/>
      <c r="T21" s="8" t="n"/>
      <c r="U21" s="8" t="n"/>
      <c r="V21" s="9">
        <f>SUM(K21:U21)</f>
        <v/>
      </c>
      <c r="W21" s="8" t="n"/>
      <c r="X21" s="8" t="n"/>
      <c r="Y21" s="8" t="n">
        <v>813240</v>
      </c>
      <c r="Z21" s="9">
        <f>SUM(W21:Y21)</f>
        <v/>
      </c>
      <c r="AA21" s="9">
        <f>+V21+Z21</f>
        <v/>
      </c>
      <c r="AB21" s="7" t="inlineStr">
        <is>
          <t>AG26-002</t>
        </is>
      </c>
      <c r="AC21" s="7" t="inlineStr"/>
      <c r="AD21" s="7" t="inlineStr"/>
    </row>
    <row r="22" ht="37" customHeight="1">
      <c r="A22" s="7" t="n">
        <v>10</v>
      </c>
      <c r="B22" s="7" t="inlineStr">
        <is>
          <t>108058977460</t>
        </is>
      </c>
      <c r="C22" s="7" t="inlineStr">
        <is>
          <t>20260304-01</t>
        </is>
      </c>
      <c r="D22" s="7" t="inlineStr">
        <is>
          <t>LSZHPH2601867</t>
        </is>
      </c>
      <c r="E22" s="7" t="inlineStr">
        <is>
          <t>2026-03-17</t>
        </is>
      </c>
      <c r="F22" s="7" t="inlineStr">
        <is>
          <t>Hongkong, TQ- Thái Nguyên, VN</t>
        </is>
      </c>
      <c r="G22" s="7" t="inlineStr">
        <is>
          <t>SEA</t>
        </is>
      </c>
      <c r="H22" s="7" t="n">
        <v>37</v>
      </c>
      <c r="I22" s="7" t="inlineStr">
        <is>
          <t>LCL</t>
        </is>
      </c>
      <c r="J22" s="7" t="inlineStr">
        <is>
          <t>Saho</t>
        </is>
      </c>
      <c r="K22" s="8" t="n">
        <v>658025</v>
      </c>
      <c r="L22" s="8" t="n"/>
      <c r="M22" s="8" t="n">
        <v>2500495</v>
      </c>
      <c r="N22" s="8" t="n">
        <v>526420</v>
      </c>
      <c r="O22" s="8" t="n"/>
      <c r="P22" s="8" t="n">
        <v>3132199</v>
      </c>
      <c r="Q22" s="8" t="n">
        <v>26321</v>
      </c>
      <c r="R22" s="8" t="n"/>
      <c r="S22" s="8" t="n">
        <v>789630</v>
      </c>
      <c r="T22" s="8" t="n">
        <v>658025</v>
      </c>
      <c r="U22" s="8" t="n"/>
      <c r="V22" s="9">
        <f>SUM(K22:U22)</f>
        <v/>
      </c>
      <c r="W22" s="8" t="n">
        <v>3150575</v>
      </c>
      <c r="X22" s="8" t="n"/>
      <c r="Y22" s="8" t="n">
        <v>1018440</v>
      </c>
      <c r="Z22" s="9">
        <f>SUM(W22:Y22)</f>
        <v/>
      </c>
      <c r="AA22" s="9">
        <f>+V22+Z22</f>
        <v/>
      </c>
      <c r="AB22" s="7" t="inlineStr">
        <is>
          <t>20260304-01</t>
        </is>
      </c>
      <c r="AC22" s="7" t="inlineStr"/>
      <c r="AD22" s="7" t="inlineStr"/>
    </row>
    <row r="23" ht="37" customHeight="1">
      <c r="A23" s="7" t="n">
        <v>11</v>
      </c>
      <c r="B23" s="7" t="inlineStr">
        <is>
          <t>108057899720</t>
        </is>
      </c>
      <c r="C23" s="7" t="inlineStr">
        <is>
          <t>DAINESE20260007</t>
        </is>
      </c>
      <c r="D23" s="7" t="inlineStr">
        <is>
          <t>AOF213432</t>
        </is>
      </c>
      <c r="E23" s="7" t="inlineStr">
        <is>
          <t>2026-03-17</t>
        </is>
      </c>
      <c r="F23" s="7" t="inlineStr">
        <is>
          <t>Xiamen, TQ- Thái Nguyên, VN</t>
        </is>
      </c>
      <c r="G23" s="7" t="inlineStr">
        <is>
          <t>AIR</t>
        </is>
      </c>
      <c r="H23" s="7" t="n">
        <v>140</v>
      </c>
      <c r="I23" s="7" t="inlineStr">
        <is>
          <t>AIR</t>
        </is>
      </c>
      <c r="J23" s="7" t="inlineStr">
        <is>
          <t>Dainese Xiamen</t>
        </is>
      </c>
      <c r="K23" s="8" t="n">
        <v>658025</v>
      </c>
      <c r="L23" s="8" t="n"/>
      <c r="M23" s="8" t="n">
        <v>921235</v>
      </c>
      <c r="N23" s="8" t="n"/>
      <c r="O23" s="8" t="n"/>
      <c r="P23" s="8" t="n">
        <v>2763705</v>
      </c>
      <c r="Q23" s="8" t="n">
        <v>4053434</v>
      </c>
      <c r="R23" s="8" t="n"/>
      <c r="S23" s="8" t="n"/>
      <c r="T23" s="8" t="n">
        <v>500099</v>
      </c>
      <c r="U23" s="8" t="n"/>
      <c r="V23" s="9">
        <f>SUM(K23:U23)</f>
        <v/>
      </c>
      <c r="W23" s="8" t="n"/>
      <c r="X23" s="8" t="n"/>
      <c r="Y23" s="8" t="n">
        <v>641952</v>
      </c>
      <c r="Z23" s="9">
        <f>SUM(W23:Y23)</f>
        <v/>
      </c>
      <c r="AA23" s="9">
        <f>+V23+Z23</f>
        <v/>
      </c>
      <c r="AB23" s="7" t="inlineStr">
        <is>
          <t>DAINESE20260007</t>
        </is>
      </c>
      <c r="AC23" s="7" t="inlineStr"/>
      <c r="AD23" s="7" t="inlineStr"/>
    </row>
    <row r="24" ht="37" customHeight="1">
      <c r="A24" s="7" t="n">
        <v>12</v>
      </c>
      <c r="B24" s="7" t="inlineStr">
        <is>
          <t>108054116660</t>
        </is>
      </c>
      <c r="C24" s="7" t="inlineStr">
        <is>
          <t>JH-AGV-26-0014</t>
        </is>
      </c>
      <c r="D24" s="7" t="inlineStr">
        <is>
          <t>AOF341396</t>
        </is>
      </c>
      <c r="E24" s="7" t="inlineStr">
        <is>
          <t>2026-03-17</t>
        </is>
      </c>
      <c r="F24" s="7" t="inlineStr">
        <is>
          <t>Guangzhou, TQ- Thái Nguyên, VN</t>
        </is>
      </c>
      <c r="G24" s="7" t="inlineStr">
        <is>
          <t>AIR</t>
        </is>
      </c>
      <c r="H24" s="7" t="n">
        <v>260</v>
      </c>
      <c r="I24" s="7" t="inlineStr">
        <is>
          <t>AIR</t>
        </is>
      </c>
      <c r="J24" s="7" t="inlineStr">
        <is>
          <t>Yihui</t>
        </is>
      </c>
      <c r="K24" s="8" t="n">
        <v>789630</v>
      </c>
      <c r="L24" s="8" t="n"/>
      <c r="M24" s="8" t="n">
        <v>789630</v>
      </c>
      <c r="N24" s="8" t="n"/>
      <c r="O24" s="8" t="n"/>
      <c r="P24" s="8" t="n"/>
      <c r="Q24" s="8" t="n">
        <v>10731072</v>
      </c>
      <c r="R24" s="8" t="n"/>
      <c r="S24" s="8" t="n"/>
      <c r="T24" s="8" t="n">
        <v>526420</v>
      </c>
      <c r="U24" s="8" t="n"/>
      <c r="V24" s="9">
        <f>SUM(K24:U24)</f>
        <v/>
      </c>
      <c r="W24" s="8" t="n"/>
      <c r="X24" s="8" t="n"/>
      <c r="Y24" s="8" t="n">
        <v>973166</v>
      </c>
      <c r="Z24" s="9">
        <f>SUM(W24:Y24)</f>
        <v/>
      </c>
      <c r="AA24" s="9">
        <f>+V24+Z24</f>
        <v/>
      </c>
      <c r="AB24" s="7" t="inlineStr">
        <is>
          <t>JH-AGV-26-0014</t>
        </is>
      </c>
      <c r="AC24" s="7" t="inlineStr"/>
      <c r="AD24" s="7" t="inlineStr"/>
    </row>
    <row r="25" ht="37" customHeight="1">
      <c r="A25" s="7" t="n">
        <v>13</v>
      </c>
      <c r="B25" s="7" t="inlineStr">
        <is>
          <t>108076370250</t>
        </is>
      </c>
      <c r="C25" s="7" t="inlineStr">
        <is>
          <t>SO44-25022356</t>
        </is>
      </c>
      <c r="D25" s="7" t="inlineStr">
        <is>
          <t>LPIAHPH260788</t>
        </is>
      </c>
      <c r="E25" s="7" t="inlineStr">
        <is>
          <t>2026-03-23</t>
        </is>
      </c>
      <c r="F25" s="7" t="inlineStr">
        <is>
          <t>Hongkong, TQ- Thái Nguyên, VN</t>
        </is>
      </c>
      <c r="G25" s="7" t="inlineStr">
        <is>
          <t>SEA</t>
        </is>
      </c>
      <c r="H25" s="7" t="n">
        <v>169</v>
      </c>
      <c r="I25" s="7" t="inlineStr">
        <is>
          <t>LCL</t>
        </is>
      </c>
      <c r="J25" s="7" t="inlineStr">
        <is>
          <t>Mainetti</t>
        </is>
      </c>
      <c r="K25" s="8" t="n">
        <v>658475</v>
      </c>
      <c r="L25" s="8" t="n"/>
      <c r="M25" s="8" t="n">
        <v>2502205</v>
      </c>
      <c r="N25" s="8" t="n">
        <v>500441</v>
      </c>
      <c r="O25" s="8" t="n"/>
      <c r="P25" s="8" t="n">
        <v>5583868</v>
      </c>
      <c r="Q25" s="8" t="n">
        <v>263390</v>
      </c>
      <c r="R25" s="8" t="n">
        <v>658475</v>
      </c>
      <c r="S25" s="8" t="n"/>
      <c r="T25" s="8" t="n">
        <v>790170</v>
      </c>
      <c r="U25" s="8" t="n"/>
      <c r="V25" s="9">
        <f>SUM(K25:U25)</f>
        <v/>
      </c>
      <c r="W25" s="8" t="n">
        <v>8315789</v>
      </c>
      <c r="X25" s="8" t="n"/>
      <c r="Y25" s="8" t="n">
        <v>923400</v>
      </c>
      <c r="Z25" s="9">
        <f>SUM(W25:Y25)</f>
        <v/>
      </c>
      <c r="AA25" s="9">
        <f>+V25+Z25</f>
        <v/>
      </c>
      <c r="AB25" s="7" t="inlineStr">
        <is>
          <t>SO44-25022356</t>
        </is>
      </c>
      <c r="AC25" s="7" t="inlineStr"/>
      <c r="AD25" s="7" t="inlineStr"/>
    </row>
    <row r="26" ht="37" customHeight="1">
      <c r="A26" s="7" t="n">
        <v>14</v>
      </c>
      <c r="B26" s="7" t="inlineStr">
        <is>
          <t>108093045540</t>
        </is>
      </c>
      <c r="C26" s="7" t="inlineStr">
        <is>
          <t>INV-250178</t>
        </is>
      </c>
      <c r="D26" s="7" t="inlineStr">
        <is>
          <t>SHHPH26005289</t>
        </is>
      </c>
      <c r="E26" s="7" t="inlineStr">
        <is>
          <t>2026-03-27</t>
        </is>
      </c>
      <c r="F26" s="7" t="inlineStr">
        <is>
          <t>Shanghai, TQ- Thái Nguyên, VN</t>
        </is>
      </c>
      <c r="G26" s="7" t="inlineStr">
        <is>
          <t>SEA</t>
        </is>
      </c>
      <c r="H26" s="7" t="n">
        <v>2782</v>
      </c>
      <c r="I26" s="7" t="inlineStr">
        <is>
          <t>20'GP</t>
        </is>
      </c>
      <c r="J26" s="7" t="inlineStr">
        <is>
          <t>Shanghai_Tsubasa</t>
        </is>
      </c>
      <c r="K26" s="8" t="n">
        <v>785400</v>
      </c>
      <c r="L26" s="8" t="n"/>
      <c r="M26" s="8" t="n">
        <v>6021400</v>
      </c>
      <c r="N26" s="8" t="n">
        <v>523600</v>
      </c>
      <c r="O26" s="8" t="n"/>
      <c r="P26" s="8" t="n"/>
      <c r="Q26" s="8" t="n">
        <v>261800</v>
      </c>
      <c r="R26" s="8" t="n">
        <v>3403400</v>
      </c>
      <c r="S26" s="8" t="n">
        <v>4057900</v>
      </c>
      <c r="T26" s="8" t="n">
        <v>1178100</v>
      </c>
      <c r="U26" s="8" t="n"/>
      <c r="V26" s="9">
        <f>SUM(K26:U26)</f>
        <v/>
      </c>
      <c r="W26" s="8" t="n">
        <v>8315789</v>
      </c>
      <c r="X26" s="8" t="n">
        <v>250000</v>
      </c>
      <c r="Y26" s="8" t="n">
        <v>2808000</v>
      </c>
      <c r="Z26" s="9">
        <f>SUM(W26:Y26)</f>
        <v/>
      </c>
      <c r="AA26" s="9">
        <f>+V26+Z26</f>
        <v/>
      </c>
      <c r="AB26" s="7" t="inlineStr">
        <is>
          <t>INV-250178</t>
        </is>
      </c>
      <c r="AC26" s="7" t="inlineStr"/>
      <c r="AD26" s="7" t="inlineStr"/>
    </row>
    <row r="27" ht="37" customHeight="1">
      <c r="A27" s="7" t="n">
        <v>15</v>
      </c>
      <c r="B27" s="7" t="inlineStr">
        <is>
          <t>108093412710</t>
        </is>
      </c>
      <c r="C27" s="7" t="inlineStr">
        <is>
          <t>00000047</t>
        </is>
      </c>
      <c r="D27" s="7" t="inlineStr">
        <is>
          <t>201650/2026/CA</t>
        </is>
      </c>
      <c r="E27" s="7" t="inlineStr">
        <is>
          <t>2026-03-27</t>
        </is>
      </c>
      <c r="F27" s="7" t="inlineStr">
        <is>
          <t>Milan, IT- Thái Nguyên, VN</t>
        </is>
      </c>
      <c r="G27" s="7" t="inlineStr">
        <is>
          <t>AIR</t>
        </is>
      </c>
      <c r="H27" s="7" t="n">
        <v>80</v>
      </c>
      <c r="I27" s="7" t="inlineStr">
        <is>
          <t>AIR</t>
        </is>
      </c>
      <c r="J27" s="7" t="inlineStr">
        <is>
          <t>EGI PROJECT</t>
        </is>
      </c>
      <c r="K27" s="8" t="n">
        <v>780725</v>
      </c>
      <c r="L27" s="8" t="n"/>
      <c r="M27" s="8" t="n">
        <v>780725</v>
      </c>
      <c r="N27" s="8" t="n"/>
      <c r="O27" s="8" t="n"/>
      <c r="P27" s="8" t="n"/>
      <c r="Q27" s="8" t="n">
        <v>14771317</v>
      </c>
      <c r="R27" s="8" t="n">
        <v>875580</v>
      </c>
      <c r="S27" s="8" t="n"/>
      <c r="T27" s="8" t="n">
        <v>780725</v>
      </c>
      <c r="U27" s="8" t="n"/>
      <c r="V27" s="9">
        <f>SUM(K27:U27)</f>
        <v/>
      </c>
      <c r="W27" s="8" t="n"/>
      <c r="X27" s="8" t="n"/>
      <c r="Y27" s="8" t="n"/>
      <c r="Z27" s="9">
        <f>SUM(W27:Y27)</f>
        <v/>
      </c>
      <c r="AA27" s="9">
        <f>+V27+Z27</f>
        <v/>
      </c>
      <c r="AB27" s="7" t="inlineStr">
        <is>
          <t>00000047</t>
        </is>
      </c>
      <c r="AC27" s="7" t="inlineStr"/>
      <c r="AD27" s="7" t="inlineStr"/>
    </row>
    <row r="28" ht="37" customHeight="1">
      <c r="A28" s="7" t="n">
        <v>16</v>
      </c>
      <c r="B28" s="7" t="inlineStr">
        <is>
          <t>'108098854730</t>
        </is>
      </c>
      <c r="C28" s="7" t="inlineStr">
        <is>
          <t>DAINESE20260008</t>
        </is>
      </c>
      <c r="D28" s="7" t="inlineStr">
        <is>
          <t>AOF213481</t>
        </is>
      </c>
      <c r="E28" s="7" t="inlineStr">
        <is>
          <t>2026-03-30</t>
        </is>
      </c>
      <c r="F28" s="7" t="inlineStr">
        <is>
          <t>Xiamen, TQ- Thái Nguyên, VN</t>
        </is>
      </c>
      <c r="G28" s="7" t="inlineStr">
        <is>
          <t>AIR</t>
        </is>
      </c>
      <c r="H28" s="7" t="n">
        <v>154</v>
      </c>
      <c r="I28" s="7" t="inlineStr">
        <is>
          <t>AIR</t>
        </is>
      </c>
      <c r="J28" s="7" t="inlineStr">
        <is>
          <t>Dainese Xiamen</t>
        </is>
      </c>
      <c r="K28" s="8" t="n">
        <v>657600</v>
      </c>
      <c r="L28" s="8" t="n"/>
      <c r="M28" s="8" t="n">
        <v>1052160</v>
      </c>
      <c r="N28" s="8" t="n"/>
      <c r="O28" s="8" t="n"/>
      <c r="P28" s="8" t="n">
        <v>3024960</v>
      </c>
      <c r="Q28" s="8" t="n">
        <v>4941996</v>
      </c>
      <c r="R28" s="8" t="n"/>
      <c r="S28" s="8" t="n"/>
      <c r="T28" s="8" t="n">
        <v>526080</v>
      </c>
      <c r="U28" s="8" t="n"/>
      <c r="V28" s="9">
        <f>SUM(K28:U28)</f>
        <v/>
      </c>
      <c r="W28" s="8" t="n"/>
      <c r="X28" s="8" t="n"/>
      <c r="Y28" s="8" t="n"/>
      <c r="Z28" s="9">
        <f>SUM(W28:Y28)</f>
        <v/>
      </c>
      <c r="AA28" s="9">
        <f>+V28+Z28</f>
        <v/>
      </c>
      <c r="AB28" s="7" t="inlineStr">
        <is>
          <t>DAINESE20260008</t>
        </is>
      </c>
      <c r="AC28" s="7" t="inlineStr"/>
      <c r="AD28" s="7" t="inlineStr"/>
    </row>
    <row r="29">
      <c r="A29" s="10" t="inlineStr">
        <is>
          <t>Tổng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2">
        <f>SUM(K13:K28)</f>
        <v/>
      </c>
      <c r="L29" s="12">
        <f>SUM(L13:L28)</f>
        <v/>
      </c>
      <c r="M29" s="12">
        <f>SUM(M13:M28)</f>
        <v/>
      </c>
      <c r="N29" s="12">
        <f>SUM(N13:N28)</f>
        <v/>
      </c>
      <c r="O29" s="12">
        <f>SUM(O13:O28)</f>
        <v/>
      </c>
      <c r="P29" s="12">
        <f>SUM(P13:P28)</f>
        <v/>
      </c>
      <c r="Q29" s="12">
        <f>SUM(Q13:Q28)</f>
        <v/>
      </c>
      <c r="R29" s="12">
        <f>SUM(R13:R28)</f>
        <v/>
      </c>
      <c r="S29" s="12">
        <f>SUM(S13:S28)</f>
        <v/>
      </c>
      <c r="T29" s="12">
        <f>SUM(T13:T28)</f>
        <v/>
      </c>
      <c r="U29" s="12">
        <f>SUM(U13:U28)</f>
        <v/>
      </c>
      <c r="V29" s="12">
        <f>SUM(V13:V28)</f>
        <v/>
      </c>
      <c r="W29" s="12">
        <f>SUM(W13:W28)</f>
        <v/>
      </c>
      <c r="X29" s="12">
        <f>SUM(X13:X28)</f>
        <v/>
      </c>
      <c r="Y29" s="12">
        <f>SUM(Y13:Y28)</f>
        <v/>
      </c>
      <c r="Z29" s="12">
        <f>SUM(Z13:Z28)</f>
        <v/>
      </c>
      <c r="AA29" s="12">
        <f>SUM(AA13:AA28)</f>
        <v/>
      </c>
    </row>
    <row r="30">
      <c r="A30" s="10" t="inlineStr">
        <is>
          <t>VAT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</row>
    <row r="31">
      <c r="A31" s="10" t="inlineStr">
        <is>
          <t>Tổng cộng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>
        <f>SUM(K29:K30)</f>
        <v/>
      </c>
      <c r="L31" s="12">
        <f>SUM(L29:L30)</f>
        <v/>
      </c>
      <c r="M31" s="12">
        <f>SUM(M29:M30)</f>
        <v/>
      </c>
      <c r="N31" s="12">
        <f>SUM(N29:N30)</f>
        <v/>
      </c>
      <c r="O31" s="12">
        <f>SUM(O29:O30)</f>
        <v/>
      </c>
      <c r="P31" s="12">
        <f>SUM(P29:P30)</f>
        <v/>
      </c>
      <c r="Q31" s="12">
        <f>SUM(Q29:Q30)</f>
        <v/>
      </c>
      <c r="R31" s="12">
        <f>SUM(R29:R30)</f>
        <v/>
      </c>
      <c r="S31" s="12">
        <f>SUM(S29:S30)</f>
        <v/>
      </c>
      <c r="T31" s="12">
        <f>SUM(T29:T30)</f>
        <v/>
      </c>
      <c r="U31" s="12">
        <f>SUM(U29:U30)</f>
        <v/>
      </c>
      <c r="V31" s="12">
        <f>SUM(V29:V30)</f>
        <v/>
      </c>
      <c r="W31" s="12">
        <f>SUM(W29:W30)</f>
        <v/>
      </c>
      <c r="X31" s="12">
        <f>SUM(X29:X30)</f>
        <v/>
      </c>
      <c r="Y31" s="12">
        <f>SUM(Y29:Y30)</f>
        <v/>
      </c>
      <c r="Z31" s="12">
        <f>SUM(Z29:Z30)</f>
        <v/>
      </c>
      <c r="AA31" s="12">
        <f>SUM(AA29:AA30)</f>
        <v/>
      </c>
    </row>
    <row r="35">
      <c r="A35" s="13" t="inlineStr">
        <is>
          <t>Thông tin chuyển khoản:</t>
        </is>
      </c>
    </row>
    <row r="36">
      <c r="A36" s="13" t="inlineStr">
        <is>
          <t>Tài khoản: Công Ty TNHH Thương mại và dịch vụ 5P Việt Nam</t>
        </is>
      </c>
    </row>
    <row r="37">
      <c r="A37" s="13" t="inlineStr">
        <is>
          <t>Số tài khoản: 346886</t>
        </is>
      </c>
    </row>
    <row r="38">
      <c r="A38" s="14" t="inlineStr">
        <is>
          <t>Tại Ngân hàng: Ngân hàng TMCP Kỹ thương Việt Nam - Techcombank Chi nhánh Đông Đô</t>
        </is>
      </c>
    </row>
  </sheetData>
  <mergeCells count="13">
    <mergeCell ref="A38:F38"/>
    <mergeCell ref="H11:I11"/>
    <mergeCell ref="K11:V11"/>
    <mergeCell ref="A31:J31"/>
    <mergeCell ref="AA11:AA12"/>
    <mergeCell ref="A30:J30"/>
    <mergeCell ref="A29:J29"/>
    <mergeCell ref="W11:Z11"/>
    <mergeCell ref="AC11:AD12"/>
    <mergeCell ref="AB11:AB12"/>
    <mergeCell ref="A11:G11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2026-04-19T10:38:22Z</dcterms:created>
  <dcterms:modified xsi:type="dcterms:W3CDTF">2026-04-19T10:38:22Z</dcterms:modified>
</cp:coreProperties>
</file>