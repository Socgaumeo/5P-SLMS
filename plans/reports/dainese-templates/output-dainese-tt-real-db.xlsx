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Đ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_(* #,##0_);_(* (#,##0);_(* &quot;-&quot;_);_(@_)"/>
  </numFmts>
  <fonts count="5">
    <font>
      <name val="Calibri"/>
      <family val="2"/>
      <color theme="1"/>
      <sz val="11"/>
      <scheme val="minor"/>
    </font>
    <font>
      <name val="Times New Roman"/>
      <sz val="12"/>
    </font>
    <font>
      <name val="Times New Roman"/>
      <b val="1"/>
      <sz val="12"/>
    </font>
    <font>
      <name val="Times New Roman"/>
      <b val="1"/>
      <sz val="14"/>
    </font>
    <font>
      <name val="Times New Roman"/>
      <b val="1"/>
      <i val="1"/>
      <sz val="12"/>
    </font>
  </fonts>
  <fills count="5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FFF2CC"/>
        <bgColor rgb="00FFF2CC"/>
      </patternFill>
    </fill>
    <fill>
      <patternFill patternType="solid">
        <fgColor rgb="00FFE699"/>
        <bgColor rgb="00FFE69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1" fillId="2" borderId="1" applyAlignment="1" pivotButton="0" quotePrefix="0" xfId="0">
      <alignment horizontal="left" vertical="center"/>
    </xf>
    <xf numFmtId="0" fontId="1" fillId="3" borderId="1" applyAlignment="1" pivotButton="0" quotePrefix="0" xfId="0">
      <alignment horizontal="center" vertical="center" wrapText="1"/>
    </xf>
    <xf numFmtId="14" fontId="1" fillId="3" borderId="1" applyAlignment="1" pivotButton="0" quotePrefix="0" xfId="0">
      <alignment horizontal="center" vertical="center" wrapText="1"/>
    </xf>
    <xf numFmtId="1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center" vertical="center" wrapText="1"/>
    </xf>
    <xf numFmtId="165" fontId="1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/>
    </xf>
    <xf numFmtId="0" fontId="0" fillId="4" borderId="1" pivotButton="0" quotePrefix="0" xfId="0"/>
    <xf numFmtId="3" fontId="2" fillId="4" borderId="1" applyAlignment="1" pivotButton="0" quotePrefix="0" xfId="0">
      <alignment horizontal="right" vertical="center"/>
    </xf>
    <xf numFmtId="0" fontId="4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762000" cy="762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5"/>
  <sheetViews>
    <sheetView workbookViewId="0">
      <selection activeCell="A1" sqref="A1"/>
    </sheetView>
  </sheetViews>
  <sheetFormatPr baseColWidth="8" defaultRowHeight="15"/>
  <cols>
    <col width="5.2" customWidth="1" min="1" max="1"/>
    <col width="12" customWidth="1" min="2" max="2"/>
    <col width="17.4" customWidth="1" min="3" max="3"/>
    <col width="14.4" customWidth="1" min="4" max="4"/>
    <col width="19.8" customWidth="1" min="5" max="5"/>
    <col width="14.2" customWidth="1" min="6" max="6"/>
    <col width="13.1" customWidth="1" min="7" max="7"/>
    <col width="7.9" customWidth="1" min="8" max="8"/>
    <col width="8.6" customWidth="1" min="9" max="9"/>
    <col width="10.7" customWidth="1" min="10" max="10"/>
    <col width="12.1" customWidth="1" min="11" max="11"/>
    <col width="12" customWidth="1" min="12" max="12"/>
    <col width="18" customWidth="1" min="13" max="13"/>
    <col width="18" customWidth="1" min="14" max="14"/>
    <col width="20.8" customWidth="1" min="15" max="15"/>
    <col width="2.2" customWidth="1" min="16" max="16"/>
    <col width="11.2" customWidth="1" min="17" max="17"/>
  </cols>
  <sheetData>
    <row r="1">
      <c r="C1" s="1" t="inlineStr">
        <is>
          <t>CÔNG TY TNHH THƯƠNG MẠI VÀ DỊCH VỤ 5P VIỆT NAM</t>
        </is>
      </c>
      <c r="Q1" s="2" t="inlineStr">
        <is>
          <t>Ngày: 19/04/2026</t>
        </is>
      </c>
    </row>
    <row r="2">
      <c r="C2" s="1" t="inlineStr">
        <is>
          <t>Số nhà 02, Ngõ 1H, Phố Trần Quang Diệu, Phường Đống Đa, Thành phố Hà Nội, Việt Nam</t>
        </is>
      </c>
    </row>
    <row r="3">
      <c r="C3" s="1" t="inlineStr">
        <is>
          <t>MST: 0110523309</t>
        </is>
      </c>
    </row>
    <row r="6" ht="18" customHeight="1">
      <c r="A6" s="3" t="inlineStr">
        <is>
          <t>BẢNG KÊ THANH TOÁN DỊCH VỤ VẬN CHUYỂN THÁNG 03/2026</t>
        </is>
      </c>
    </row>
    <row r="9">
      <c r="A9" s="4" t="inlineStr">
        <is>
          <t>Họ tên người mua hàng (Customer): Công ty TNHH Dainese Việt Nam</t>
        </is>
      </c>
    </row>
    <row r="10">
      <c r="A10" s="4" t="inlineStr">
        <is>
          <t>Địa chỉ (Address): Lô CN13 Lô CN18 Khu Công nghiệp Yên Bình, Phường Vạn Xuân, Tỉnh Thái Nguyên, Việt Nam</t>
        </is>
      </c>
    </row>
    <row r="11">
      <c r="A11" s="4" t="inlineStr">
        <is>
          <t>Mã số thuế (Tax- code): 4601576003</t>
        </is>
      </c>
    </row>
    <row r="12" ht="16" customHeight="1">
      <c r="O12" s="2" t="inlineStr">
        <is>
          <t>Đơn vị tính: VNĐ</t>
        </is>
      </c>
    </row>
    <row r="13" ht="16" customHeight="1">
      <c r="A13" s="5" t="inlineStr">
        <is>
          <t>STT</t>
        </is>
      </c>
      <c r="B13" s="5" t="inlineStr">
        <is>
          <t>Ngày dịch vụ</t>
        </is>
      </c>
      <c r="C13" s="5" t="inlineStr">
        <is>
          <t>Điểm lấy hàng</t>
        </is>
      </c>
      <c r="D13" s="6" t="n"/>
      <c r="E13" s="5" t="inlineStr">
        <is>
          <t>Điểm trả hàng</t>
        </is>
      </c>
      <c r="F13" s="6" t="n"/>
      <c r="G13" s="5" t="inlineStr">
        <is>
          <t>BKS</t>
        </is>
      </c>
      <c r="H13" s="5" t="inlineStr">
        <is>
          <t>Đơn vị</t>
        </is>
      </c>
      <c r="I13" s="5" t="inlineStr">
        <is>
          <t>Số lượng</t>
        </is>
      </c>
      <c r="J13" s="5" t="inlineStr">
        <is>
          <t>Phát sinh</t>
        </is>
      </c>
      <c r="K13" s="5" t="inlineStr">
        <is>
          <t>Cước vận chuyển</t>
        </is>
      </c>
      <c r="L13" s="5" t="inlineStr">
        <is>
          <t>Phụ phí xăng dầu</t>
        </is>
      </c>
      <c r="M13" s="5" t="inlineStr">
        <is>
          <t>Thành tiền</t>
        </is>
      </c>
      <c r="N13" s="5" t="inlineStr">
        <is>
          <t>Tổng</t>
        </is>
      </c>
      <c r="O13" s="5" t="inlineStr">
        <is>
          <t>Note</t>
        </is>
      </c>
      <c r="P13" s="7" t="inlineStr">
        <is>
          <t>Yêu cầu</t>
        </is>
      </c>
      <c r="Q13" s="5" t="inlineStr">
        <is>
          <t>Số hóa đơn</t>
        </is>
      </c>
    </row>
    <row r="14" ht="16" customHeight="1">
      <c r="A14" s="6" t="n"/>
      <c r="B14" s="6" t="n"/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  <c r="Q14" s="6" t="n"/>
    </row>
    <row r="15" ht="18" customHeight="1">
      <c r="A15" s="8" t="n">
        <v>1</v>
      </c>
      <c r="B15" s="9" t="n">
        <v>46084</v>
      </c>
      <c r="C15" s="8" t="inlineStr">
        <is>
          <t>KCN Đồng Văn 3</t>
        </is>
      </c>
      <c r="D15" s="8" t="inlineStr">
        <is>
          <t>Ninh Bình</t>
        </is>
      </c>
      <c r="E15" s="8" t="inlineStr">
        <is>
          <t>KCN Yên Bình</t>
        </is>
      </c>
      <c r="F15" s="8" t="inlineStr">
        <is>
          <t>Thái Nguyên</t>
        </is>
      </c>
      <c r="G15" s="8" t="inlineStr">
        <is>
          <t>29C-124.12</t>
        </is>
      </c>
      <c r="H15" s="8" t="inlineStr">
        <is>
          <t>1.25 T</t>
        </is>
      </c>
      <c r="I15" s="10" t="n">
        <v>1</v>
      </c>
      <c r="J15" s="11" t="n"/>
      <c r="K15" s="12" t="n">
        <v>1650000</v>
      </c>
      <c r="L15" s="12" t="n"/>
      <c r="M15" s="12">
        <f>K15*I15</f>
        <v/>
      </c>
      <c r="N15" s="11">
        <f>IFERROR(J15,0)+IFERROR(L15,0)+IFERROR(M15,0)</f>
        <v/>
      </c>
      <c r="O15" s="8" t="inlineStr"/>
      <c r="P15" s="8" t="inlineStr"/>
      <c r="Q15" s="8" t="inlineStr">
        <is>
          <t>00000226</t>
        </is>
      </c>
    </row>
    <row r="16" ht="18" customHeight="1">
      <c r="A16" s="8" t="n">
        <v>2</v>
      </c>
      <c r="B16" s="9" t="n">
        <v>46088</v>
      </c>
      <c r="C16" s="8" t="inlineStr">
        <is>
          <t>KCN Yên Bình</t>
        </is>
      </c>
      <c r="D16" s="8" t="inlineStr">
        <is>
          <t>Thái Nguyên</t>
        </is>
      </c>
      <c r="E16" s="8" t="inlineStr">
        <is>
          <t>Xã Tam Dương</t>
        </is>
      </c>
      <c r="F16" s="8" t="inlineStr">
        <is>
          <t>Phú Thọ</t>
        </is>
      </c>
      <c r="G16" s="8" t="inlineStr">
        <is>
          <t>29H-706.92</t>
        </is>
      </c>
      <c r="H16" s="8" t="inlineStr">
        <is>
          <t>2.5 T</t>
        </is>
      </c>
      <c r="I16" s="10" t="n">
        <v>1</v>
      </c>
      <c r="J16" s="11" t="n"/>
      <c r="K16" s="12" t="n">
        <v>1800000</v>
      </c>
      <c r="L16" s="12" t="n"/>
      <c r="M16" s="12">
        <f>K16*I16</f>
        <v/>
      </c>
      <c r="N16" s="11">
        <f>IFERROR(J16,0)+IFERROR(L16,0)+IFERROR(M16,0)</f>
        <v/>
      </c>
      <c r="O16" s="8" t="inlineStr"/>
      <c r="P16" s="8" t="inlineStr"/>
      <c r="Q16" s="8" t="n"/>
    </row>
    <row r="17" ht="18" customHeight="1">
      <c r="A17" s="8" t="n">
        <v>3</v>
      </c>
      <c r="B17" s="9" t="n">
        <v>46091</v>
      </c>
      <c r="C17" s="8" t="inlineStr">
        <is>
          <t>KCN Yên Bình</t>
        </is>
      </c>
      <c r="D17" s="8" t="inlineStr">
        <is>
          <t>Thái Nguyên</t>
        </is>
      </c>
      <c r="E17" s="8" t="inlineStr">
        <is>
          <t>KCN Phố Nối A</t>
        </is>
      </c>
      <c r="F17" s="8" t="inlineStr">
        <is>
          <t>Hưng Yên</t>
        </is>
      </c>
      <c r="G17" s="8" t="inlineStr">
        <is>
          <t>29C-124.12</t>
        </is>
      </c>
      <c r="H17" s="8" t="inlineStr">
        <is>
          <t>1.25 T</t>
        </is>
      </c>
      <c r="I17" s="10" t="n">
        <v>1</v>
      </c>
      <c r="J17" s="11" t="n"/>
      <c r="K17" s="12" t="n">
        <v>1350000</v>
      </c>
      <c r="L17" s="12" t="n"/>
      <c r="M17" s="12">
        <f>K17*I17</f>
        <v/>
      </c>
      <c r="N17" s="11">
        <f>IFERROR(J17,0)+IFERROR(L17,0)+IFERROR(M17,0)</f>
        <v/>
      </c>
      <c r="O17" s="8" t="inlineStr"/>
      <c r="P17" s="8" t="inlineStr"/>
      <c r="Q17" s="8" t="n"/>
    </row>
    <row r="18" ht="18" customHeight="1">
      <c r="A18" s="8" t="n">
        <v>4</v>
      </c>
      <c r="B18" s="9" t="n">
        <v>46092</v>
      </c>
      <c r="C18" s="8" t="inlineStr">
        <is>
          <t>KCN Yên Bình</t>
        </is>
      </c>
      <c r="D18" s="8" t="inlineStr">
        <is>
          <t>Thái Nguyên</t>
        </is>
      </c>
      <c r="E18" s="8" t="inlineStr">
        <is>
          <t>KCN Đồng Văn 3</t>
        </is>
      </c>
      <c r="F18" s="8" t="inlineStr">
        <is>
          <t>Ninh Bình</t>
        </is>
      </c>
      <c r="G18" s="8" t="inlineStr">
        <is>
          <t>29E-265.77</t>
        </is>
      </c>
      <c r="H18" s="8" t="inlineStr">
        <is>
          <t>2.5 T</t>
        </is>
      </c>
      <c r="I18" s="10" t="n">
        <v>1</v>
      </c>
      <c r="J18" s="11" t="n"/>
      <c r="K18" s="12" t="n">
        <v>2080000</v>
      </c>
      <c r="L18" s="12" t="n"/>
      <c r="M18" s="12">
        <f>K18*I18</f>
        <v/>
      </c>
      <c r="N18" s="11">
        <f>IFERROR(J18,0)+IFERROR(L18,0)+IFERROR(M18,0)</f>
        <v/>
      </c>
      <c r="O18" s="8" t="inlineStr"/>
      <c r="P18" s="8" t="inlineStr"/>
      <c r="Q18" s="8" t="n"/>
    </row>
    <row r="19" ht="18" customHeight="1">
      <c r="A19" s="8" t="n">
        <v>5</v>
      </c>
      <c r="B19" s="9" t="n">
        <v>46095</v>
      </c>
      <c r="C19" s="8" t="inlineStr">
        <is>
          <t>KCN Bình Xuyên</t>
        </is>
      </c>
      <c r="D19" s="8" t="inlineStr">
        <is>
          <t>Phú Thọ</t>
        </is>
      </c>
      <c r="E19" s="8" t="inlineStr">
        <is>
          <t>KCN Yên Bình</t>
        </is>
      </c>
      <c r="F19" s="8" t="inlineStr">
        <is>
          <t>Thái Nguyên</t>
        </is>
      </c>
      <c r="G19" s="8" t="inlineStr">
        <is>
          <t>29C-551.78</t>
        </is>
      </c>
      <c r="H19" s="8" t="inlineStr">
        <is>
          <t>3.5 T</t>
        </is>
      </c>
      <c r="I19" s="10" t="n">
        <v>1</v>
      </c>
      <c r="J19" s="11" t="n">
        <v>1176000</v>
      </c>
      <c r="K19" s="12" t="n">
        <v>1680000</v>
      </c>
      <c r="L19" s="12" t="n"/>
      <c r="M19" s="12">
        <f>K19*I19</f>
        <v/>
      </c>
      <c r="N19" s="11">
        <f>IFERROR(J19,0)+IFERROR(L19,0)+IFERROR(M19,0)</f>
        <v/>
      </c>
      <c r="O19" s="8" t="inlineStr">
        <is>
          <t>2 chiều</t>
        </is>
      </c>
      <c r="P19" s="8" t="inlineStr"/>
      <c r="Q19" s="8" t="n"/>
    </row>
    <row r="20" ht="18" customHeight="1">
      <c r="A20" s="8" t="n">
        <v>6</v>
      </c>
      <c r="B20" s="9" t="n">
        <v>46100</v>
      </c>
      <c r="C20" s="8" t="inlineStr">
        <is>
          <t>KCN Yên Bình</t>
        </is>
      </c>
      <c r="D20" s="8" t="inlineStr">
        <is>
          <t>Thái Nguyên</t>
        </is>
      </c>
      <c r="E20" s="8" t="inlineStr">
        <is>
          <t>KCN Đồng Lạng</t>
        </is>
      </c>
      <c r="F20" s="8" t="inlineStr">
        <is>
          <t>Phú Thọ</t>
        </is>
      </c>
      <c r="G20" s="8" t="inlineStr">
        <is>
          <t>29K-056.76</t>
        </is>
      </c>
      <c r="H20" s="8" t="inlineStr">
        <is>
          <t>1.25 T</t>
        </is>
      </c>
      <c r="I20" s="10" t="n">
        <v>1</v>
      </c>
      <c r="J20" s="11" t="n"/>
      <c r="K20" s="12" t="n">
        <v>1600000</v>
      </c>
      <c r="L20" s="12" t="n"/>
      <c r="M20" s="12">
        <f>K20*I20</f>
        <v/>
      </c>
      <c r="N20" s="11">
        <f>IFERROR(J20,0)+IFERROR(L20,0)+IFERROR(M20,0)</f>
        <v/>
      </c>
      <c r="O20" s="8" t="inlineStr"/>
      <c r="P20" s="8" t="inlineStr"/>
      <c r="Q20" s="8" t="n"/>
    </row>
    <row r="21" ht="18" customHeight="1">
      <c r="A21" s="8" t="n">
        <v>7</v>
      </c>
      <c r="B21" s="9" t="n">
        <v>46101</v>
      </c>
      <c r="C21" s="8" t="inlineStr">
        <is>
          <t>KCN Đồng Lạng</t>
        </is>
      </c>
      <c r="D21" s="8" t="inlineStr">
        <is>
          <t>Phú Thọ</t>
        </is>
      </c>
      <c r="E21" s="8" t="inlineStr">
        <is>
          <t>KCN Yên Bình</t>
        </is>
      </c>
      <c r="F21" s="8" t="inlineStr">
        <is>
          <t>Thái Nguyên</t>
        </is>
      </c>
      <c r="G21" s="8" t="inlineStr">
        <is>
          <t>29H-803.53</t>
        </is>
      </c>
      <c r="H21" s="8" t="inlineStr">
        <is>
          <t>1.25 T</t>
        </is>
      </c>
      <c r="I21" s="10" t="n">
        <v>1</v>
      </c>
      <c r="J21" s="11" t="n"/>
      <c r="K21" s="12" t="n">
        <v>1950000</v>
      </c>
      <c r="L21" s="12" t="n"/>
      <c r="M21" s="12">
        <f>K21*I21</f>
        <v/>
      </c>
      <c r="N21" s="11">
        <f>IFERROR(J21,0)+IFERROR(L21,0)+IFERROR(M21,0)</f>
        <v/>
      </c>
      <c r="O21" s="8" t="inlineStr"/>
      <c r="P21" s="8" t="inlineStr"/>
      <c r="Q21" s="8" t="n"/>
    </row>
    <row r="22" ht="18" customHeight="1">
      <c r="A22" s="8" t="n">
        <v>8</v>
      </c>
      <c r="B22" s="9" t="n">
        <v>46102</v>
      </c>
      <c r="C22" s="8" t="inlineStr">
        <is>
          <t>KCN Yên Bình</t>
        </is>
      </c>
      <c r="D22" s="8" t="inlineStr">
        <is>
          <t>Thái Nguyên</t>
        </is>
      </c>
      <c r="E22" s="8" t="inlineStr">
        <is>
          <t>KCN Bình Xuyên</t>
        </is>
      </c>
      <c r="F22" s="8" t="inlineStr">
        <is>
          <t>Phú Thọ</t>
        </is>
      </c>
      <c r="G22" s="8" t="inlineStr">
        <is>
          <t>29H-277.27</t>
        </is>
      </c>
      <c r="H22" s="8" t="inlineStr">
        <is>
          <t>2.5T</t>
        </is>
      </c>
      <c r="I22" s="10" t="n">
        <v>1</v>
      </c>
      <c r="J22" s="11" t="n"/>
      <c r="K22" s="12" t="n">
        <v>1430000</v>
      </c>
      <c r="L22" s="12" t="n"/>
      <c r="M22" s="12">
        <f>K22*I22</f>
        <v/>
      </c>
      <c r="N22" s="11">
        <f>IFERROR(J22,0)+IFERROR(L22,0)+IFERROR(M22,0)</f>
        <v/>
      </c>
      <c r="O22" s="8" t="inlineStr"/>
      <c r="P22" s="8" t="inlineStr"/>
      <c r="Q22" s="8" t="n"/>
    </row>
    <row r="23" ht="18" customHeight="1">
      <c r="A23" s="8" t="n">
        <v>9</v>
      </c>
      <c r="B23" s="9" t="n">
        <v>46104</v>
      </c>
      <c r="C23" s="8" t="inlineStr">
        <is>
          <t>KCN Yên Bình</t>
        </is>
      </c>
      <c r="D23" s="8" t="inlineStr">
        <is>
          <t>Thái Nguyên</t>
        </is>
      </c>
      <c r="E23" s="8" t="inlineStr">
        <is>
          <t>Xã Đức Lập</t>
        </is>
      </c>
      <c r="F23" s="8" t="inlineStr">
        <is>
          <t>Tây Ninh</t>
        </is>
      </c>
      <c r="G23" s="8" t="inlineStr">
        <is>
          <t>34H-06371</t>
        </is>
      </c>
      <c r="H23" s="8" t="inlineStr">
        <is>
          <t>CBM</t>
        </is>
      </c>
      <c r="I23" s="10" t="n">
        <v>5</v>
      </c>
      <c r="J23" s="11" t="n"/>
      <c r="K23" s="12" t="n">
        <v>4500000</v>
      </c>
      <c r="L23" s="12" t="n"/>
      <c r="M23" s="12">
        <f>K23*I23</f>
        <v/>
      </c>
      <c r="N23" s="11">
        <f>IFERROR(J23,0)+IFERROR(L23,0)+IFERROR(M23,0)</f>
        <v/>
      </c>
      <c r="O23" s="8" t="inlineStr"/>
      <c r="P23" s="8" t="inlineStr"/>
      <c r="Q23" s="8" t="n"/>
    </row>
    <row r="24" ht="18" customHeight="1">
      <c r="A24" s="8" t="n">
        <v>10</v>
      </c>
      <c r="B24" s="9" t="n">
        <v>46106</v>
      </c>
      <c r="C24" s="8" t="inlineStr">
        <is>
          <t>KCN Bình Xuyên</t>
        </is>
      </c>
      <c r="D24" s="8" t="inlineStr">
        <is>
          <t>Phú Thọ</t>
        </is>
      </c>
      <c r="E24" s="8" t="inlineStr">
        <is>
          <t>KCN Yên Bình</t>
        </is>
      </c>
      <c r="F24" s="8" t="inlineStr">
        <is>
          <t>Thái Nguyên</t>
        </is>
      </c>
      <c r="G24" s="8" t="inlineStr">
        <is>
          <t>29H-706.41</t>
        </is>
      </c>
      <c r="H24" s="8" t="inlineStr">
        <is>
          <t>3.5 T</t>
        </is>
      </c>
      <c r="I24" s="10" t="n">
        <v>1</v>
      </c>
      <c r="J24" s="11" t="n"/>
      <c r="K24" s="12" t="n">
        <v>1680000</v>
      </c>
      <c r="L24" s="12" t="n"/>
      <c r="M24" s="12">
        <f>K24*I24</f>
        <v/>
      </c>
      <c r="N24" s="11">
        <f>IFERROR(J24,0)+IFERROR(L24,0)+IFERROR(M24,0)</f>
        <v/>
      </c>
      <c r="O24" s="8" t="inlineStr"/>
      <c r="P24" s="8" t="inlineStr"/>
      <c r="Q24" s="8" t="n"/>
    </row>
    <row r="25">
      <c r="A25" s="13" t="inlineStr">
        <is>
          <t>Tổng</t>
        </is>
      </c>
      <c r="B25" s="14" t="n"/>
      <c r="C25" s="14" t="n"/>
      <c r="D25" s="14" t="n"/>
      <c r="E25" s="14" t="n"/>
      <c r="F25" s="14" t="n"/>
      <c r="G25" s="14" t="n"/>
      <c r="H25" s="14" t="n"/>
      <c r="I25" s="14" t="n"/>
      <c r="J25" s="14" t="n"/>
      <c r="K25" s="14" t="n"/>
      <c r="N25" s="15">
        <f>SUM(N15:N24)</f>
        <v/>
      </c>
    </row>
    <row r="26">
      <c r="A26" s="13" t="inlineStr">
        <is>
          <t>VAT (8%)</t>
        </is>
      </c>
      <c r="B26" s="14" t="n"/>
      <c r="C26" s="14" t="n"/>
      <c r="D26" s="14" t="n"/>
      <c r="E26" s="14" t="n"/>
      <c r="F26" s="14" t="n"/>
      <c r="G26" s="14" t="n"/>
      <c r="H26" s="14" t="n"/>
      <c r="I26" s="14" t="n"/>
      <c r="J26" s="14" t="n"/>
      <c r="K26" s="14" t="n"/>
      <c r="N26" s="15">
        <f>N25*0.08</f>
        <v/>
      </c>
    </row>
    <row r="27">
      <c r="A27" s="13" t="inlineStr">
        <is>
          <t>Tổng cộng</t>
        </is>
      </c>
      <c r="B27" s="14" t="n"/>
      <c r="C27" s="14" t="n"/>
      <c r="D27" s="14" t="n"/>
      <c r="E27" s="14" t="n"/>
      <c r="F27" s="14" t="n"/>
      <c r="G27" s="14" t="n"/>
      <c r="H27" s="14" t="n"/>
      <c r="I27" s="14" t="n"/>
      <c r="J27" s="14" t="n"/>
      <c r="K27" s="14" t="n"/>
      <c r="N27" s="15">
        <f>N25+N26</f>
        <v/>
      </c>
    </row>
    <row r="29">
      <c r="A29" s="16" t="inlineStr">
        <is>
          <t>Tổng số tiền bằng chữ: Bốn mươi hai triệu bảy nghìn sáu trăm tám mươi đồng chẵn./.</t>
        </is>
      </c>
    </row>
    <row r="32">
      <c r="A32" s="16" t="inlineStr">
        <is>
          <t>Thông tin chuyển khoản:</t>
        </is>
      </c>
    </row>
    <row r="33">
      <c r="A33" s="17" t="inlineStr">
        <is>
          <t>Tài khoản: Công Ty TNHH Thương mại và dịch vụ 5P Việt Nam</t>
        </is>
      </c>
    </row>
    <row r="34">
      <c r="A34" s="17" t="inlineStr">
        <is>
          <t>Số tài khoản: 346886</t>
        </is>
      </c>
    </row>
    <row r="35">
      <c r="A35" s="18" t="inlineStr">
        <is>
          <t>Tại Ngân hàng: Ngân hàng TMCP Kỹ thương Việt Nam - Techcombank Chi nhánh Đông Đô</t>
        </is>
      </c>
    </row>
  </sheetData>
  <mergeCells count="19">
    <mergeCell ref="J13:J14"/>
    <mergeCell ref="L13:L14"/>
    <mergeCell ref="G13:G14"/>
    <mergeCell ref="A6:Q6"/>
    <mergeCell ref="M13:M14"/>
    <mergeCell ref="B13:B14"/>
    <mergeCell ref="A25:K25"/>
    <mergeCell ref="E13:F13"/>
    <mergeCell ref="A27:K27"/>
    <mergeCell ref="H13:H14"/>
    <mergeCell ref="N13:N14"/>
    <mergeCell ref="A26:K26"/>
    <mergeCell ref="A13:A14"/>
    <mergeCell ref="I13:I14"/>
    <mergeCell ref="K13:K14"/>
    <mergeCell ref="A35:E35"/>
    <mergeCell ref="O13:O14"/>
    <mergeCell ref="Q13:Q14"/>
    <mergeCell ref="C13:D13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2026-04-19T14:01:52Z</dcterms:created>
  <dcterms:modified xsi:type="dcterms:W3CDTF">2026-04-19T14:01:52Z</dcterms:modified>
</cp:coreProperties>
</file>