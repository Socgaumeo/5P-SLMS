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19420" windowHeight="10300" tabRatio="600" firstSheet="0" activeTab="0" autoFilterDateGrouping="1"/>
  </bookViews>
  <sheets>
    <sheet xmlns:r="http://schemas.openxmlformats.org/officeDocument/2006/relationships" name="NHẬP" sheetId="1" state="visible" r:id="rId1"/>
    <sheet xmlns:r="http://schemas.openxmlformats.org/officeDocument/2006/relationships" name="Sheet1" sheetId="2" state="hidden" r:id="rId2"/>
  </sheets>
  <definedNames>
    <definedName name="_xlnm._FilterDatabase" localSheetId="0" hidden="1">'NHẬP'!$A$12:$II$33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_-* #,##0.00_-;\-* #,##0.00_-;_-* &quot;-&quot;??_-;_-@_-"/>
  </numFmts>
  <fonts count="38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sz val="10"/>
    </font>
    <font>
      <name val="Times New Roman"/>
      <family val="2"/>
      <color theme="1"/>
      <sz val="14"/>
    </font>
    <font>
      <name val="Cambria"/>
      <family val="1"/>
      <color indexed="8"/>
      <sz val="11"/>
    </font>
    <font>
      <name val="Calibri"/>
      <family val="2"/>
      <color indexed="8"/>
      <sz val="11"/>
    </font>
    <font>
      <name val="ＭＳ Ｐゴシック"/>
      <family val="2"/>
      <sz val="11"/>
    </font>
    <font>
      <name val="Times New Roman"/>
      <family val="1"/>
      <color indexed="8"/>
      <sz val="11"/>
    </font>
    <font>
      <name val="Times New Roman"/>
      <family val="1"/>
      <b val="1"/>
      <sz val="9"/>
    </font>
    <font>
      <name val="Arial"/>
      <family val="2"/>
      <color indexed="8"/>
      <sz val="10"/>
    </font>
    <font>
      <name val="Arial"/>
      <family val="2"/>
      <color theme="1"/>
      <sz val="10"/>
    </font>
    <font>
      <name val="Arial"/>
      <family val="2"/>
      <sz val="10"/>
    </font>
    <font>
      <name val="Times New Roman"/>
      <family val="1"/>
      <b val="1"/>
      <sz val="12"/>
    </font>
    <font>
      <name val="Times New Roman"/>
      <family val="1"/>
      <b val="1"/>
      <i val="1"/>
      <sz val="12"/>
    </font>
    <font>
      <name val="Arial"/>
      <family val="2"/>
      <b val="1"/>
      <sz val="12"/>
    </font>
    <font>
      <name val="Times New Roman"/>
      <charset val="163"/>
      <family val="1"/>
      <b val="1"/>
      <color theme="9" tint="-0.249977111117893"/>
      <sz val="12"/>
    </font>
    <font>
      <name val="Times New Roman"/>
      <charset val="163"/>
      <family val="1"/>
      <b val="1"/>
      <color theme="1"/>
      <sz val="12"/>
    </font>
    <font>
      <name val="Times New Roman"/>
      <charset val="163"/>
      <family val="1"/>
      <sz val="12"/>
    </font>
    <font>
      <name val="Times New Roman"/>
      <charset val="163"/>
      <family val="1"/>
      <color theme="1"/>
      <sz val="12"/>
    </font>
    <font>
      <name val="Times New Roman"/>
      <charset val="163"/>
      <family val="1"/>
      <b val="1"/>
      <sz val="12"/>
    </font>
    <font>
      <name val="Times New Roman"/>
      <charset val="163"/>
      <family val="1"/>
      <i val="1"/>
      <sz val="12"/>
    </font>
    <font>
      <name val="Times New Roman"/>
      <charset val="163"/>
      <family val="1"/>
      <b val="1"/>
      <i val="1"/>
      <sz val="12"/>
    </font>
    <font>
      <name val="Times New Roman"/>
      <charset val="163"/>
      <family val="1"/>
      <b val="1"/>
      <sz val="10"/>
    </font>
    <font>
      <name val="Times New Roman"/>
      <charset val="163"/>
      <family val="1"/>
      <sz val="10"/>
    </font>
    <font>
      <name val="Arial"/>
      <family val="2"/>
      <sz val="8"/>
    </font>
    <font>
      <name val="Times New Roman"/>
      <family val="1"/>
      <b val="1"/>
      <sz val="10"/>
    </font>
    <font>
      <name val="Times New Roman"/>
      <family val="1"/>
      <b val="1"/>
      <color theme="1"/>
      <sz val="10"/>
    </font>
    <font>
      <name val="Times New Roman"/>
      <charset val="163"/>
      <family val="1"/>
      <b val="1"/>
      <sz val="26"/>
    </font>
    <font>
      <name val="Times New Roman"/>
      <charset val="163"/>
      <family val="1"/>
      <b val="1"/>
      <sz val="14"/>
    </font>
    <font>
      <name val="Times New Roman"/>
      <family val="1"/>
      <b val="1"/>
      <sz val="16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imes New Roman"/>
      <family val="1"/>
      <color theme="1"/>
      <sz val="10"/>
    </font>
  </fonts>
  <fills count="11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7">
    <xf numFmtId="0" fontId="0" fillId="0" borderId="0"/>
    <xf numFmtId="0" fontId="1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43" fontId="5" fillId="0" borderId="0"/>
    <xf numFmtId="43" fontId="10" fillId="0" borderId="0"/>
    <xf numFmtId="0" fontId="9" fillId="0" borderId="0"/>
    <xf numFmtId="0" fontId="5" fillId="2" borderId="3"/>
    <xf numFmtId="0" fontId="11" fillId="0" borderId="0"/>
    <xf numFmtId="0" fontId="5" fillId="0" borderId="0"/>
    <xf numFmtId="43" fontId="5" fillId="0" borderId="0"/>
    <xf numFmtId="0" fontId="5" fillId="2" borderId="3"/>
    <xf numFmtId="0" fontId="5" fillId="0" borderId="0"/>
    <xf numFmtId="43" fontId="5" fillId="0" borderId="0"/>
    <xf numFmtId="0" fontId="5" fillId="2" borderId="3"/>
    <xf numFmtId="0" fontId="5" fillId="0" borderId="0"/>
    <xf numFmtId="43" fontId="5" fillId="0" borderId="0"/>
    <xf numFmtId="0" fontId="5" fillId="2" borderId="3"/>
    <xf numFmtId="43" fontId="16" fillId="0" borderId="0"/>
    <xf numFmtId="0" fontId="5" fillId="0" borderId="0"/>
    <xf numFmtId="43" fontId="5" fillId="0" borderId="0"/>
    <xf numFmtId="0" fontId="5" fillId="2" borderId="3"/>
    <xf numFmtId="0" fontId="5" fillId="0" borderId="0"/>
    <xf numFmtId="43" fontId="5" fillId="0" borderId="0"/>
    <xf numFmtId="0" fontId="5" fillId="2" borderId="3"/>
    <xf numFmtId="0" fontId="5" fillId="0" borderId="0"/>
    <xf numFmtId="43" fontId="5" fillId="0" borderId="0"/>
    <xf numFmtId="0" fontId="5" fillId="2" borderId="3"/>
    <xf numFmtId="0" fontId="14" fillId="0" borderId="0"/>
    <xf numFmtId="0" fontId="5" fillId="0" borderId="0"/>
    <xf numFmtId="43" fontId="5" fillId="0" borderId="0"/>
    <xf numFmtId="0" fontId="5" fillId="2" borderId="3"/>
    <xf numFmtId="0" fontId="5" fillId="0" borderId="0"/>
    <xf numFmtId="43" fontId="5" fillId="0" borderId="0"/>
    <xf numFmtId="0" fontId="5" fillId="2" borderId="3"/>
    <xf numFmtId="0" fontId="5" fillId="0" borderId="0"/>
    <xf numFmtId="43" fontId="5" fillId="0" borderId="0"/>
    <xf numFmtId="0" fontId="5" fillId="2" borderId="3"/>
    <xf numFmtId="0" fontId="5" fillId="0" borderId="0"/>
    <xf numFmtId="43" fontId="5" fillId="0" borderId="0"/>
    <xf numFmtId="0" fontId="5" fillId="2" borderId="3"/>
    <xf numFmtId="0" fontId="5" fillId="0" borderId="0"/>
    <xf numFmtId="43" fontId="5" fillId="0" borderId="0"/>
    <xf numFmtId="0" fontId="5" fillId="2" borderId="3"/>
    <xf numFmtId="0" fontId="5" fillId="0" borderId="0"/>
    <xf numFmtId="43" fontId="5" fillId="0" borderId="0"/>
    <xf numFmtId="0" fontId="5" fillId="2" borderId="3"/>
    <xf numFmtId="0" fontId="5" fillId="0" borderId="0"/>
    <xf numFmtId="43" fontId="5" fillId="0" borderId="0"/>
    <xf numFmtId="0" fontId="5" fillId="2" borderId="3"/>
    <xf numFmtId="165" fontId="16" fillId="0" borderId="0"/>
    <xf numFmtId="0" fontId="15" fillId="0" borderId="0"/>
    <xf numFmtId="43" fontId="16" fillId="0" borderId="0"/>
  </cellStyleXfs>
  <cellXfs count="165">
    <xf numFmtId="0" fontId="0" fillId="0" borderId="0" pivotButton="0" quotePrefix="0" xfId="0"/>
    <xf numFmtId="3" fontId="7" fillId="3" borderId="1" applyAlignment="1" pivotButton="0" quotePrefix="0" xfId="0">
      <alignment vertical="center"/>
    </xf>
    <xf numFmtId="43" fontId="13" fillId="4" borderId="1" applyAlignment="1" pivotButton="0" quotePrefix="0" xfId="20">
      <alignment vertical="center" wrapText="1"/>
    </xf>
    <xf numFmtId="49" fontId="13" fillId="6" borderId="1" applyAlignment="1" pivotButton="0" quotePrefix="0" xfId="1">
      <alignment horizontal="center" vertical="center" wrapText="1"/>
    </xf>
    <xf numFmtId="49" fontId="12" fillId="6" borderId="1" applyAlignment="1" pivotButton="0" quotePrefix="0" xfId="19">
      <alignment horizontal="center" vertical="center"/>
    </xf>
    <xf numFmtId="0" fontId="13" fillId="7" borderId="1" applyAlignment="1" pivotButton="0" quotePrefix="0" xfId="1">
      <alignment horizontal="center" vertical="center" wrapText="1"/>
    </xf>
    <xf numFmtId="0" fontId="12" fillId="0" borderId="1" applyAlignment="1" pivotButton="0" quotePrefix="0" xfId="19">
      <alignment vertical="center" wrapText="1"/>
    </xf>
    <xf numFmtId="3" fontId="12" fillId="0" borderId="1" applyAlignment="1" pivotButton="0" quotePrefix="0" xfId="19">
      <alignment horizontal="right" vertical="center" wrapText="1"/>
    </xf>
    <xf numFmtId="3" fontId="13" fillId="9" borderId="2" applyAlignment="1" pivotButton="0" quotePrefix="0" xfId="19">
      <alignment vertical="center" wrapText="1"/>
    </xf>
    <xf numFmtId="2" fontId="13" fillId="6" borderId="1" applyAlignment="1" pivotButton="0" quotePrefix="0" xfId="1">
      <alignment horizontal="center" vertical="center" wrapText="1"/>
    </xf>
    <xf numFmtId="2" fontId="13" fillId="7" borderId="1" applyAlignment="1" pivotButton="0" quotePrefix="0" xfId="1">
      <alignment horizontal="center" vertical="center" wrapText="1"/>
    </xf>
    <xf numFmtId="2" fontId="12" fillId="0" borderId="1" applyAlignment="1" pivotButton="0" quotePrefix="0" xfId="19">
      <alignment vertical="center" wrapText="1"/>
    </xf>
    <xf numFmtId="0" fontId="12" fillId="0" borderId="1" applyAlignment="1" pivotButton="0" quotePrefix="1" xfId="19">
      <alignment vertical="center" wrapText="1"/>
    </xf>
    <xf numFmtId="3" fontId="17" fillId="0" borderId="11" applyAlignment="1" pivotButton="0" quotePrefix="0" xfId="0">
      <alignment vertical="center" wrapText="1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/>
    </xf>
    <xf numFmtId="0" fontId="22" fillId="0" borderId="0" pivotButton="0" quotePrefix="0" xfId="0"/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right"/>
    </xf>
    <xf numFmtId="3" fontId="22" fillId="0" borderId="0" pivotButton="0" quotePrefix="0" xfId="0"/>
    <xf numFmtId="0" fontId="22" fillId="0" borderId="0" applyAlignment="1" pivotButton="0" quotePrefix="0" xfId="0">
      <alignment wrapText="1"/>
    </xf>
    <xf numFmtId="0" fontId="23" fillId="0" borderId="0" applyAlignment="1" pivotButton="0" quotePrefix="0" xfId="0">
      <alignment vertical="center" wrapText="1"/>
    </xf>
    <xf numFmtId="0" fontId="21" fillId="0" borderId="0" pivotButton="0" quotePrefix="0" xfId="0"/>
    <xf numFmtId="0" fontId="24" fillId="0" borderId="0" pivotButton="0" quotePrefix="0" xfId="0"/>
    <xf numFmtId="0" fontId="24" fillId="0" borderId="0" applyAlignment="1" pivotButton="0" quotePrefix="1" xfId="1">
      <alignment horizontal="center"/>
    </xf>
    <xf numFmtId="0" fontId="22" fillId="0" borderId="0" applyAlignment="1" pivotButton="0" quotePrefix="0" xfId="0">
      <alignment horizontal="center" wrapText="1"/>
    </xf>
    <xf numFmtId="0" fontId="25" fillId="0" borderId="0" pivotButton="0" quotePrefix="0" xfId="0"/>
    <xf numFmtId="3" fontId="24" fillId="0" borderId="1" applyAlignment="1" pivotButton="0" quotePrefix="0" xfId="0">
      <alignment vertical="center" wrapText="1"/>
    </xf>
    <xf numFmtId="3" fontId="22" fillId="0" borderId="0" applyAlignment="1" pivotButton="0" quotePrefix="0" xfId="0">
      <alignment wrapText="1"/>
    </xf>
    <xf numFmtId="0" fontId="26" fillId="0" borderId="0" pivotButton="0" quotePrefix="0" xfId="1"/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top"/>
    </xf>
    <xf numFmtId="0" fontId="24" fillId="0" borderId="0" applyAlignment="1" pivotButton="0" quotePrefix="0" xfId="1">
      <alignment horizontal="center" wrapText="1"/>
    </xf>
    <xf numFmtId="0" fontId="24" fillId="0" borderId="0" pivotButton="0" quotePrefix="0" xfId="1"/>
    <xf numFmtId="0" fontId="24" fillId="0" borderId="0" applyAlignment="1" pivotButton="0" quotePrefix="0" xfId="0">
      <alignment horizontal="right" vertical="top"/>
    </xf>
    <xf numFmtId="3" fontId="24" fillId="0" borderId="0" applyAlignment="1" pivotButton="0" quotePrefix="0" xfId="0">
      <alignment vertical="top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center" vertical="top" wrapText="1"/>
    </xf>
    <xf numFmtId="0" fontId="24" fillId="0" borderId="0" applyAlignment="1" pivotButton="0" quotePrefix="0" xfId="1">
      <alignment horizontal="right"/>
    </xf>
    <xf numFmtId="0" fontId="24" fillId="0" borderId="0" applyAlignment="1" pivotButton="0" quotePrefix="0" xfId="1">
      <alignment horizontal="left"/>
    </xf>
    <xf numFmtId="43" fontId="24" fillId="0" borderId="0" applyAlignment="1" pivotButton="0" quotePrefix="0" xfId="0">
      <alignment vertical="top"/>
    </xf>
    <xf numFmtId="0" fontId="24" fillId="0" borderId="0" applyAlignment="1" pivotButton="0" quotePrefix="0" xfId="1">
      <alignment wrapText="1"/>
    </xf>
    <xf numFmtId="0" fontId="22" fillId="0" borderId="0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3" fontId="24" fillId="0" borderId="0" applyAlignment="1" pivotButton="0" quotePrefix="0" xfId="1">
      <alignment horizontal="right"/>
    </xf>
    <xf numFmtId="3" fontId="24" fillId="0" borderId="0" applyAlignment="1" pivotButton="0" quotePrefix="0" xfId="0">
      <alignment horizontal="right" vertical="top"/>
    </xf>
    <xf numFmtId="3" fontId="24" fillId="0" borderId="9" applyAlignment="1" pivotButton="0" quotePrefix="0" xfId="0">
      <alignment vertical="center" wrapText="1"/>
    </xf>
    <xf numFmtId="3" fontId="17" fillId="0" borderId="12" applyAlignment="1" pivotButton="0" quotePrefix="0" xfId="0">
      <alignment vertical="center" wrapText="1"/>
    </xf>
    <xf numFmtId="0" fontId="28" fillId="0" borderId="0" applyAlignment="1" pivotButton="0" quotePrefix="0" xfId="0">
      <alignment wrapText="1"/>
    </xf>
    <xf numFmtId="0" fontId="17" fillId="0" borderId="0" applyAlignment="1" pivotButton="0" quotePrefix="0" xfId="0">
      <alignment wrapText="1"/>
    </xf>
    <xf numFmtId="0" fontId="17" fillId="0" borderId="0" pivotButton="0" quotePrefix="0" xfId="0"/>
    <xf numFmtId="0" fontId="19" fillId="0" borderId="0" pivotButton="0" quotePrefix="0" xfId="0"/>
    <xf numFmtId="0" fontId="24" fillId="0" borderId="0" applyAlignment="1" pivotButton="0" quotePrefix="0" xfId="0">
      <alignment wrapText="1"/>
    </xf>
    <xf numFmtId="0" fontId="22" fillId="0" borderId="0" applyAlignment="1" pivotButton="0" quotePrefix="0" xfId="0">
      <alignment horizontal="left" wrapText="1"/>
    </xf>
    <xf numFmtId="0" fontId="24" fillId="0" borderId="0" applyAlignment="1" pivotButton="0" quotePrefix="0" xfId="0">
      <alignment horizontal="left" wrapText="1"/>
    </xf>
    <xf numFmtId="0" fontId="24" fillId="0" borderId="0" applyAlignment="1" pivotButton="0" quotePrefix="0" xfId="0">
      <alignment horizontal="center" vertical="top"/>
    </xf>
    <xf numFmtId="3" fontId="17" fillId="0" borderId="0" applyAlignment="1" pivotButton="0" quotePrefix="0" xfId="0">
      <alignment wrapText="1"/>
    </xf>
    <xf numFmtId="164" fontId="24" fillId="0" borderId="0" pivotButton="0" quotePrefix="0" xfId="22"/>
    <xf numFmtId="0" fontId="33" fillId="0" borderId="0" pivotButton="0" quotePrefix="0" xfId="0"/>
    <xf numFmtId="0" fontId="30" fillId="10" borderId="0" applyAlignment="1" pivotButton="0" quotePrefix="0" xfId="0">
      <alignment vertical="center"/>
    </xf>
    <xf numFmtId="0" fontId="34" fillId="0" borderId="0" applyAlignment="1" pivotButton="0" quotePrefix="0" xfId="1">
      <alignment vertical="center"/>
    </xf>
    <xf numFmtId="0" fontId="34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top"/>
    </xf>
    <xf numFmtId="3" fontId="17" fillId="0" borderId="7" applyAlignment="1" pivotButton="0" quotePrefix="0" xfId="0">
      <alignment vertical="center" wrapText="1"/>
    </xf>
    <xf numFmtId="3" fontId="17" fillId="0" borderId="13" applyAlignment="1" pivotButton="0" quotePrefix="0" xfId="0">
      <alignment vertical="center" wrapText="1"/>
    </xf>
    <xf numFmtId="49" fontId="27" fillId="0" borderId="10" applyAlignment="1" pivotButton="0" quotePrefix="0" xfId="0">
      <alignment horizontal="center" vertical="center" wrapText="1"/>
    </xf>
    <xf numFmtId="43" fontId="27" fillId="0" borderId="11" applyAlignment="1" pivotButton="0" quotePrefix="0" xfId="0">
      <alignment horizontal="center" vertical="center" wrapText="1"/>
    </xf>
    <xf numFmtId="49" fontId="27" fillId="0" borderId="11" applyAlignment="1" pivotButton="0" quotePrefix="0" xfId="0">
      <alignment horizontal="center" vertical="center" wrapText="1"/>
    </xf>
    <xf numFmtId="0" fontId="30" fillId="10" borderId="2" applyAlignment="1" pivotButton="0" quotePrefix="1" xfId="0">
      <alignment horizontal="center" vertical="center"/>
    </xf>
    <xf numFmtId="0" fontId="30" fillId="10" borderId="15" applyAlignment="1" pivotButton="0" quotePrefix="1" xfId="0">
      <alignment horizontal="center" vertical="center"/>
    </xf>
    <xf numFmtId="0" fontId="30" fillId="10" borderId="1" applyAlignment="1" pivotButton="0" quotePrefix="1" xfId="0">
      <alignment horizontal="center" vertical="center"/>
    </xf>
    <xf numFmtId="0" fontId="30" fillId="10" borderId="9" applyAlignment="1" pivotButton="0" quotePrefix="1" xfId="0">
      <alignment horizontal="center" vertical="center"/>
    </xf>
    <xf numFmtId="3" fontId="30" fillId="10" borderId="14" applyAlignment="1" pivotButton="0" quotePrefix="0" xfId="0">
      <alignment horizontal="center" vertical="center"/>
    </xf>
    <xf numFmtId="3" fontId="30" fillId="10" borderId="8" applyAlignment="1" pivotButton="0" quotePrefix="0" xfId="0">
      <alignment horizontal="center" vertical="center"/>
    </xf>
    <xf numFmtId="0" fontId="31" fillId="10" borderId="1" applyAlignment="1" pivotButton="0" quotePrefix="1" xfId="0">
      <alignment horizontal="center" vertical="center"/>
    </xf>
    <xf numFmtId="0" fontId="31" fillId="10" borderId="1" applyAlignment="1" pivotButton="0" quotePrefix="0" xfId="0">
      <alignment horizontal="center" vertical="center"/>
    </xf>
    <xf numFmtId="14" fontId="31" fillId="10" borderId="1" applyAlignment="1" pivotButton="0" quotePrefix="1" xfId="0">
      <alignment horizontal="center" vertical="center"/>
    </xf>
    <xf numFmtId="0" fontId="31" fillId="10" borderId="2" applyAlignment="1" pivotButton="0" quotePrefix="0" xfId="0">
      <alignment horizontal="center" vertical="center"/>
    </xf>
    <xf numFmtId="4" fontId="31" fillId="10" borderId="1" applyAlignment="1" pivotButton="0" quotePrefix="0" xfId="0">
      <alignment horizontal="center" vertical="center"/>
    </xf>
    <xf numFmtId="164" fontId="31" fillId="10" borderId="2" applyAlignment="1" pivotButton="0" quotePrefix="0" xfId="0">
      <alignment horizontal="center" vertical="center"/>
    </xf>
    <xf numFmtId="164" fontId="31" fillId="10" borderId="1" applyAlignment="1" pivotButton="0" quotePrefix="0" xfId="0">
      <alignment horizontal="center" vertical="center"/>
    </xf>
    <xf numFmtId="0" fontId="30" fillId="10" borderId="1" applyAlignment="1" pivotButton="0" quotePrefix="1" xfId="0">
      <alignment horizontal="center" vertical="center" wrapText="1"/>
    </xf>
    <xf numFmtId="16" fontId="30" fillId="10" borderId="1" applyAlignment="1" pivotButton="0" quotePrefix="1" xfId="0">
      <alignment horizontal="center" vertical="center"/>
    </xf>
    <xf numFmtId="3" fontId="30" fillId="10" borderId="1" applyAlignment="1" pivotButton="0" quotePrefix="0" xfId="0">
      <alignment horizontal="center" vertical="center"/>
    </xf>
    <xf numFmtId="3" fontId="31" fillId="10" borderId="1" applyAlignment="1" pivotButton="0" quotePrefix="0" xfId="0">
      <alignment horizontal="center" vertical="center"/>
    </xf>
    <xf numFmtId="0" fontId="37" fillId="10" borderId="1" applyAlignment="1" pivotButton="0" quotePrefix="0" xfId="0">
      <alignment horizontal="center" vertical="center"/>
    </xf>
    <xf numFmtId="0" fontId="30" fillId="10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/>
    </xf>
    <xf numFmtId="43" fontId="26" fillId="0" borderId="6" applyAlignment="1" pivotButton="0" quotePrefix="0" xfId="0">
      <alignment horizontal="center" vertical="center"/>
    </xf>
    <xf numFmtId="43" fontId="26" fillId="0" borderId="7" applyAlignment="1" pivotButton="0" quotePrefix="0" xfId="0">
      <alignment horizontal="center" vertical="center"/>
    </xf>
    <xf numFmtId="43" fontId="24" fillId="0" borderId="7" applyAlignment="1" pivotButton="0" quotePrefix="0" xfId="0">
      <alignment horizontal="center" vertical="center" wrapText="1"/>
    </xf>
    <xf numFmtId="43" fontId="26" fillId="0" borderId="11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3" fontId="18" fillId="0" borderId="6" applyAlignment="1" pivotButton="0" quotePrefix="0" xfId="0">
      <alignment horizontal="center" vertical="center" wrapText="1"/>
    </xf>
    <xf numFmtId="3" fontId="18" fillId="0" borderId="7" applyAlignment="1" pivotButton="0" quotePrefix="0" xfId="0">
      <alignment horizontal="center" vertical="center" wrapText="1"/>
    </xf>
    <xf numFmtId="3" fontId="26" fillId="0" borderId="8" applyAlignment="1" pivotButton="0" quotePrefix="0" xfId="0">
      <alignment horizontal="center" vertical="center" wrapText="1"/>
    </xf>
    <xf numFmtId="3" fontId="26" fillId="0" borderId="1" applyAlignment="1" pivotButton="0" quotePrefix="0" xfId="0">
      <alignment horizontal="center" vertical="center" wrapText="1"/>
    </xf>
    <xf numFmtId="3" fontId="18" fillId="0" borderId="10" applyAlignment="1" pivotButton="0" quotePrefix="0" xfId="0">
      <alignment horizontal="center" vertical="center" wrapText="1"/>
    </xf>
    <xf numFmtId="3" fontId="18" fillId="0" borderId="11" applyAlignment="1" pivotButton="0" quotePrefix="0" xfId="0">
      <alignment horizontal="center" vertical="center" wrapText="1"/>
    </xf>
    <xf numFmtId="0" fontId="13" fillId="5" borderId="4" applyAlignment="1" pivotButton="0" quotePrefix="0" xfId="1">
      <alignment horizontal="center" vertical="center" wrapText="1"/>
    </xf>
    <xf numFmtId="0" fontId="13" fillId="5" borderId="5" applyAlignment="1" pivotButton="0" quotePrefix="0" xfId="1">
      <alignment horizontal="center" vertical="center" wrapText="1"/>
    </xf>
    <xf numFmtId="0" fontId="13" fillId="5" borderId="2" applyAlignment="1" pivotButton="0" quotePrefix="0" xfId="1">
      <alignment horizontal="center" vertical="center" wrapText="1"/>
    </xf>
    <xf numFmtId="43" fontId="13" fillId="9" borderId="4" applyAlignment="1" pivotButton="0" quotePrefix="0" xfId="20">
      <alignment horizontal="center" vertical="center" wrapText="1"/>
    </xf>
    <xf numFmtId="43" fontId="13" fillId="9" borderId="2" applyAlignment="1" pivotButton="0" quotePrefix="0" xfId="20">
      <alignment horizontal="center" vertical="center" wrapText="1"/>
    </xf>
    <xf numFmtId="43" fontId="13" fillId="4" borderId="4" applyAlignment="1" pivotButton="0" quotePrefix="0" xfId="20">
      <alignment horizontal="center" vertical="center" wrapText="1"/>
    </xf>
    <xf numFmtId="43" fontId="13" fillId="4" borderId="2" applyAlignment="1" pivotButton="0" quotePrefix="0" xfId="20">
      <alignment horizontal="center" vertical="center" wrapText="1"/>
    </xf>
    <xf numFmtId="164" fontId="13" fillId="4" borderId="4" applyAlignment="1" pivotButton="0" quotePrefix="0" xfId="20">
      <alignment horizontal="center" vertical="center" wrapText="1"/>
    </xf>
    <xf numFmtId="164" fontId="13" fillId="4" borderId="2" applyAlignment="1" pivotButton="0" quotePrefix="0" xfId="20">
      <alignment horizontal="center" vertical="center" wrapText="1"/>
    </xf>
    <xf numFmtId="2" fontId="13" fillId="8" borderId="4" applyAlignment="1" pivotButton="0" quotePrefix="0" xfId="1">
      <alignment horizontal="center" vertical="center" wrapText="1"/>
    </xf>
    <xf numFmtId="2" fontId="13" fillId="8" borderId="5" applyAlignment="1" pivotButton="0" quotePrefix="0" xfId="1">
      <alignment horizontal="center" vertical="center" wrapText="1"/>
    </xf>
    <xf numFmtId="2" fontId="13" fillId="8" borderId="2" applyAlignment="1" pivotButton="0" quotePrefix="0" xfId="1">
      <alignment horizontal="center" vertical="center" wrapText="1"/>
    </xf>
    <xf numFmtId="0" fontId="30" fillId="10" borderId="11" applyAlignment="1" pivotButton="0" quotePrefix="1" xfId="0">
      <alignment horizontal="center" vertical="center"/>
    </xf>
    <xf numFmtId="0" fontId="30" fillId="10" borderId="12" applyAlignment="1" pivotButton="0" quotePrefix="1" xfId="0">
      <alignment horizontal="center" vertical="center"/>
    </xf>
    <xf numFmtId="0" fontId="31" fillId="10" borderId="2" applyAlignment="1" pivotButton="0" quotePrefix="1" xfId="0">
      <alignment horizontal="center" vertical="center"/>
    </xf>
    <xf numFmtId="14" fontId="31" fillId="10" borderId="2" applyAlignment="1" pivotButton="0" quotePrefix="1" xfId="0">
      <alignment horizontal="center" vertical="center"/>
    </xf>
    <xf numFmtId="4" fontId="31" fillId="10" borderId="2" applyAlignment="1" pivotButton="0" quotePrefix="0" xfId="0">
      <alignment horizontal="center" vertical="center"/>
    </xf>
    <xf numFmtId="3" fontId="30" fillId="10" borderId="17" applyAlignment="1" pivotButton="0" quotePrefix="0" xfId="0">
      <alignment horizontal="center" vertical="center"/>
    </xf>
    <xf numFmtId="0" fontId="30" fillId="10" borderId="4" applyAlignment="1" pivotButton="0" quotePrefix="1" xfId="0">
      <alignment horizontal="center" vertical="center" wrapText="1"/>
    </xf>
    <xf numFmtId="16" fontId="30" fillId="10" borderId="4" applyAlignment="1" pivotButton="0" quotePrefix="1" xfId="0">
      <alignment horizontal="center" vertical="center"/>
    </xf>
    <xf numFmtId="0" fontId="31" fillId="10" borderId="4" applyAlignment="1" pivotButton="0" quotePrefix="0" xfId="0">
      <alignment horizontal="center" vertical="center"/>
    </xf>
    <xf numFmtId="3" fontId="30" fillId="10" borderId="4" applyAlignment="1" pivotButton="0" quotePrefix="0" xfId="0">
      <alignment horizontal="center" vertical="center"/>
    </xf>
    <xf numFmtId="0" fontId="30" fillId="10" borderId="4" applyAlignment="1" pivotButton="0" quotePrefix="1" xfId="0">
      <alignment horizontal="center" vertical="center"/>
    </xf>
    <xf numFmtId="3" fontId="31" fillId="10" borderId="4" applyAlignment="1" pivotButton="0" quotePrefix="0" xfId="0">
      <alignment horizontal="center" vertical="center"/>
    </xf>
    <xf numFmtId="164" fontId="31" fillId="10" borderId="4" applyAlignment="1" pivotButton="0" quotePrefix="0" xfId="0">
      <alignment horizontal="center" vertical="center"/>
    </xf>
    <xf numFmtId="0" fontId="37" fillId="10" borderId="4" applyAlignment="1" pivotButton="0" quotePrefix="0" xfId="0">
      <alignment horizontal="center" vertical="center"/>
    </xf>
    <xf numFmtId="43" fontId="24" fillId="0" borderId="18" applyAlignment="1" pivotButton="0" quotePrefix="0" xfId="0">
      <alignment horizontal="center" vertical="center" wrapText="1"/>
    </xf>
    <xf numFmtId="43" fontId="24" fillId="0" borderId="19" applyAlignment="1" pivotButton="0" quotePrefix="0" xfId="0">
      <alignment horizontal="center" vertical="center" wrapText="1"/>
    </xf>
    <xf numFmtId="164" fontId="31" fillId="10" borderId="20" applyAlignment="1" pivotButton="0" quotePrefix="0" xfId="0">
      <alignment horizontal="center" vertical="center"/>
    </xf>
    <xf numFmtId="164" fontId="31" fillId="10" borderId="16" applyAlignment="1" pivotButton="0" quotePrefix="0" xfId="0">
      <alignment horizontal="center" vertical="center"/>
    </xf>
    <xf numFmtId="164" fontId="31" fillId="10" borderId="21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4" fontId="31" fillId="10" borderId="14" applyAlignment="1" pivotButton="0" quotePrefix="1" xfId="0">
      <alignment horizontal="center" vertical="center"/>
    </xf>
    <xf numFmtId="4" fontId="31" fillId="10" borderId="8" applyAlignment="1" pivotButton="0" quotePrefix="1" xfId="0">
      <alignment horizontal="center" vertical="center"/>
    </xf>
    <xf numFmtId="0" fontId="30" fillId="10" borderId="8" applyAlignment="1" pivotButton="0" quotePrefix="1" xfId="0">
      <alignment horizontal="center" vertical="center"/>
    </xf>
    <xf numFmtId="0" fontId="30" fillId="10" borderId="10" applyAlignment="1" pivotButton="0" quotePrefix="1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2" pivotButton="0" quotePrefix="0" xfId="0"/>
    <xf numFmtId="0" fontId="0" fillId="0" borderId="20" pivotButton="0" quotePrefix="0" xfId="0"/>
    <xf numFmtId="0" fontId="0" fillId="0" borderId="14" pivotButton="0" quotePrefix="0" xfId="0"/>
    <xf numFmtId="0" fontId="0" fillId="0" borderId="30" pivotButton="0" quotePrefix="0" xfId="0"/>
    <xf numFmtId="164" fontId="31" fillId="10" borderId="2" applyAlignment="1" pivotButton="0" quotePrefix="0" xfId="0">
      <alignment horizontal="center" vertical="center"/>
    </xf>
    <xf numFmtId="164" fontId="31" fillId="10" borderId="20" applyAlignment="1" pivotButton="0" quotePrefix="0" xfId="0">
      <alignment horizontal="center" vertical="center"/>
    </xf>
    <xf numFmtId="164" fontId="31" fillId="10" borderId="1" applyAlignment="1" pivotButton="0" quotePrefix="0" xfId="0">
      <alignment horizontal="center" vertical="center"/>
    </xf>
    <xf numFmtId="164" fontId="31" fillId="10" borderId="16" applyAlignment="1" pivotButton="0" quotePrefix="0" xfId="0">
      <alignment horizontal="center" vertical="center"/>
    </xf>
    <xf numFmtId="164" fontId="31" fillId="10" borderId="4" applyAlignment="1" pivotButton="0" quotePrefix="0" xfId="0">
      <alignment horizontal="center" vertical="center"/>
    </xf>
    <xf numFmtId="164" fontId="31" fillId="10" borderId="21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164" fontId="24" fillId="0" borderId="0" pivotButton="0" quotePrefix="0" xfId="22"/>
    <xf numFmtId="0" fontId="13" fillId="5" borderId="1" applyAlignment="1" pivotButton="0" quotePrefix="0" xfId="1">
      <alignment horizontal="center" vertical="center" wrapText="1"/>
    </xf>
    <xf numFmtId="2" fontId="13" fillId="8" borderId="1" applyAlignment="1" pivotButton="0" quotePrefix="0" xfId="1">
      <alignment horizontal="center" vertical="center" wrapText="1"/>
    </xf>
    <xf numFmtId="43" fontId="13" fillId="4" borderId="1" applyAlignment="1" pivotButton="0" quotePrefix="0" xfId="20">
      <alignment horizontal="center" vertical="center" wrapText="1"/>
    </xf>
    <xf numFmtId="164" fontId="13" fillId="4" borderId="1" applyAlignment="1" pivotButton="0" quotePrefix="0" xfId="20">
      <alignment horizontal="center" vertical="center" wrapText="1"/>
    </xf>
    <xf numFmtId="43" fontId="13" fillId="9" borderId="1" applyAlignment="1" pivotButton="0" quotePrefix="0" xfId="20">
      <alignment horizontal="center" vertical="center" wrapText="1"/>
    </xf>
    <xf numFmtId="0" fontId="0" fillId="0" borderId="5" pivotButton="0" quotePrefix="0" xfId="0"/>
  </cellXfs>
  <cellStyles count="57">
    <cellStyle name="Normal" xfId="0" builtinId="0"/>
    <cellStyle name="Normal 2" xfId="1"/>
    <cellStyle name="Normal 120" xfId="2"/>
    <cellStyle name="Normal 134" xfId="3"/>
    <cellStyle name="Normal 138" xfId="4"/>
    <cellStyle name="Normal 143" xfId="5"/>
    <cellStyle name="Normal 146" xfId="6"/>
    <cellStyle name="Normal 3" xfId="7"/>
    <cellStyle name="Comma 2" xfId="8"/>
    <cellStyle name="Comma 6" xfId="9"/>
    <cellStyle name="Normal 4" xfId="10"/>
    <cellStyle name="Note 2" xfId="11"/>
    <cellStyle name="標準_NOV 09" xfId="12"/>
    <cellStyle name="Normal 5" xfId="13"/>
    <cellStyle name="Comma 3" xfId="14"/>
    <cellStyle name="Note 3" xfId="15"/>
    <cellStyle name="Normal 6" xfId="16"/>
    <cellStyle name="Comma 4" xfId="17"/>
    <cellStyle name="Note 4" xfId="18"/>
    <cellStyle name="Normal 7" xfId="19"/>
    <cellStyle name="Comma 7" xfId="20"/>
    <cellStyle name="Note 5" xfId="21"/>
    <cellStyle name="Comma 5" xfId="22"/>
    <cellStyle name="Normal 3 2" xfId="23"/>
    <cellStyle name="Comma 2 2" xfId="24"/>
    <cellStyle name="Note 2 2" xfId="25"/>
    <cellStyle name="Normal 5 2" xfId="26"/>
    <cellStyle name="Comma 3 2" xfId="27"/>
    <cellStyle name="Note 3 2" xfId="28"/>
    <cellStyle name="Normal 6 2" xfId="29"/>
    <cellStyle name="Comma 4 2" xfId="30"/>
    <cellStyle name="Note 4 2" xfId="31"/>
    <cellStyle name="Normal 8" xfId="32"/>
    <cellStyle name="Normal 3 3" xfId="33"/>
    <cellStyle name="Comma 2 3" xfId="34"/>
    <cellStyle name="Note 2 3" xfId="35"/>
    <cellStyle name="Normal 5 3" xfId="36"/>
    <cellStyle name="Comma 3 3" xfId="37"/>
    <cellStyle name="Note 3 3" xfId="38"/>
    <cellStyle name="Normal 6 3" xfId="39"/>
    <cellStyle name="Comma 4 3" xfId="40"/>
    <cellStyle name="Note 4 3" xfId="41"/>
    <cellStyle name="Normal 7 2" xfId="42"/>
    <cellStyle name="Comma 7 2" xfId="43"/>
    <cellStyle name="Note 5 2" xfId="44"/>
    <cellStyle name="Normal 3 2 2" xfId="45"/>
    <cellStyle name="Comma 2 2 2" xfId="46"/>
    <cellStyle name="Note 2 2 2" xfId="47"/>
    <cellStyle name="Normal 5 2 2" xfId="48"/>
    <cellStyle name="Comma 3 2 2" xfId="49"/>
    <cellStyle name="Note 3 2 2" xfId="50"/>
    <cellStyle name="Normal 6 2 2" xfId="51"/>
    <cellStyle name="Comma 4 2 2" xfId="52"/>
    <cellStyle name="Note 4 2 2" xfId="53"/>
    <cellStyle name="Comma 8" xfId="54"/>
    <cellStyle name="Normal 9" xfId="55"/>
    <cellStyle name="Comma 9" xfId="56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Hi</author>
  </authors>
  <commentList>
    <comment ref="O13" authorId="0" shapeId="0">
      <text>
        <t xml:space="preserve">Hi:
KBHC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228600</colOff>
      <row>0</row>
      <rowOff>54429</rowOff>
    </from>
    <to>
      <col>1</col>
      <colOff>812689</colOff>
      <row>2</row>
      <rowOff>257175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8600" y="54429"/>
          <a:ext cx="954203" cy="790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188"/>
  <sheetViews>
    <sheetView tabSelected="1" view="pageBreakPreview" topLeftCell="A28" zoomScale="85" zoomScaleNormal="85" zoomScaleSheetLayoutView="85" zoomScalePageLayoutView="40" workbookViewId="0">
      <selection activeCell="F33" sqref="F33"/>
    </sheetView>
  </sheetViews>
  <sheetFormatPr baseColWidth="8" defaultColWidth="9.08984375" defaultRowHeight="15.5"/>
  <cols>
    <col width="5.36328125" customWidth="1" style="16" min="1" max="1"/>
    <col width="13.6328125" customWidth="1" style="16" min="2" max="2"/>
    <col width="19.6328125" customWidth="1" style="25" min="3" max="3"/>
    <col width="19.90625" customWidth="1" style="42" min="4" max="4"/>
    <col width="16.6328125" customWidth="1" style="88" min="5" max="5"/>
    <col width="26.26953125" customWidth="1" style="16" min="6" max="6"/>
    <col width="11.36328125" customWidth="1" style="16" min="7" max="7"/>
    <col width="13.453125" bestFit="1" customWidth="1" style="16" min="8" max="8"/>
    <col width="9.453125" bestFit="1" customWidth="1" style="16" min="9" max="9"/>
    <col width="18.54296875" customWidth="1" style="16" min="10" max="10"/>
    <col width="15.26953125" bestFit="1" customWidth="1" style="18" min="11" max="11"/>
    <col width="14.54296875" bestFit="1" customWidth="1" style="18" min="12" max="12"/>
    <col width="16.36328125" customWidth="1" style="18" min="13" max="13"/>
    <col width="15.1796875" customWidth="1" style="16" min="14" max="14"/>
    <col width="14.1796875" customWidth="1" style="16" min="15" max="15"/>
    <col width="18.81640625" customWidth="1" style="16" min="16" max="16"/>
    <col width="17.90625" customWidth="1" style="16" min="17" max="17"/>
    <col width="13.7265625" customWidth="1" style="16" min="18" max="18"/>
    <col width="12.6328125" customWidth="1" style="16" min="19" max="19"/>
    <col width="13.81640625" customWidth="1" style="16" min="20" max="20"/>
    <col width="11" customWidth="1" style="16" min="21" max="21"/>
    <col width="15.7265625" bestFit="1" customWidth="1" style="16" min="22" max="22"/>
    <col width="12.54296875" customWidth="1" style="16" min="23" max="23"/>
    <col width="11.453125" customWidth="1" style="16" min="24" max="24"/>
    <col width="20.36328125" bestFit="1" customWidth="1" style="16" min="25" max="25"/>
    <col width="15.7265625" bestFit="1" customWidth="1" style="16" min="26" max="26"/>
    <col width="18.453125" customWidth="1" style="16" min="27" max="27"/>
    <col width="21.81640625" customWidth="1" style="20" min="28" max="28"/>
    <col width="8.1796875" customWidth="1" style="16" min="29" max="29"/>
    <col width="8" customWidth="1" style="16" min="30" max="30"/>
    <col width="9.08984375" customWidth="1" style="16" min="31" max="243"/>
    <col width="9.08984375" customWidth="1" style="16" min="244" max="16384"/>
  </cols>
  <sheetData>
    <row r="1" ht="23.4" customHeight="1">
      <c r="A1" s="14" t="n"/>
      <c r="B1" s="14" t="n"/>
      <c r="C1" s="15" t="inlineStr">
        <is>
          <t>CÔNG TY TNHH THƯƠNG MẠI VÀ DỊCH VỤ 5P VIỆT NAM</t>
        </is>
      </c>
      <c r="F1" s="14" t="n"/>
      <c r="G1" s="17" t="n"/>
      <c r="Z1" s="19" t="n"/>
    </row>
    <row r="2" ht="23.4" customHeight="1">
      <c r="A2" s="21" t="n"/>
      <c r="B2" s="21" t="n"/>
      <c r="C2" s="15" t="inlineStr">
        <is>
          <t>Số nhà 02 Ngõ 1H Phố Trần Quang Diệu, Phường Đống Đa, Thành phố Hà Nội, Việt Nam</t>
        </is>
      </c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Z2" s="19" t="n"/>
    </row>
    <row r="3" ht="23.4" customHeight="1">
      <c r="A3" s="22" t="n"/>
      <c r="C3" s="22" t="inlineStr">
        <is>
          <t>MST: 0110523309</t>
        </is>
      </c>
      <c r="Z3" s="19" t="n"/>
    </row>
    <row r="4" ht="23.4" customHeight="1">
      <c r="A4" s="22" t="n"/>
      <c r="C4" s="22" t="n"/>
      <c r="Z4" s="19" t="n"/>
    </row>
    <row r="5" ht="67" customHeight="1">
      <c r="A5" s="89" t="inlineStr">
        <is>
          <t>BẢNG KÊ CHI TIẾT HÀNG NHẬP QUỐC TẾ THÁNG 02 NĂM 2026</t>
        </is>
      </c>
    </row>
    <row r="6" ht="37.5" customHeight="1">
      <c r="A6" s="23" t="n"/>
      <c r="B6" s="23" t="n"/>
      <c r="C6" s="23" t="n"/>
      <c r="D6" s="43" t="n"/>
      <c r="E6" s="54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</row>
    <row r="7" ht="17.5" customHeight="1">
      <c r="B7" s="58" t="inlineStr">
        <is>
          <t>KÍNH GỬI :  CÔNG TY TNHH DAINESE VIỆT NAM</t>
        </is>
      </c>
      <c r="C7" s="24" t="n"/>
      <c r="Z7" s="19" t="n"/>
    </row>
    <row r="8" ht="17.5" customHeight="1">
      <c r="B8" s="58" t="inlineStr">
        <is>
          <t>Địa chỉ : Lô CN13, Lô CN18, Khu Công nghiệp Yên Bình, Phường Vạn Xuân, Tỉnh Thái Nguyên, Việt Nam</t>
        </is>
      </c>
      <c r="U8" s="26" t="n"/>
    </row>
    <row r="9" ht="17.5" customHeight="1">
      <c r="B9" s="58" t="inlineStr">
        <is>
          <t>Attn:   Ms. Phương Anh - Ms. Dương</t>
        </is>
      </c>
      <c r="U9" s="26" t="n"/>
      <c r="AD9" s="19" t="n"/>
    </row>
    <row r="10" ht="73" customHeight="1" thickBot="1">
      <c r="O10" s="19" t="n"/>
      <c r="S10" s="19" t="n"/>
      <c r="V10" s="19" t="n"/>
      <c r="AA10" s="19" t="n"/>
    </row>
    <row r="11" ht="25.5" customHeight="1">
      <c r="A11" s="90" t="inlineStr">
        <is>
          <t>Thông tin chung</t>
        </is>
      </c>
      <c r="B11" s="141" t="n"/>
      <c r="C11" s="141" t="n"/>
      <c r="D11" s="141" t="n"/>
      <c r="E11" s="141" t="n"/>
      <c r="F11" s="141" t="n"/>
      <c r="G11" s="142" t="n"/>
      <c r="H11" s="91" t="inlineStr">
        <is>
          <t>Khổi lượng</t>
        </is>
      </c>
      <c r="I11" s="142" t="n"/>
      <c r="J11" s="91" t="inlineStr">
        <is>
          <t>Note</t>
        </is>
      </c>
      <c r="K11" s="91" t="inlineStr">
        <is>
          <t xml:space="preserve">Phí dịch vụ làm hàng  ( VND) </t>
        </is>
      </c>
      <c r="L11" s="141" t="n"/>
      <c r="M11" s="141" t="n"/>
      <c r="N11" s="141" t="n"/>
      <c r="O11" s="141" t="n"/>
      <c r="P11" s="141" t="n"/>
      <c r="Q11" s="141" t="n"/>
      <c r="R11" s="141" t="n"/>
      <c r="S11" s="141" t="n"/>
      <c r="T11" s="141" t="n"/>
      <c r="U11" s="141" t="n"/>
      <c r="V11" s="142" t="n"/>
      <c r="W11" s="92" t="inlineStr">
        <is>
          <t>Phí trả hộ</t>
        </is>
      </c>
      <c r="X11" s="141" t="n"/>
      <c r="Y11" s="141" t="n"/>
      <c r="Z11" s="142" t="n"/>
      <c r="AA11" s="130" t="inlineStr">
        <is>
          <t xml:space="preserve">Tổng tiền phải trả </t>
        </is>
      </c>
      <c r="AB11" s="135" t="inlineStr">
        <is>
          <t>Số hóa đơn trả hộ</t>
        </is>
      </c>
      <c r="AC11" s="94" t="inlineStr">
        <is>
          <t>Số hóa đơn của forwarder</t>
        </is>
      </c>
      <c r="AD11" s="143" t="n"/>
    </row>
    <row r="12" ht="41.5" customFormat="1" customHeight="1" s="48" thickBot="1">
      <c r="A12" s="66" t="inlineStr">
        <is>
          <t>No.</t>
        </is>
      </c>
      <c r="B12" s="67" t="inlineStr">
        <is>
          <t>Tờ khai</t>
        </is>
      </c>
      <c r="C12" s="67" t="inlineStr">
        <is>
          <t>Hóa đơn thương mại</t>
        </is>
      </c>
      <c r="D12" s="68" t="inlineStr">
        <is>
          <t>Vận đơn/Note</t>
        </is>
      </c>
      <c r="E12" s="68" t="inlineStr">
        <is>
          <t>Ngày tờ khai</t>
        </is>
      </c>
      <c r="F12" s="67" t="inlineStr">
        <is>
          <t>Tuyến đường</t>
        </is>
      </c>
      <c r="G12" s="67" t="inlineStr">
        <is>
          <t>Loại hình vận chuyển</t>
        </is>
      </c>
      <c r="H12" s="67" t="inlineStr">
        <is>
          <t>Kgs</t>
        </is>
      </c>
      <c r="I12" s="67" t="inlineStr">
        <is>
          <t>No. Cont</t>
        </is>
      </c>
      <c r="J12" s="144" t="n"/>
      <c r="K12" s="67" t="inlineStr">
        <is>
          <t>Phí mở tờ khai hải quan</t>
        </is>
      </c>
      <c r="L12" s="67" t="inlineStr">
        <is>
          <t>Phí kiểm hóa</t>
        </is>
      </c>
      <c r="M12" s="67" t="inlineStr">
        <is>
          <t>Phí vận chuyển</t>
        </is>
      </c>
      <c r="N12" s="67" t="inlineStr">
        <is>
          <t>Phí làm hàng</t>
        </is>
      </c>
      <c r="O12" s="67" t="inlineStr">
        <is>
          <t>Phí phát sinh khác</t>
        </is>
      </c>
      <c r="P12" s="67" t="inlineStr">
        <is>
          <t>Phí đầu nước ngoài</t>
        </is>
      </c>
      <c r="Q12" s="67" t="inlineStr">
        <is>
          <t>Cước vận tải quốc tế</t>
        </is>
      </c>
      <c r="R12" s="67" t="inlineStr">
        <is>
          <t>Phí xếp dỡ (THC)</t>
        </is>
      </c>
      <c r="S12" s="67" t="inlineStr">
        <is>
          <t>Phí gom hàng lẻ (CFS)/
CIC/ LSS</t>
        </is>
      </c>
      <c r="T12" s="67" t="inlineStr">
        <is>
          <t>Phí lấy lệnh  (DO)</t>
        </is>
      </c>
      <c r="U12" s="67" t="inlineStr">
        <is>
          <t>Phí  đại lý,</t>
        </is>
      </c>
      <c r="V12" s="67" t="inlineStr">
        <is>
          <t>Tổng</t>
        </is>
      </c>
      <c r="W12" s="67" t="inlineStr">
        <is>
          <t>Local charge</t>
        </is>
      </c>
      <c r="X12" s="67" t="inlineStr">
        <is>
          <t>CSHT, thuế, vé bãi</t>
        </is>
      </c>
      <c r="Y12" s="67" t="inlineStr">
        <is>
          <t>Lưu kho giao nhận bốc xếp, nâng hạ</t>
        </is>
      </c>
      <c r="Z12" s="67" t="inlineStr">
        <is>
          <t>Tổng phí trả hộ</t>
        </is>
      </c>
      <c r="AA12" s="145" t="n"/>
      <c r="AB12" s="146" t="n"/>
      <c r="AC12" s="145" t="n"/>
      <c r="AD12" s="147" t="n"/>
    </row>
    <row r="13" ht="37" customFormat="1" customHeight="1" s="59">
      <c r="A13" s="73" t="n">
        <v>1</v>
      </c>
      <c r="B13" s="118" t="inlineStr">
        <is>
          <t>108021404521</t>
        </is>
      </c>
      <c r="C13" s="118" t="inlineStr">
        <is>
          <t>2025S0217</t>
        </is>
      </c>
      <c r="D13" s="78" t="inlineStr">
        <is>
          <t>2025CA0000102644</t>
        </is>
      </c>
      <c r="E13" s="119" t="inlineStr">
        <is>
          <t>05/03/2026</t>
        </is>
      </c>
      <c r="F13" s="78" t="inlineStr">
        <is>
          <t>Genoa, Italy - Thái Nguyên</t>
        </is>
      </c>
      <c r="G13" s="78" t="inlineStr">
        <is>
          <t>SEA</t>
        </is>
      </c>
      <c r="H13" s="78" t="n">
        <v>5890</v>
      </c>
      <c r="I13" s="78" t="inlineStr">
        <is>
          <t>LCL</t>
        </is>
      </c>
      <c r="J13" s="78" t="inlineStr">
        <is>
          <t>Elantas</t>
        </is>
      </c>
      <c r="K13" s="120" t="n">
        <v>943830</v>
      </c>
      <c r="L13" s="148" t="n"/>
      <c r="M13" s="120" t="n">
        <v>4561845</v>
      </c>
      <c r="N13" s="120" t="n">
        <v>4089930</v>
      </c>
      <c r="O13" s="120" t="n">
        <v>849447</v>
      </c>
      <c r="P13" s="120" t="n">
        <v>19568742</v>
      </c>
      <c r="Q13" s="120" t="n">
        <v>60216354</v>
      </c>
      <c r="R13" s="120" t="n">
        <v>20462234</v>
      </c>
      <c r="S13" s="120" t="n"/>
      <c r="T13" s="120" t="n">
        <v>1258440</v>
      </c>
      <c r="U13" s="148" t="n"/>
      <c r="V13" s="148">
        <f>SUM(K13:U13)</f>
        <v/>
      </c>
      <c r="W13" s="148" t="n"/>
      <c r="X13" s="120" t="n">
        <v>94240</v>
      </c>
      <c r="Y13" s="120" t="n">
        <v>13013670</v>
      </c>
      <c r="Z13" s="148">
        <f>SUM(W13:Y13)</f>
        <v/>
      </c>
      <c r="AA13" s="149">
        <f>+V13+Z13</f>
        <v/>
      </c>
      <c r="AB13" s="137" t="inlineStr">
        <is>
          <t>2985, 1148965</t>
        </is>
      </c>
      <c r="AC13" s="69" t="n">
        <v>152</v>
      </c>
      <c r="AD13" s="70" t="inlineStr">
        <is>
          <t>183, 184</t>
        </is>
      </c>
    </row>
    <row r="14" ht="37" customFormat="1" customHeight="1" s="59">
      <c r="A14" s="98" t="n"/>
      <c r="B14" s="141" t="n"/>
      <c r="C14" s="141" t="n"/>
      <c r="D14" s="141" t="n"/>
      <c r="E14" s="141" t="n"/>
      <c r="F14" s="141" t="n"/>
      <c r="G14" s="141" t="n"/>
      <c r="H14" s="141" t="n"/>
      <c r="I14" s="141" t="n"/>
      <c r="J14" s="142" t="n"/>
      <c r="K14" s="64">
        <f>SUM(K13:K13)</f>
        <v/>
      </c>
      <c r="L14" s="64">
        <f>SUM(L13:L13)</f>
        <v/>
      </c>
      <c r="M14" s="64">
        <f>SUM(M13:M13)</f>
        <v/>
      </c>
      <c r="N14" s="64">
        <f>SUM(N13:N13)</f>
        <v/>
      </c>
      <c r="O14" s="64">
        <f>SUM(O13:O13)</f>
        <v/>
      </c>
      <c r="P14" s="64">
        <f>SUM(P13:P13)</f>
        <v/>
      </c>
      <c r="Q14" s="64">
        <f>SUM(Q13:Q13)</f>
        <v/>
      </c>
      <c r="R14" s="64">
        <f>SUM(R13:R13)</f>
        <v/>
      </c>
      <c r="S14" s="64">
        <f>SUM(S13:S13)</f>
        <v/>
      </c>
      <c r="T14" s="64">
        <f>SUM(T13:T13)</f>
        <v/>
      </c>
      <c r="U14" s="64">
        <f>SUM(U13:U13)</f>
        <v/>
      </c>
      <c r="V14" s="64">
        <f>SUM(V13:V13)</f>
        <v/>
      </c>
      <c r="W14" s="64">
        <f>SUM(W13:W13)</f>
        <v/>
      </c>
      <c r="X14" s="64">
        <f>SUM(X13:X13)</f>
        <v/>
      </c>
      <c r="Y14" s="64">
        <f>SUM(Y13:Y13)</f>
        <v/>
      </c>
      <c r="Z14" s="64">
        <f>SUM(Z13:Z13)</f>
        <v/>
      </c>
      <c r="AA14" s="65">
        <f>SUM(AA13:AA13)</f>
        <v/>
      </c>
      <c r="AB14" s="56" t="n"/>
      <c r="AC14" s="50" t="n"/>
      <c r="AD14" s="50" t="n"/>
    </row>
    <row r="15" ht="37" customFormat="1" customHeight="1" s="59">
      <c r="A15" s="100" t="n"/>
      <c r="B15" s="154" t="n"/>
      <c r="C15" s="154" t="n"/>
      <c r="D15" s="154" t="n"/>
      <c r="E15" s="154" t="n"/>
      <c r="F15" s="154" t="n"/>
      <c r="G15" s="154" t="n"/>
      <c r="H15" s="154" t="n"/>
      <c r="I15" s="154" t="n"/>
      <c r="J15" s="155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>
        <v>0</v>
      </c>
      <c r="V15" s="27" t="n">
        <v>0</v>
      </c>
      <c r="W15" s="27" t="n">
        <v>0</v>
      </c>
      <c r="X15" s="27" t="n">
        <v>0</v>
      </c>
      <c r="Y15" s="27" t="n">
        <v>0</v>
      </c>
      <c r="Z15" s="27" t="n">
        <v>0</v>
      </c>
      <c r="AA15" s="46" t="n">
        <v>0</v>
      </c>
      <c r="AB15" s="52" t="n"/>
      <c r="AC15" s="23" t="n"/>
      <c r="AD15" s="23" t="n"/>
    </row>
    <row r="16" ht="37" customFormat="1" customHeight="1" s="59">
      <c r="A16" s="102" t="n"/>
      <c r="B16" s="156" t="n"/>
      <c r="C16" s="156" t="n"/>
      <c r="D16" s="156" t="n"/>
      <c r="E16" s="156" t="n"/>
      <c r="F16" s="156" t="n"/>
      <c r="G16" s="156" t="n"/>
      <c r="H16" s="156" t="n"/>
      <c r="I16" s="156" t="n"/>
      <c r="J16" s="157" t="n"/>
      <c r="K16" s="13">
        <f>SUM(K14:K15)</f>
        <v/>
      </c>
      <c r="L16" s="13">
        <f>SUM(L14:L15)</f>
        <v/>
      </c>
      <c r="M16" s="13">
        <f>SUM(M14:M15)</f>
        <v/>
      </c>
      <c r="N16" s="13">
        <f>SUM(N14:N15)</f>
        <v/>
      </c>
      <c r="O16" s="13">
        <f>SUM(O14:O15)</f>
        <v/>
      </c>
      <c r="P16" s="13">
        <f>SUM(P14:P15)</f>
        <v/>
      </c>
      <c r="Q16" s="13">
        <f>SUM(Q14:Q15)</f>
        <v/>
      </c>
      <c r="R16" s="13">
        <f>SUM(R14:R15)</f>
        <v/>
      </c>
      <c r="S16" s="13">
        <f>SUM(S14:S15)</f>
        <v/>
      </c>
      <c r="T16" s="13">
        <f>SUM(T14:T15)</f>
        <v/>
      </c>
      <c r="U16" s="13">
        <f>SUM(U14:U15)</f>
        <v/>
      </c>
      <c r="V16" s="13">
        <f>SUM(V14:V15)</f>
        <v/>
      </c>
      <c r="W16" s="13">
        <f>SUM(W14:W15)</f>
        <v/>
      </c>
      <c r="X16" s="13">
        <f>SUM(X14:X15)</f>
        <v/>
      </c>
      <c r="Y16" s="13">
        <f>SUM(Y14:Y15)</f>
        <v/>
      </c>
      <c r="Z16" s="13">
        <f>SUM(Z14:Z15)</f>
        <v/>
      </c>
      <c r="AA16" s="47">
        <f>SUM(AA14:AA15)</f>
        <v/>
      </c>
      <c r="AB16" s="49" t="n"/>
      <c r="AC16" s="50" t="n"/>
      <c r="AD16" s="50" t="n"/>
      <c r="AE16" s="50" t="n"/>
      <c r="AF16" s="50" t="n"/>
      <c r="AG16" s="50" t="n"/>
      <c r="AH16" s="50" t="n"/>
      <c r="AI16" s="50" t="n"/>
      <c r="AJ16" s="50" t="n"/>
      <c r="AK16" s="50" t="n"/>
      <c r="AL16" s="50" t="n"/>
      <c r="AM16" s="50" t="n"/>
      <c r="AN16" s="50" t="n"/>
      <c r="AO16" s="50" t="n"/>
      <c r="AP16" s="50" t="n"/>
      <c r="AQ16" s="50" t="n"/>
      <c r="AR16" s="50" t="n"/>
      <c r="AS16" s="50" t="n"/>
      <c r="AT16" s="50" t="n"/>
      <c r="AU16" s="50" t="n"/>
      <c r="AV16" s="50" t="n"/>
      <c r="AW16" s="50" t="n"/>
      <c r="AX16" s="50" t="n"/>
      <c r="AY16" s="50" t="n"/>
      <c r="AZ16" s="50" t="n"/>
      <c r="BA16" s="50" t="n"/>
      <c r="BB16" s="50" t="n"/>
      <c r="BC16" s="50" t="n"/>
      <c r="BD16" s="50" t="n"/>
      <c r="BE16" s="50" t="n"/>
      <c r="BF16" s="50" t="n"/>
      <c r="BG16" s="50" t="n"/>
      <c r="BH16" s="50" t="n"/>
      <c r="BI16" s="50" t="n"/>
      <c r="BJ16" s="50" t="n"/>
      <c r="BK16" s="50" t="n"/>
      <c r="BL16" s="50" t="n"/>
      <c r="BM16" s="50" t="n"/>
      <c r="BN16" s="50" t="n"/>
      <c r="BO16" s="50" t="n"/>
      <c r="BP16" s="50" t="n"/>
      <c r="BQ16" s="50" t="n"/>
      <c r="BR16" s="50" t="n"/>
      <c r="BS16" s="50" t="n"/>
      <c r="BT16" s="50" t="n"/>
      <c r="BU16" s="50" t="n"/>
      <c r="BV16" s="50" t="n"/>
      <c r="BW16" s="50" t="n"/>
      <c r="BX16" s="50" t="n"/>
      <c r="BY16" s="50" t="n"/>
      <c r="BZ16" s="50" t="n"/>
      <c r="CA16" s="50" t="n"/>
      <c r="CB16" s="50" t="n"/>
      <c r="CC16" s="50" t="n"/>
      <c r="CD16" s="50" t="n"/>
      <c r="CE16" s="50" t="n"/>
      <c r="CF16" s="50" t="n"/>
      <c r="CG16" s="50" t="n"/>
      <c r="CH16" s="50" t="n"/>
      <c r="CI16" s="50" t="n"/>
      <c r="CJ16" s="50" t="n"/>
      <c r="CK16" s="50" t="n"/>
      <c r="CL16" s="50" t="n"/>
      <c r="CM16" s="50" t="n"/>
      <c r="CN16" s="50" t="n"/>
      <c r="CO16" s="50" t="n"/>
      <c r="CP16" s="50" t="n"/>
      <c r="CQ16" s="50" t="n"/>
      <c r="CR16" s="50" t="n"/>
      <c r="CS16" s="50" t="n"/>
      <c r="CT16" s="50" t="n"/>
      <c r="CU16" s="50" t="n"/>
      <c r="CV16" s="50" t="n"/>
      <c r="CW16" s="50" t="n"/>
      <c r="CX16" s="50" t="n"/>
      <c r="CY16" s="50" t="n"/>
      <c r="CZ16" s="50" t="n"/>
      <c r="DA16" s="50" t="n"/>
      <c r="DB16" s="50" t="n"/>
      <c r="DC16" s="50" t="n"/>
      <c r="DD16" s="50" t="n"/>
      <c r="DE16" s="50" t="n"/>
      <c r="DF16" s="50" t="n"/>
      <c r="DG16" s="50" t="n"/>
      <c r="DH16" s="50" t="n"/>
      <c r="DI16" s="50" t="n"/>
      <c r="DJ16" s="50" t="n"/>
      <c r="DK16" s="50" t="n"/>
      <c r="DL16" s="50" t="n"/>
      <c r="DM16" s="50" t="n"/>
      <c r="DN16" s="50" t="n"/>
      <c r="DO16" s="50" t="n"/>
      <c r="DP16" s="50" t="n"/>
      <c r="DQ16" s="50" t="n"/>
      <c r="DR16" s="50" t="n"/>
      <c r="DS16" s="50" t="n"/>
      <c r="DT16" s="50" t="n"/>
      <c r="DU16" s="50" t="n"/>
      <c r="DV16" s="50" t="n"/>
      <c r="DW16" s="50" t="n"/>
      <c r="DX16" s="50" t="n"/>
      <c r="DY16" s="50" t="n"/>
      <c r="DZ16" s="50" t="n"/>
      <c r="EA16" s="50" t="n"/>
      <c r="EB16" s="50" t="n"/>
      <c r="EC16" s="50" t="n"/>
      <c r="ED16" s="50" t="n"/>
      <c r="EE16" s="50" t="n"/>
      <c r="EF16" s="50" t="n"/>
      <c r="EG16" s="50" t="n"/>
      <c r="EH16" s="50" t="n"/>
      <c r="EI16" s="50" t="n"/>
      <c r="EJ16" s="50" t="n"/>
      <c r="EK16" s="50" t="n"/>
      <c r="EL16" s="50" t="n"/>
      <c r="EM16" s="50" t="n"/>
      <c r="EN16" s="50" t="n"/>
      <c r="EO16" s="50" t="n"/>
      <c r="EP16" s="50" t="n"/>
      <c r="EQ16" s="50" t="n"/>
      <c r="ER16" s="50" t="n"/>
      <c r="ES16" s="50" t="n"/>
      <c r="ET16" s="50" t="n"/>
      <c r="EU16" s="50" t="n"/>
      <c r="EV16" s="50" t="n"/>
      <c r="EW16" s="50" t="n"/>
      <c r="EX16" s="50" t="n"/>
      <c r="EY16" s="50" t="n"/>
      <c r="EZ16" s="50" t="n"/>
      <c r="FA16" s="50" t="n"/>
      <c r="FB16" s="50" t="n"/>
      <c r="FC16" s="50" t="n"/>
      <c r="FD16" s="50" t="n"/>
      <c r="FE16" s="50" t="n"/>
      <c r="FF16" s="50" t="n"/>
      <c r="FG16" s="50" t="n"/>
      <c r="FH16" s="50" t="n"/>
      <c r="FI16" s="50" t="n"/>
      <c r="FJ16" s="50" t="n"/>
      <c r="FK16" s="50" t="n"/>
      <c r="FL16" s="50" t="n"/>
      <c r="FM16" s="50" t="n"/>
      <c r="FN16" s="50" t="n"/>
      <c r="FO16" s="50" t="n"/>
      <c r="FP16" s="50" t="n"/>
      <c r="FQ16" s="50" t="n"/>
      <c r="FR16" s="50" t="n"/>
      <c r="FS16" s="50" t="n"/>
      <c r="FT16" s="50" t="n"/>
      <c r="FU16" s="50" t="n"/>
      <c r="FV16" s="50" t="n"/>
      <c r="FW16" s="50" t="n"/>
      <c r="FX16" s="50" t="n"/>
      <c r="FY16" s="50" t="n"/>
      <c r="FZ16" s="50" t="n"/>
      <c r="GA16" s="50" t="n"/>
      <c r="GB16" s="50" t="n"/>
      <c r="GC16" s="50" t="n"/>
      <c r="GD16" s="50" t="n"/>
      <c r="GE16" s="50" t="n"/>
      <c r="GF16" s="50" t="n"/>
      <c r="GG16" s="50" t="n"/>
      <c r="GH16" s="50" t="n"/>
      <c r="GI16" s="50" t="n"/>
      <c r="GJ16" s="50" t="n"/>
      <c r="GK16" s="50" t="n"/>
      <c r="GL16" s="50" t="n"/>
      <c r="GM16" s="50" t="n"/>
      <c r="GN16" s="50" t="n"/>
      <c r="GO16" s="50" t="n"/>
      <c r="GP16" s="50" t="n"/>
      <c r="GQ16" s="50" t="n"/>
      <c r="GR16" s="50" t="n"/>
      <c r="GS16" s="50" t="n"/>
      <c r="GT16" s="50" t="n"/>
      <c r="GU16" s="50" t="n"/>
      <c r="GV16" s="50" t="n"/>
      <c r="GW16" s="50" t="n"/>
      <c r="GX16" s="50" t="n"/>
      <c r="GY16" s="50" t="n"/>
      <c r="GZ16" s="50" t="n"/>
      <c r="HA16" s="50" t="n"/>
      <c r="HB16" s="50" t="n"/>
      <c r="HC16" s="50" t="n"/>
      <c r="HD16" s="50" t="n"/>
      <c r="HE16" s="50" t="n"/>
      <c r="HF16" s="50" t="n"/>
      <c r="HG16" s="50" t="n"/>
      <c r="HH16" s="50" t="n"/>
      <c r="HI16" s="50" t="n"/>
      <c r="HJ16" s="50" t="n"/>
      <c r="HK16" s="50" t="n"/>
      <c r="HL16" s="50" t="n"/>
      <c r="HM16" s="50" t="n"/>
      <c r="HN16" s="50" t="n"/>
      <c r="HO16" s="50" t="n"/>
      <c r="HP16" s="50" t="n"/>
      <c r="HQ16" s="50" t="n"/>
      <c r="HR16" s="50" t="n"/>
      <c r="HS16" s="50" t="n"/>
      <c r="HT16" s="50" t="n"/>
    </row>
    <row r="17" ht="37" customFormat="1" customHeight="1" s="59">
      <c r="A17" s="16" t="n"/>
      <c r="B17" s="16" t="n"/>
      <c r="C17" s="25" t="n"/>
      <c r="D17" s="42" t="n"/>
      <c r="E17" s="88" t="n"/>
      <c r="F17" s="16" t="n"/>
      <c r="G17" s="16" t="n"/>
      <c r="H17" s="16" t="n"/>
      <c r="I17" s="16" t="n"/>
      <c r="J17" s="16" t="n"/>
      <c r="K17" s="18" t="n"/>
      <c r="L17" s="18" t="n"/>
      <c r="M17" s="18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28" t="n"/>
      <c r="AC17" s="16" t="n"/>
      <c r="AD17" s="16" t="n"/>
    </row>
    <row r="18" ht="37" customFormat="1" customHeight="1" s="59">
      <c r="A18" s="60" t="n"/>
      <c r="B18" s="61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61" t="n"/>
      <c r="L18" s="61" t="n"/>
      <c r="M18" s="61" t="n"/>
      <c r="N18" s="61" t="n"/>
      <c r="O18" s="61" t="n"/>
      <c r="P18" s="61" t="n"/>
      <c r="Q18" s="61" t="n"/>
      <c r="R18" s="62" t="n"/>
      <c r="S18" s="62" t="n"/>
      <c r="T18" s="62" t="n"/>
      <c r="U18" s="62" t="n"/>
      <c r="V18" s="62" t="n"/>
      <c r="W18" s="62" t="n"/>
      <c r="X18" s="62" t="n"/>
      <c r="Y18" s="61" t="inlineStr">
        <is>
          <t>CÔNG TY TNHH THƯƠNG MẠI VÀ DỊCH VỤ 5P VIỆT NAM</t>
        </is>
      </c>
      <c r="Z18" s="63" t="n"/>
      <c r="AA18" s="63" t="n"/>
      <c r="AB18" s="63" t="n"/>
      <c r="AC18" s="55" t="n"/>
      <c r="AD18" s="55" t="n"/>
      <c r="AE18" s="50" t="n"/>
      <c r="AF18" s="50" t="n"/>
      <c r="AG18" s="50" t="n"/>
      <c r="AH18" s="50" t="n"/>
      <c r="AI18" s="50" t="n"/>
      <c r="AJ18" s="50" t="n"/>
      <c r="AK18" s="50" t="n"/>
      <c r="AL18" s="50" t="n"/>
      <c r="AM18" s="50" t="n"/>
      <c r="AN18" s="50" t="n"/>
      <c r="AO18" s="50" t="n"/>
      <c r="AP18" s="50" t="n"/>
      <c r="AQ18" s="50" t="n"/>
      <c r="AR18" s="50" t="n"/>
      <c r="AS18" s="50" t="n"/>
      <c r="AT18" s="50" t="n"/>
      <c r="AU18" s="50" t="n"/>
      <c r="AV18" s="50" t="n"/>
      <c r="AW18" s="50" t="n"/>
      <c r="AX18" s="50" t="n"/>
      <c r="AY18" s="50" t="n"/>
      <c r="AZ18" s="50" t="n"/>
      <c r="BA18" s="50" t="n"/>
      <c r="BB18" s="50" t="n"/>
      <c r="BC18" s="50" t="n"/>
      <c r="BD18" s="50" t="n"/>
      <c r="BE18" s="50" t="n"/>
      <c r="BF18" s="50" t="n"/>
      <c r="BG18" s="50" t="n"/>
      <c r="BH18" s="50" t="n"/>
      <c r="BI18" s="50" t="n"/>
      <c r="BJ18" s="50" t="n"/>
      <c r="BK18" s="50" t="n"/>
      <c r="BL18" s="50" t="n"/>
      <c r="BM18" s="50" t="n"/>
      <c r="BN18" s="50" t="n"/>
      <c r="BO18" s="50" t="n"/>
      <c r="BP18" s="50" t="n"/>
      <c r="BQ18" s="50" t="n"/>
      <c r="BR18" s="50" t="n"/>
      <c r="BS18" s="50" t="n"/>
      <c r="BT18" s="50" t="n"/>
      <c r="BU18" s="50" t="n"/>
      <c r="BV18" s="50" t="n"/>
      <c r="BW18" s="50" t="n"/>
      <c r="BX18" s="50" t="n"/>
      <c r="BY18" s="50" t="n"/>
      <c r="BZ18" s="50" t="n"/>
      <c r="CA18" s="50" t="n"/>
      <c r="CB18" s="50" t="n"/>
      <c r="CC18" s="50" t="n"/>
      <c r="CD18" s="50" t="n"/>
      <c r="CE18" s="50" t="n"/>
      <c r="CF18" s="50" t="n"/>
      <c r="CG18" s="50" t="n"/>
      <c r="CH18" s="50" t="n"/>
      <c r="CI18" s="50" t="n"/>
      <c r="CJ18" s="50" t="n"/>
      <c r="CK18" s="50" t="n"/>
      <c r="CL18" s="50" t="n"/>
      <c r="CM18" s="50" t="n"/>
      <c r="CN18" s="50" t="n"/>
      <c r="CO18" s="50" t="n"/>
      <c r="CP18" s="50" t="n"/>
      <c r="CQ18" s="50" t="n"/>
      <c r="CR18" s="50" t="n"/>
      <c r="CS18" s="50" t="n"/>
      <c r="CT18" s="50" t="n"/>
      <c r="CU18" s="50" t="n"/>
      <c r="CV18" s="50" t="n"/>
      <c r="CW18" s="50" t="n"/>
      <c r="CX18" s="50" t="n"/>
      <c r="CY18" s="50" t="n"/>
      <c r="CZ18" s="50" t="n"/>
      <c r="DA18" s="50" t="n"/>
      <c r="DB18" s="50" t="n"/>
      <c r="DC18" s="50" t="n"/>
      <c r="DD18" s="50" t="n"/>
      <c r="DE18" s="50" t="n"/>
      <c r="DF18" s="50" t="n"/>
      <c r="DG18" s="50" t="n"/>
      <c r="DH18" s="50" t="n"/>
      <c r="DI18" s="50" t="n"/>
      <c r="DJ18" s="50" t="n"/>
      <c r="DK18" s="50" t="n"/>
      <c r="DL18" s="50" t="n"/>
      <c r="DM18" s="50" t="n"/>
      <c r="DN18" s="50" t="n"/>
      <c r="DO18" s="50" t="n"/>
      <c r="DP18" s="50" t="n"/>
      <c r="DQ18" s="50" t="n"/>
      <c r="DR18" s="50" t="n"/>
      <c r="DS18" s="50" t="n"/>
      <c r="DT18" s="50" t="n"/>
      <c r="DU18" s="50" t="n"/>
      <c r="DV18" s="50" t="n"/>
      <c r="DW18" s="50" t="n"/>
      <c r="DX18" s="50" t="n"/>
      <c r="DY18" s="50" t="n"/>
      <c r="DZ18" s="50" t="n"/>
      <c r="EA18" s="50" t="n"/>
      <c r="EB18" s="50" t="n"/>
      <c r="EC18" s="50" t="n"/>
      <c r="ED18" s="50" t="n"/>
      <c r="EE18" s="50" t="n"/>
      <c r="EF18" s="50" t="n"/>
      <c r="EG18" s="50" t="n"/>
      <c r="EH18" s="50" t="n"/>
      <c r="EI18" s="50" t="n"/>
      <c r="EJ18" s="50" t="n"/>
      <c r="EK18" s="50" t="n"/>
      <c r="EL18" s="50" t="n"/>
      <c r="EM18" s="50" t="n"/>
      <c r="EN18" s="50" t="n"/>
      <c r="EO18" s="50" t="n"/>
      <c r="EP18" s="50" t="n"/>
      <c r="EQ18" s="50" t="n"/>
      <c r="ER18" s="50" t="n"/>
      <c r="ES18" s="50" t="n"/>
      <c r="ET18" s="50" t="n"/>
      <c r="EU18" s="50" t="n"/>
      <c r="EV18" s="50" t="n"/>
      <c r="EW18" s="50" t="n"/>
      <c r="EX18" s="50" t="n"/>
      <c r="EY18" s="50" t="n"/>
      <c r="EZ18" s="50" t="n"/>
      <c r="FA18" s="50" t="n"/>
      <c r="FB18" s="50" t="n"/>
      <c r="FC18" s="50" t="n"/>
      <c r="FD18" s="50" t="n"/>
      <c r="FE18" s="50" t="n"/>
      <c r="FF18" s="50" t="n"/>
      <c r="FG18" s="50" t="n"/>
      <c r="FH18" s="50" t="n"/>
      <c r="FI18" s="50" t="n"/>
      <c r="FJ18" s="50" t="n"/>
      <c r="FK18" s="50" t="n"/>
      <c r="FL18" s="50" t="n"/>
      <c r="FM18" s="50" t="n"/>
      <c r="FN18" s="50" t="n"/>
      <c r="FO18" s="50" t="n"/>
      <c r="FP18" s="50" t="n"/>
      <c r="FQ18" s="50" t="n"/>
      <c r="FR18" s="50" t="n"/>
      <c r="FS18" s="50" t="n"/>
      <c r="FT18" s="50" t="n"/>
      <c r="FU18" s="50" t="n"/>
      <c r="FV18" s="50" t="n"/>
      <c r="FW18" s="50" t="n"/>
      <c r="FX18" s="50" t="n"/>
      <c r="FY18" s="50" t="n"/>
      <c r="FZ18" s="50" t="n"/>
      <c r="GA18" s="50" t="n"/>
      <c r="GB18" s="50" t="n"/>
      <c r="GC18" s="50" t="n"/>
      <c r="GD18" s="50" t="n"/>
      <c r="GE18" s="50" t="n"/>
      <c r="GF18" s="50" t="n"/>
      <c r="GG18" s="50" t="n"/>
      <c r="GH18" s="50" t="n"/>
      <c r="GI18" s="50" t="n"/>
      <c r="GJ18" s="50" t="n"/>
      <c r="GK18" s="50" t="n"/>
      <c r="GL18" s="50" t="n"/>
      <c r="GM18" s="50" t="n"/>
      <c r="GN18" s="50" t="n"/>
      <c r="GO18" s="50" t="n"/>
      <c r="GP18" s="50" t="n"/>
      <c r="GQ18" s="50" t="n"/>
      <c r="GR18" s="50" t="n"/>
      <c r="GS18" s="50" t="n"/>
      <c r="GT18" s="50" t="n"/>
      <c r="GU18" s="50" t="n"/>
      <c r="GV18" s="50" t="n"/>
      <c r="GW18" s="50" t="n"/>
      <c r="GX18" s="50" t="n"/>
      <c r="GY18" s="50" t="n"/>
      <c r="GZ18" s="50" t="n"/>
      <c r="HA18" s="50" t="n"/>
      <c r="HB18" s="50" t="n"/>
      <c r="HC18" s="50" t="n"/>
      <c r="HD18" s="50" t="n"/>
      <c r="HE18" s="50" t="n"/>
      <c r="HF18" s="50" t="n"/>
      <c r="HG18" s="50" t="n"/>
      <c r="HH18" s="50" t="n"/>
      <c r="HI18" s="50" t="n"/>
      <c r="HJ18" s="50" t="n"/>
      <c r="HK18" s="50" t="n"/>
      <c r="HL18" s="50" t="n"/>
      <c r="HM18" s="50" t="n"/>
      <c r="HN18" s="50" t="n"/>
      <c r="HO18" s="50" t="n"/>
      <c r="HP18" s="50" t="n"/>
      <c r="HQ18" s="50" t="n"/>
      <c r="HR18" s="50" t="n"/>
      <c r="HS18" s="50" t="n"/>
      <c r="HT18" s="50" t="n"/>
    </row>
    <row r="19" ht="37" customFormat="1" customHeight="1" s="59">
      <c r="A19" s="29" t="n"/>
      <c r="B19" s="31" t="n"/>
      <c r="C19" s="32" t="n"/>
      <c r="D19" s="32" t="n"/>
      <c r="E19" s="39" t="n"/>
      <c r="F19" s="33" t="n"/>
      <c r="G19" s="33" t="n"/>
      <c r="H19" s="33" t="n"/>
      <c r="I19" s="33" t="n"/>
      <c r="J19" s="33" t="n"/>
      <c r="K19" s="34" t="n"/>
      <c r="L19" s="45" t="n"/>
      <c r="M19" s="34" t="n"/>
      <c r="N19" s="31" t="n"/>
      <c r="O19" s="31" t="n"/>
      <c r="P19" s="31" t="n"/>
      <c r="Q19" s="31" t="n"/>
      <c r="R19" s="31" t="n"/>
      <c r="S19" s="31" t="n"/>
      <c r="T19" s="35" t="n"/>
      <c r="U19" s="31" t="n"/>
      <c r="V19" s="31" t="n"/>
      <c r="W19" s="31" t="n"/>
      <c r="X19" s="31" t="n"/>
      <c r="Y19" s="31" t="n"/>
      <c r="Z19" s="31" t="n"/>
      <c r="AA19" s="31" t="n"/>
      <c r="AB19" s="31" t="n"/>
      <c r="AC19" s="31" t="n"/>
      <c r="AD19" s="36" t="n"/>
    </row>
    <row r="20" ht="37" customFormat="1" customHeight="1" s="59">
      <c r="A20" s="29" t="n"/>
      <c r="C20" s="37" t="n"/>
      <c r="D20" s="37" t="n"/>
      <c r="E20" s="30" t="n"/>
      <c r="H20" s="33" t="n"/>
      <c r="I20" s="33" t="n"/>
      <c r="J20" s="33" t="n"/>
      <c r="K20" s="38" t="n"/>
      <c r="L20" s="38" t="n"/>
      <c r="M20" s="44" t="n"/>
      <c r="N20" s="33" t="n"/>
      <c r="O20" s="33" t="n"/>
      <c r="P20" s="33" t="n"/>
      <c r="Q20" s="33" t="n"/>
      <c r="R20" s="33" t="n"/>
      <c r="S20" s="33" t="n"/>
      <c r="T20" s="158" t="n"/>
      <c r="U20" s="33" t="n"/>
      <c r="AA20" s="35" t="n"/>
      <c r="AB20" s="35" t="n"/>
      <c r="AD20" s="36" t="n"/>
      <c r="AE20" s="55" t="n"/>
    </row>
    <row r="21" ht="37" customFormat="1" customHeight="1" s="59">
      <c r="C21" s="37" t="n"/>
      <c r="D21" s="37" t="n"/>
      <c r="E21" s="30" t="n"/>
      <c r="K21" s="38" t="n"/>
      <c r="L21" s="38" t="n"/>
      <c r="M21" s="38" t="n"/>
      <c r="N21" s="33" t="n"/>
      <c r="O21" s="33" t="n"/>
      <c r="P21" s="33" t="n"/>
      <c r="Q21" s="33" t="n"/>
      <c r="R21" s="33" t="n"/>
      <c r="S21" s="33" t="n"/>
      <c r="T21" s="33" t="n"/>
      <c r="U21" s="33" t="n"/>
      <c r="AA21" s="35" t="n"/>
      <c r="AD21" s="36" t="n"/>
      <c r="AE21" s="36" t="n"/>
    </row>
    <row r="22" ht="37" customFormat="1" customHeight="1" s="59">
      <c r="C22" s="32" t="n"/>
      <c r="D22" s="32" t="n"/>
      <c r="E22" s="39" t="n"/>
      <c r="F22" s="39" t="n"/>
      <c r="G22" s="39" t="n"/>
      <c r="K22" s="38" t="n"/>
      <c r="L22" s="38" t="n"/>
      <c r="M22" s="38" t="n"/>
      <c r="N22" s="33" t="n"/>
      <c r="O22" s="33" t="n"/>
      <c r="P22" s="33" t="n"/>
      <c r="Q22" s="33" t="n"/>
      <c r="R22" s="33" t="n"/>
      <c r="S22" s="33" t="n"/>
      <c r="T22" s="33" t="n"/>
      <c r="U22" s="33" t="n"/>
      <c r="AD22" s="36" t="n"/>
      <c r="AE22" s="36" t="n"/>
    </row>
    <row r="23" ht="37" customFormat="1" customHeight="1" s="59">
      <c r="B23" s="33" t="n"/>
      <c r="C23" s="33" t="n"/>
      <c r="D23" s="33" t="n"/>
      <c r="E23" s="39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T23" s="40" t="n"/>
      <c r="W23" s="30" t="n"/>
      <c r="X23" s="33" t="n"/>
      <c r="Y23" s="33" t="n"/>
      <c r="Z23" s="33" t="n"/>
      <c r="AD23" s="36" t="n"/>
      <c r="AE23" s="36" t="n"/>
    </row>
    <row r="24" ht="49.5" customFormat="1" customHeight="1" s="59">
      <c r="A24" s="19" t="n"/>
      <c r="B24" s="16" t="n"/>
      <c r="C24" s="25" t="n"/>
      <c r="D24" s="25" t="n"/>
      <c r="E24" s="42" t="n"/>
      <c r="F24" s="16" t="n"/>
      <c r="G24" s="16" t="n"/>
      <c r="H24" s="16" t="n"/>
      <c r="I24" s="16" t="n"/>
      <c r="J24" s="16" t="n"/>
      <c r="K24" s="18" t="n"/>
      <c r="L24" s="18" t="n"/>
      <c r="M24" s="18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20" t="n"/>
      <c r="AE24" s="36" t="n"/>
    </row>
    <row r="25" ht="37" customFormat="1" customHeight="1" s="59">
      <c r="A25" s="19" t="n"/>
      <c r="B25" s="16" t="n"/>
      <c r="C25" s="16" t="n"/>
      <c r="D25" s="16" t="n"/>
      <c r="E25" s="42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41" t="n"/>
    </row>
    <row r="26" ht="37" customFormat="1" customHeight="1" s="59">
      <c r="A26" s="19" t="n"/>
      <c r="C26" s="16" t="n"/>
      <c r="D26" s="16" t="n"/>
      <c r="E26" s="42" t="n"/>
      <c r="K26" s="16" t="n"/>
      <c r="L26" s="16" t="n"/>
      <c r="M26" s="16" t="n"/>
      <c r="AB26" s="16" t="n"/>
      <c r="AE26" s="20" t="n"/>
    </row>
    <row r="27" ht="37" customFormat="1" customHeight="1" s="59">
      <c r="A27" s="19" t="n"/>
      <c r="C27" s="16" t="n"/>
      <c r="D27" s="16" t="n"/>
      <c r="E27" s="42" t="n"/>
      <c r="K27" s="16" t="n"/>
      <c r="L27" s="16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</row>
    <row r="28" ht="37" customFormat="1" customHeight="1" s="59" thickBot="1">
      <c r="A28" s="16" t="n"/>
      <c r="C28" s="16" t="n"/>
      <c r="D28" s="16" t="n"/>
      <c r="E28" s="42" t="n"/>
      <c r="K28" s="16" t="n"/>
      <c r="L28" s="16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</row>
    <row r="29" ht="37" customFormat="1" customHeight="1" s="59">
      <c r="A29" s="88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 ht="37" customFormat="1" customHeight="1" s="59">
      <c r="A30" s="16" t="n"/>
      <c r="B30" s="16" t="n"/>
      <c r="C30" s="16" t="n"/>
      <c r="D30" s="42" t="n"/>
      <c r="E30" s="88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 ht="32" customFormat="1" customHeight="1" s="51" thickBot="1">
      <c r="C31" s="16" t="n"/>
      <c r="K31" s="16" t="n"/>
      <c r="L31" s="16" t="n"/>
      <c r="M31" s="16" t="n"/>
      <c r="AB31" s="16" t="n"/>
    </row>
    <row r="32" ht="32" customFormat="1" customHeight="1" s="23">
      <c r="C32" s="16" t="n"/>
      <c r="K32" s="16" t="n"/>
      <c r="L32" s="16" t="n"/>
      <c r="M32" s="16" t="n"/>
      <c r="AB32" s="16" t="n"/>
    </row>
    <row r="33" ht="74.5" customFormat="1" customHeight="1" s="51">
      <c r="C33" s="16" t="n"/>
      <c r="K33" s="16" t="n"/>
      <c r="L33" s="16" t="n"/>
      <c r="M33" s="16" t="n"/>
      <c r="AB33" s="16" t="n"/>
    </row>
    <row r="34" ht="85" customHeight="1">
      <c r="D34" s="42" t="n"/>
      <c r="E34" s="88" t="n"/>
    </row>
    <row r="35" ht="52.5" customFormat="1" customHeight="1" s="31">
      <c r="D35" s="42" t="n"/>
      <c r="E35" s="88" t="n"/>
    </row>
    <row r="36" ht="15" customFormat="1" customHeight="1" s="31">
      <c r="D36" s="42" t="n"/>
      <c r="E36" s="88" t="n"/>
    </row>
    <row r="37" ht="15" customFormat="1" customHeight="1" s="31">
      <c r="D37" s="42" t="n"/>
      <c r="E37" s="88" t="n"/>
    </row>
    <row r="38" ht="15" customFormat="1" customHeight="1" s="31">
      <c r="D38" s="42" t="n"/>
      <c r="E38" s="88" t="n"/>
    </row>
    <row r="39" ht="84.5" customFormat="1" customHeight="1" s="31">
      <c r="D39" s="42" t="n"/>
      <c r="E39" s="88" t="n"/>
    </row>
    <row r="40" customFormat="1" s="31">
      <c r="D40" s="42" t="n"/>
      <c r="E40" s="88" t="n"/>
    </row>
    <row r="41">
      <c r="D41" s="42" t="n"/>
      <c r="E41" s="88" t="n"/>
    </row>
    <row r="42">
      <c r="D42" s="42" t="n"/>
      <c r="E42" s="88" t="n"/>
    </row>
    <row r="43">
      <c r="D43" s="42" t="n"/>
      <c r="E43" s="88" t="n"/>
    </row>
    <row r="44" customFormat="1" s="18">
      <c r="D44" s="42" t="n"/>
      <c r="E44" s="88" t="n"/>
    </row>
    <row r="45" customFormat="1" s="18">
      <c r="D45" s="42" t="n"/>
      <c r="E45" s="88" t="n"/>
    </row>
    <row r="46">
      <c r="D46" s="42" t="n"/>
      <c r="E46" s="88" t="n"/>
    </row>
    <row r="47">
      <c r="D47" s="42" t="n"/>
      <c r="E47" s="88" t="n"/>
    </row>
    <row r="48">
      <c r="D48" s="42" t="n"/>
      <c r="E48" s="88" t="n"/>
    </row>
    <row r="49" customFormat="1" s="16">
      <c r="D49" s="42" t="n"/>
      <c r="E49" s="88" t="n"/>
    </row>
    <row r="50" customFormat="1" s="16">
      <c r="D50" s="42" t="n"/>
      <c r="E50" s="88" t="n"/>
    </row>
    <row r="51" customFormat="1" s="16">
      <c r="D51" s="42" t="n"/>
      <c r="E51" s="88" t="n"/>
    </row>
    <row r="52" customFormat="1" s="16">
      <c r="D52" s="42" t="n"/>
      <c r="E52" s="88" t="n"/>
    </row>
    <row r="53" customFormat="1" s="16">
      <c r="D53" s="42" t="n"/>
      <c r="E53" s="88" t="n"/>
    </row>
    <row r="54" customFormat="1" s="16">
      <c r="D54" s="42" t="n"/>
      <c r="E54" s="88" t="n"/>
    </row>
    <row r="55" customFormat="1" s="16">
      <c r="D55" s="42" t="n"/>
      <c r="E55" s="88" t="n"/>
    </row>
    <row r="56" customFormat="1" s="16">
      <c r="D56" s="42" t="n"/>
      <c r="E56" s="88" t="n"/>
    </row>
    <row r="57" customFormat="1" s="16">
      <c r="D57" s="42" t="n"/>
      <c r="E57" s="88" t="n"/>
    </row>
    <row r="58" customFormat="1" s="16">
      <c r="D58" s="42" t="n"/>
      <c r="E58" s="88" t="n"/>
    </row>
    <row r="59" customFormat="1" s="16">
      <c r="D59" s="42" t="n"/>
      <c r="E59" s="88" t="n"/>
    </row>
    <row r="60" customFormat="1" s="16">
      <c r="D60" s="42" t="n"/>
      <c r="E60" s="88" t="n"/>
    </row>
    <row r="61" customFormat="1" s="16">
      <c r="D61" s="42" t="n"/>
      <c r="E61" s="88" t="n"/>
    </row>
    <row r="62" customFormat="1" s="16">
      <c r="D62" s="42" t="n"/>
      <c r="E62" s="88" t="n"/>
    </row>
    <row r="63" customFormat="1" s="16">
      <c r="D63" s="42" t="n"/>
      <c r="E63" s="88" t="n"/>
    </row>
    <row r="64" customFormat="1" s="16">
      <c r="D64" s="42" t="n"/>
      <c r="E64" s="88" t="n"/>
    </row>
    <row r="65" customFormat="1" s="16">
      <c r="D65" s="42" t="n"/>
      <c r="E65" s="88" t="n"/>
    </row>
    <row r="66" customFormat="1" s="16">
      <c r="D66" s="42" t="n"/>
      <c r="E66" s="88" t="n"/>
    </row>
    <row r="67" customFormat="1" s="16">
      <c r="D67" s="42" t="n"/>
      <c r="E67" s="88" t="n"/>
    </row>
    <row r="68" customFormat="1" s="16">
      <c r="D68" s="42" t="n"/>
      <c r="E68" s="88" t="n"/>
    </row>
    <row r="69" customFormat="1" s="16">
      <c r="D69" s="42" t="n"/>
      <c r="E69" s="88" t="n"/>
    </row>
    <row r="70" customFormat="1" s="16">
      <c r="D70" s="42" t="n"/>
      <c r="E70" s="88" t="n"/>
    </row>
    <row r="71" customFormat="1" s="16">
      <c r="D71" s="42" t="n"/>
      <c r="E71" s="88" t="n"/>
    </row>
    <row r="72" customFormat="1" s="16">
      <c r="D72" s="42" t="n"/>
      <c r="E72" s="88" t="n"/>
    </row>
    <row r="73" customFormat="1" s="16">
      <c r="D73" s="42" t="n"/>
      <c r="E73" s="88" t="n"/>
    </row>
    <row r="74" customFormat="1" s="16">
      <c r="D74" s="42" t="n"/>
      <c r="E74" s="88" t="n"/>
    </row>
    <row r="75" customFormat="1" s="16">
      <c r="D75" s="42" t="n"/>
      <c r="E75" s="88" t="n"/>
    </row>
    <row r="76" customFormat="1" s="16">
      <c r="D76" s="42" t="n"/>
      <c r="E76" s="88" t="n"/>
    </row>
    <row r="77" customFormat="1" s="16">
      <c r="D77" s="42" t="n"/>
      <c r="E77" s="88" t="n"/>
    </row>
    <row r="78" customFormat="1" s="16">
      <c r="D78" s="42" t="n"/>
      <c r="E78" s="88" t="n"/>
    </row>
    <row r="79" customFormat="1" s="16">
      <c r="D79" s="42" t="n"/>
      <c r="E79" s="88" t="n"/>
    </row>
    <row r="80" customFormat="1" s="16">
      <c r="D80" s="42" t="n"/>
      <c r="E80" s="88" t="n"/>
    </row>
    <row r="81" customFormat="1" s="16">
      <c r="D81" s="42" t="n"/>
      <c r="E81" s="88" t="n"/>
    </row>
    <row r="82" customFormat="1" s="16">
      <c r="D82" s="42" t="n"/>
      <c r="E82" s="88" t="n"/>
    </row>
    <row r="83" customFormat="1" s="16">
      <c r="D83" s="42" t="n"/>
      <c r="E83" s="88" t="n"/>
    </row>
    <row r="84" customFormat="1" s="16">
      <c r="D84" s="42" t="n"/>
      <c r="E84" s="88" t="n"/>
    </row>
    <row r="85" customFormat="1" s="16">
      <c r="D85" s="42" t="n"/>
      <c r="E85" s="88" t="n"/>
    </row>
    <row r="86" customFormat="1" s="16">
      <c r="D86" s="42" t="n"/>
      <c r="E86" s="88" t="n"/>
    </row>
    <row r="87" customFormat="1" s="16">
      <c r="D87" s="42" t="n"/>
      <c r="E87" s="88" t="n"/>
    </row>
    <row r="88" customFormat="1" s="16">
      <c r="D88" s="42" t="n"/>
      <c r="E88" s="88" t="n"/>
    </row>
    <row r="89" customFormat="1" s="16">
      <c r="D89" s="42" t="n"/>
      <c r="E89" s="88" t="n"/>
    </row>
    <row r="90" customFormat="1" s="16">
      <c r="D90" s="42" t="n"/>
      <c r="E90" s="88" t="n"/>
    </row>
    <row r="91" customFormat="1" s="16">
      <c r="D91" s="42" t="n"/>
      <c r="E91" s="88" t="n"/>
    </row>
    <row r="92" customFormat="1" s="16">
      <c r="D92" s="42" t="n"/>
      <c r="E92" s="88" t="n"/>
    </row>
    <row r="93" customFormat="1" s="16">
      <c r="D93" s="42" t="n"/>
      <c r="E93" s="88" t="n"/>
    </row>
    <row r="94" customFormat="1" s="16">
      <c r="D94" s="42" t="n"/>
      <c r="E94" s="88" t="n"/>
    </row>
    <row r="95" customFormat="1" s="16">
      <c r="D95" s="42" t="n"/>
      <c r="E95" s="88" t="n"/>
    </row>
    <row r="96" customFormat="1" s="16">
      <c r="D96" s="42" t="n"/>
      <c r="E96" s="88" t="n"/>
    </row>
    <row r="97" customFormat="1" s="16">
      <c r="D97" s="42" t="n"/>
      <c r="E97" s="88" t="n"/>
    </row>
    <row r="98" customFormat="1" s="16">
      <c r="D98" s="42" t="n"/>
      <c r="E98" s="88" t="n"/>
    </row>
    <row r="99" customFormat="1" s="16">
      <c r="D99" s="42" t="n"/>
      <c r="E99" s="88" t="n"/>
    </row>
    <row r="100" customFormat="1" s="16">
      <c r="D100" s="42" t="n"/>
      <c r="E100" s="88" t="n"/>
    </row>
    <row r="101" customFormat="1" s="16">
      <c r="D101" s="42" t="n"/>
      <c r="E101" s="88" t="n"/>
    </row>
    <row r="102" customFormat="1" s="16">
      <c r="D102" s="42" t="n"/>
      <c r="E102" s="88" t="n"/>
    </row>
    <row r="103" customFormat="1" s="16">
      <c r="D103" s="42" t="n"/>
      <c r="E103" s="88" t="n"/>
    </row>
    <row r="104" customFormat="1" s="16">
      <c r="D104" s="42" t="n"/>
      <c r="E104" s="88" t="n"/>
    </row>
    <row r="105" customFormat="1" s="16">
      <c r="D105" s="42" t="n"/>
      <c r="E105" s="88" t="n"/>
    </row>
    <row r="106" customFormat="1" s="16">
      <c r="D106" s="42" t="n"/>
      <c r="E106" s="88" t="n"/>
    </row>
    <row r="107" customFormat="1" s="16">
      <c r="D107" s="42" t="n"/>
      <c r="E107" s="88" t="n"/>
    </row>
    <row r="108" customFormat="1" s="16">
      <c r="D108" s="42" t="n"/>
      <c r="E108" s="88" t="n"/>
    </row>
    <row r="109" customFormat="1" s="16">
      <c r="D109" s="42" t="n"/>
      <c r="E109" s="88" t="n"/>
    </row>
    <row r="110" customFormat="1" s="16">
      <c r="D110" s="42" t="n"/>
      <c r="E110" s="88" t="n"/>
    </row>
    <row r="111" customFormat="1" s="16">
      <c r="D111" s="42" t="n"/>
      <c r="E111" s="88" t="n"/>
    </row>
    <row r="112" customFormat="1" s="16">
      <c r="D112" s="42" t="n"/>
      <c r="E112" s="88" t="n"/>
    </row>
    <row r="113" customFormat="1" s="16">
      <c r="D113" s="42" t="n"/>
      <c r="E113" s="88" t="n"/>
    </row>
    <row r="114" customFormat="1" s="16">
      <c r="D114" s="42" t="n"/>
      <c r="E114" s="88" t="n"/>
    </row>
    <row r="115" customFormat="1" s="16">
      <c r="D115" s="42" t="n"/>
      <c r="E115" s="88" t="n"/>
    </row>
    <row r="116" customFormat="1" s="16">
      <c r="D116" s="42" t="n"/>
      <c r="E116" s="88" t="n"/>
    </row>
    <row r="117" customFormat="1" s="16">
      <c r="D117" s="42" t="n"/>
      <c r="E117" s="88" t="n"/>
    </row>
    <row r="118" customFormat="1" s="16">
      <c r="D118" s="42" t="n"/>
      <c r="E118" s="88" t="n"/>
    </row>
    <row r="119" customFormat="1" s="16">
      <c r="D119" s="42" t="n"/>
      <c r="E119" s="88" t="n"/>
    </row>
    <row r="120" customFormat="1" s="16">
      <c r="D120" s="42" t="n"/>
      <c r="E120" s="88" t="n"/>
    </row>
    <row r="121" customFormat="1" s="16">
      <c r="D121" s="42" t="n"/>
      <c r="E121" s="88" t="n"/>
    </row>
    <row r="122" customFormat="1" s="16">
      <c r="D122" s="42" t="n"/>
      <c r="E122" s="88" t="n"/>
    </row>
    <row r="123" customFormat="1" s="16">
      <c r="D123" s="42" t="n"/>
      <c r="E123" s="88" t="n"/>
    </row>
    <row r="124" customFormat="1" s="16">
      <c r="D124" s="42" t="n"/>
      <c r="E124" s="88" t="n"/>
    </row>
    <row r="125" customFormat="1" s="16">
      <c r="D125" s="42" t="n"/>
      <c r="E125" s="88" t="n"/>
    </row>
    <row r="126" customFormat="1" s="16">
      <c r="D126" s="42" t="n"/>
      <c r="E126" s="88" t="n"/>
    </row>
    <row r="127" customFormat="1" s="16">
      <c r="D127" s="42" t="n"/>
      <c r="E127" s="88" t="n"/>
    </row>
    <row r="128" customFormat="1" s="16">
      <c r="D128" s="42" t="n"/>
      <c r="E128" s="88" t="n"/>
    </row>
    <row r="129" customFormat="1" s="16">
      <c r="D129" s="42" t="n"/>
      <c r="E129" s="88" t="n"/>
    </row>
    <row r="130" customFormat="1" s="16">
      <c r="D130" s="42" t="n"/>
      <c r="E130" s="88" t="n"/>
    </row>
    <row r="131" customFormat="1" s="16">
      <c r="D131" s="42" t="n"/>
      <c r="E131" s="88" t="n"/>
    </row>
    <row r="132" customFormat="1" s="16">
      <c r="D132" s="42" t="n"/>
      <c r="E132" s="88" t="n"/>
    </row>
    <row r="133" customFormat="1" s="16">
      <c r="D133" s="42" t="n"/>
      <c r="E133" s="88" t="n"/>
    </row>
    <row r="134" customFormat="1" s="16">
      <c r="D134" s="42" t="n"/>
      <c r="E134" s="88" t="n"/>
    </row>
    <row r="135" customFormat="1" s="16">
      <c r="D135" s="42" t="n"/>
      <c r="E135" s="88" t="n"/>
    </row>
    <row r="136" customFormat="1" s="16">
      <c r="D136" s="42" t="n"/>
      <c r="E136" s="88" t="n"/>
    </row>
    <row r="137" customFormat="1" s="16">
      <c r="D137" s="42" t="n"/>
      <c r="E137" s="88" t="n"/>
    </row>
    <row r="138" customFormat="1" s="16">
      <c r="D138" s="42" t="n"/>
      <c r="E138" s="88" t="n"/>
    </row>
    <row r="139" customFormat="1" s="16">
      <c r="D139" s="42" t="n"/>
      <c r="E139" s="88" t="n"/>
    </row>
    <row r="140" customFormat="1" s="16">
      <c r="D140" s="42" t="n"/>
      <c r="E140" s="88" t="n"/>
    </row>
    <row r="141" customFormat="1" s="16">
      <c r="D141" s="42" t="n"/>
      <c r="E141" s="88" t="n"/>
    </row>
    <row r="142" customFormat="1" s="16">
      <c r="D142" s="42" t="n"/>
      <c r="E142" s="88" t="n"/>
    </row>
    <row r="143" customFormat="1" s="16">
      <c r="D143" s="42" t="n"/>
      <c r="E143" s="88" t="n"/>
    </row>
    <row r="144" customFormat="1" s="16">
      <c r="D144" s="42" t="n"/>
      <c r="E144" s="88" t="n"/>
    </row>
    <row r="145" customFormat="1" s="16">
      <c r="D145" s="42" t="n"/>
      <c r="E145" s="88" t="n"/>
    </row>
    <row r="146" customFormat="1" s="16">
      <c r="D146" s="42" t="n"/>
      <c r="E146" s="88" t="n"/>
    </row>
    <row r="147" customFormat="1" s="16">
      <c r="D147" s="42" t="n"/>
      <c r="E147" s="88" t="n"/>
    </row>
    <row r="148" customFormat="1" s="16">
      <c r="D148" s="42" t="n"/>
      <c r="E148" s="88" t="n"/>
    </row>
    <row r="149" customFormat="1" s="16">
      <c r="D149" s="42" t="n"/>
      <c r="E149" s="88" t="n"/>
    </row>
    <row r="150" customFormat="1" s="16">
      <c r="D150" s="42" t="n"/>
      <c r="E150" s="88" t="n"/>
    </row>
    <row r="151" customFormat="1" s="16">
      <c r="D151" s="42" t="n"/>
      <c r="E151" s="88" t="n"/>
    </row>
    <row r="152" customFormat="1" s="16">
      <c r="D152" s="42" t="n"/>
      <c r="E152" s="88" t="n"/>
    </row>
    <row r="153" customFormat="1" s="16">
      <c r="D153" s="42" t="n"/>
      <c r="E153" s="88" t="n"/>
    </row>
    <row r="154" customFormat="1" s="16">
      <c r="D154" s="42" t="n"/>
      <c r="E154" s="88" t="n"/>
    </row>
    <row r="155" customFormat="1" s="16">
      <c r="D155" s="42" t="n"/>
      <c r="E155" s="88" t="n"/>
    </row>
    <row r="156" customFormat="1" s="16">
      <c r="D156" s="42" t="n"/>
      <c r="E156" s="88" t="n"/>
    </row>
    <row r="157" customFormat="1" s="16">
      <c r="D157" s="42" t="n"/>
      <c r="E157" s="88" t="n"/>
    </row>
    <row r="158" customFormat="1" s="16">
      <c r="D158" s="42" t="n"/>
      <c r="E158" s="88" t="n"/>
    </row>
    <row r="159" customFormat="1" s="16">
      <c r="D159" s="42" t="n"/>
      <c r="E159" s="88" t="n"/>
    </row>
    <row r="160" customFormat="1" s="16">
      <c r="D160" s="42" t="n"/>
      <c r="E160" s="88" t="n"/>
    </row>
    <row r="161" customFormat="1" s="16">
      <c r="D161" s="42" t="n"/>
      <c r="E161" s="88" t="n"/>
    </row>
    <row r="162" customFormat="1" s="16">
      <c r="D162" s="42" t="n"/>
      <c r="E162" s="88" t="n"/>
    </row>
    <row r="163" customFormat="1" s="16">
      <c r="D163" s="42" t="n"/>
      <c r="E163" s="88" t="n"/>
    </row>
    <row r="164" customFormat="1" s="16">
      <c r="D164" s="42" t="n"/>
      <c r="E164" s="88" t="n"/>
    </row>
    <row r="165" customFormat="1" s="16">
      <c r="D165" s="42" t="n"/>
      <c r="E165" s="88" t="n"/>
    </row>
    <row r="166" customFormat="1" s="16">
      <c r="D166" s="42" t="n"/>
      <c r="E166" s="88" t="n"/>
    </row>
    <row r="167" customFormat="1" s="16">
      <c r="D167" s="42" t="n"/>
      <c r="E167" s="88" t="n"/>
    </row>
    <row r="168" customFormat="1" s="16">
      <c r="D168" s="42" t="n"/>
      <c r="E168" s="88" t="n"/>
    </row>
    <row r="169" customFormat="1" s="16">
      <c r="D169" s="42" t="n"/>
      <c r="E169" s="88" t="n"/>
    </row>
    <row r="170" customFormat="1" s="16">
      <c r="D170" s="42" t="n"/>
      <c r="E170" s="88" t="n"/>
    </row>
    <row r="171" customFormat="1" s="16">
      <c r="D171" s="42" t="n"/>
      <c r="E171" s="88" t="n"/>
    </row>
    <row r="172" customFormat="1" s="16">
      <c r="D172" s="42" t="n"/>
      <c r="E172" s="88" t="n"/>
    </row>
    <row r="173" customFormat="1" s="16">
      <c r="D173" s="42" t="n"/>
      <c r="E173" s="88" t="n"/>
    </row>
    <row r="174" customFormat="1" s="16">
      <c r="D174" s="42" t="n"/>
      <c r="E174" s="88" t="n"/>
    </row>
    <row r="175" customFormat="1" s="16">
      <c r="D175" s="42" t="n"/>
      <c r="E175" s="88" t="n"/>
    </row>
    <row r="176" customFormat="1" s="16">
      <c r="D176" s="42" t="n"/>
      <c r="E176" s="88" t="n"/>
    </row>
    <row r="177" customFormat="1" s="16">
      <c r="D177" s="42" t="n"/>
      <c r="E177" s="88" t="n"/>
    </row>
    <row r="178" customFormat="1" s="16">
      <c r="D178" s="42" t="n"/>
      <c r="E178" s="88" t="n"/>
    </row>
    <row r="179" customFormat="1" s="16">
      <c r="D179" s="42" t="n"/>
      <c r="E179" s="88" t="n"/>
    </row>
    <row r="180" customFormat="1" s="16">
      <c r="D180" s="42" t="n"/>
      <c r="E180" s="88" t="n"/>
    </row>
    <row r="181" customFormat="1" s="16">
      <c r="D181" s="42" t="n"/>
      <c r="E181" s="88" t="n"/>
    </row>
    <row r="182" customFormat="1" s="16">
      <c r="D182" s="42" t="n"/>
      <c r="E182" s="88" t="n"/>
    </row>
    <row r="183" customFormat="1" s="16">
      <c r="D183" s="42" t="n"/>
      <c r="E183" s="88" t="n"/>
    </row>
    <row r="184" customFormat="1" s="16">
      <c r="D184" s="42" t="n"/>
      <c r="E184" s="88" t="n"/>
    </row>
    <row r="185" customFormat="1" s="16">
      <c r="D185" s="42" t="n"/>
      <c r="E185" s="88" t="n"/>
    </row>
    <row r="186" customFormat="1" s="16">
      <c r="D186" s="42" t="n"/>
      <c r="E186" s="88" t="n"/>
    </row>
    <row r="187" customFormat="1" s="16">
      <c r="D187" s="42" t="n"/>
      <c r="E187" s="88" t="n"/>
    </row>
    <row r="188" customFormat="1" s="16">
      <c r="D188" s="42" t="n"/>
      <c r="E188" s="88" t="n"/>
    </row>
    <row r="189" customFormat="1" s="16"/>
    <row r="190" customFormat="1" s="16"/>
    <row r="191" customFormat="1" s="16"/>
    <row r="192" customFormat="1" s="16"/>
    <row r="193" customFormat="1" s="16"/>
    <row r="194" customFormat="1" s="16"/>
    <row r="195" customFormat="1" s="16"/>
    <row r="196" customFormat="1" s="16"/>
    <row r="197" customFormat="1" s="16"/>
    <row r="198" customFormat="1" s="16"/>
    <row r="199" customFormat="1" s="16"/>
    <row r="200" customFormat="1" s="16"/>
    <row r="201" customFormat="1" s="16"/>
    <row r="202" customFormat="1" s="16"/>
    <row r="203" customFormat="1" s="16"/>
  </sheetData>
  <autoFilter ref="A12:II33">
    <filterColumn colId="28" hiddenButton="0" showButton="0"/>
  </autoFilter>
  <mergeCells count="13">
    <mergeCell ref="H11:I11"/>
    <mergeCell ref="K11:V11"/>
    <mergeCell ref="A31:J31"/>
    <mergeCell ref="AA11:AA12"/>
    <mergeCell ref="A44:F44"/>
    <mergeCell ref="A30:J30"/>
    <mergeCell ref="A29:J29"/>
    <mergeCell ref="W11:Z11"/>
    <mergeCell ref="AC11:AD12"/>
    <mergeCell ref="AB11:AB12"/>
    <mergeCell ref="A11:G11"/>
    <mergeCell ref="J11:J12"/>
    <mergeCell ref="A5:AD5"/>
  </mergeCells>
  <conditionalFormatting sqref="B3:B4 B7:B10 B12 B32 B204:B1048576">
    <cfRule type="duplicateValues" priority="217" dxfId="0"/>
  </conditionalFormatting>
  <conditionalFormatting sqref="B33:B39">
    <cfRule type="duplicateValues" priority="39" dxfId="0"/>
  </conditionalFormatting>
  <conditionalFormatting sqref="AC23">
    <cfRule type="duplicateValues" priority="3" dxfId="0"/>
    <cfRule type="duplicateValues" priority="4" dxfId="0"/>
  </conditionalFormatting>
  <conditionalFormatting sqref="AC13:AD22">
    <cfRule type="duplicateValues" priority="643" dxfId="0"/>
    <cfRule type="duplicateValues" priority="644" dxfId="0"/>
  </conditionalFormatting>
  <conditionalFormatting sqref="AC24:AD24">
    <cfRule type="duplicateValues" priority="15" dxfId="0"/>
    <cfRule type="duplicateValues" priority="16" dxfId="0"/>
  </conditionalFormatting>
  <conditionalFormatting sqref="AC25:AD26">
    <cfRule type="duplicateValues" priority="1" dxfId="0"/>
    <cfRule type="duplicateValues" priority="2" dxfId="0"/>
  </conditionalFormatting>
  <conditionalFormatting sqref="AC27:AD27">
    <cfRule type="duplicateValues" priority="17" dxfId="0"/>
    <cfRule type="duplicateValues" priority="18" dxfId="0"/>
  </conditionalFormatting>
  <conditionalFormatting sqref="AC28:AD28">
    <cfRule type="duplicateValues" priority="13" dxfId="0"/>
    <cfRule type="duplicateValues" priority="14" dxfId="0"/>
  </conditionalFormatting>
  <conditionalFormatting sqref="AD23">
    <cfRule type="duplicateValues" priority="5" dxfId="0"/>
    <cfRule type="duplicateValues" priority="6" dxfId="0"/>
  </conditionalFormatting>
  <pageMargins left="0.5" right="0.25" top="0.75" bottom="0.75" header="0.3" footer="0.3"/>
  <pageSetup orientation="landscape" scale="29"/>
  <colBreaks count="1" manualBreakCount="1">
    <brk id="30" min="0" max="1048575" man="1"/>
  </colBreaks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K27"/>
  <sheetViews>
    <sheetView topLeftCell="A10" workbookViewId="0">
      <selection activeCell="B7" sqref="B7:K7"/>
    </sheetView>
  </sheetViews>
  <sheetFormatPr baseColWidth="8" defaultColWidth="8.81640625" defaultRowHeight="12.5"/>
  <cols>
    <col width="20.81640625" customWidth="1" min="2" max="2"/>
    <col width="14.81640625" customWidth="1" min="10" max="10"/>
  </cols>
  <sheetData>
    <row r="3" ht="13" customHeight="1">
      <c r="A3" s="1" t="n"/>
      <c r="B3" s="159" t="inlineStr">
        <is>
          <t>House Bill</t>
        </is>
      </c>
      <c r="C3" s="160" t="inlineStr">
        <is>
          <t>CBM</t>
        </is>
      </c>
      <c r="D3" s="161" t="inlineStr">
        <is>
          <t>AF/OF</t>
        </is>
      </c>
      <c r="E3" s="161" t="inlineStr">
        <is>
          <t>THC</t>
        </is>
      </c>
      <c r="F3" s="162" t="inlineStr">
        <is>
          <t>CFS</t>
        </is>
      </c>
      <c r="G3" s="161" t="inlineStr">
        <is>
          <t>DO/ BILL</t>
        </is>
      </c>
      <c r="H3" s="163" t="inlineStr">
        <is>
          <t>CUSTOMS CLEARANCE</t>
        </is>
      </c>
      <c r="I3" s="163" t="inlineStr">
        <is>
          <t>TRUCKING FEE</t>
        </is>
      </c>
      <c r="J3" s="163" t="inlineStr">
        <is>
          <t>HANDLING FEE</t>
        </is>
      </c>
      <c r="K3" s="163" t="inlineStr">
        <is>
          <t>INSPECTION FEE</t>
        </is>
      </c>
    </row>
    <row r="4">
      <c r="B4" s="164" t="n"/>
      <c r="C4" s="164" t="n"/>
      <c r="D4" s="144" t="n"/>
      <c r="E4" s="144" t="n"/>
      <c r="F4" s="144" t="n"/>
      <c r="G4" s="144" t="n"/>
      <c r="H4" s="144" t="n"/>
      <c r="I4" s="144" t="n"/>
      <c r="J4" s="144" t="n"/>
      <c r="K4" s="144" t="n"/>
    </row>
    <row r="5">
      <c r="B5" s="144" t="n"/>
      <c r="C5" s="144" t="n"/>
      <c r="D5" s="2" t="inlineStr">
        <is>
          <t>Total</t>
        </is>
      </c>
      <c r="E5" s="2" t="inlineStr">
        <is>
          <t>Total</t>
        </is>
      </c>
      <c r="F5" s="2" t="inlineStr">
        <is>
          <t>Total</t>
        </is>
      </c>
      <c r="G5" s="2" t="inlineStr">
        <is>
          <t>Total</t>
        </is>
      </c>
      <c r="H5" s="8" t="inlineStr">
        <is>
          <t>Total</t>
        </is>
      </c>
      <c r="I5" s="8" t="inlineStr">
        <is>
          <t>Total</t>
        </is>
      </c>
      <c r="J5" s="8" t="inlineStr">
        <is>
          <t>Total</t>
        </is>
      </c>
      <c r="K5" s="8" t="inlineStr">
        <is>
          <t>Total</t>
        </is>
      </c>
    </row>
    <row r="6" ht="23" customHeight="1">
      <c r="B6" s="3" t="inlineStr">
        <is>
          <t>SHMT:HWBNO</t>
        </is>
      </c>
      <c r="C6" s="9" t="inlineStr">
        <is>
          <t>SHMTNB:CBM</t>
        </is>
      </c>
      <c r="D6" s="4" t="inlineStr">
        <is>
          <t>S_OF,S_AIRFREIGHT</t>
        </is>
      </c>
      <c r="E6" s="4" t="inlineStr">
        <is>
          <t>S_THC</t>
        </is>
      </c>
      <c r="F6" s="4" t="inlineStr">
        <is>
          <t>S_CFSO</t>
        </is>
      </c>
      <c r="G6" s="4" t="inlineStr">
        <is>
          <t>S_AWB,S_BILL,S_D/O</t>
        </is>
      </c>
      <c r="H6" s="4" t="inlineStr">
        <is>
          <t>S_CUSTOMS,S_THUTUCHAIQUAN</t>
        </is>
      </c>
      <c r="I6" s="4" t="inlineStr">
        <is>
          <t>S_VCND</t>
        </is>
      </c>
      <c r="J6" s="4" t="inlineStr">
        <is>
          <t>S_HL</t>
        </is>
      </c>
      <c r="K6" s="4" t="inlineStr">
        <is>
          <t>S_KH</t>
        </is>
      </c>
    </row>
    <row r="7">
      <c r="B7" s="5" t="n">
        <v>1</v>
      </c>
      <c r="C7" s="10" t="n">
        <v>2</v>
      </c>
      <c r="D7" s="5" t="n">
        <v>3</v>
      </c>
      <c r="E7" s="10" t="n">
        <v>4</v>
      </c>
      <c r="F7" s="5" t="n">
        <v>5</v>
      </c>
      <c r="G7" s="10" t="n">
        <v>6</v>
      </c>
      <c r="H7" s="5" t="n">
        <v>7</v>
      </c>
      <c r="I7" s="10" t="n">
        <v>8</v>
      </c>
      <c r="J7" s="5" t="n">
        <v>9</v>
      </c>
      <c r="K7" s="10" t="n">
        <v>10</v>
      </c>
    </row>
    <row r="8" ht="14" customHeight="1">
      <c r="B8" s="6" t="inlineStr">
        <is>
          <t>P220400024</t>
        </is>
      </c>
      <c r="C8" s="11" t="n"/>
      <c r="D8" s="7" t="n"/>
      <c r="E8" s="7" t="n"/>
      <c r="F8" s="7" t="n"/>
      <c r="G8" s="7" t="n">
        <v>575000</v>
      </c>
      <c r="H8" s="7" t="n">
        <v>580000</v>
      </c>
      <c r="I8" s="7" t="n">
        <v>918000</v>
      </c>
      <c r="J8" s="7" t="n">
        <v>575000</v>
      </c>
      <c r="K8" s="7" t="n"/>
    </row>
    <row r="9" ht="14" customHeight="1">
      <c r="B9" s="6" t="inlineStr">
        <is>
          <t>P220400283</t>
        </is>
      </c>
      <c r="C9" s="11" t="n"/>
      <c r="D9" s="7" t="n"/>
      <c r="E9" s="7" t="n"/>
      <c r="F9" s="7" t="n"/>
      <c r="G9" s="7" t="n">
        <v>578000</v>
      </c>
      <c r="H9" s="7" t="n"/>
      <c r="I9" s="7" t="n">
        <v>648000</v>
      </c>
      <c r="J9" s="7" t="n">
        <v>578000</v>
      </c>
      <c r="K9" s="7" t="n"/>
    </row>
    <row r="10" ht="14" customHeight="1">
      <c r="B10" s="6" t="inlineStr">
        <is>
          <t>PL2022036069</t>
        </is>
      </c>
      <c r="C10" s="11" t="n">
        <v>2.578</v>
      </c>
      <c r="D10" s="7" t="n">
        <v>1424293</v>
      </c>
      <c r="E10" s="7" t="n">
        <v>350608</v>
      </c>
      <c r="F10" s="7" t="n">
        <v>1268376</v>
      </c>
      <c r="G10" s="7" t="n">
        <v>525000</v>
      </c>
      <c r="H10" s="7" t="n"/>
      <c r="I10" s="7" t="n"/>
      <c r="J10" s="7" t="n"/>
      <c r="K10" s="7" t="n"/>
    </row>
    <row r="11" ht="14" customHeight="1">
      <c r="B11" s="6" t="inlineStr">
        <is>
          <t>PL2022036099</t>
        </is>
      </c>
      <c r="C11" s="11" t="n">
        <v>4.763</v>
      </c>
      <c r="D11" s="7" t="n">
        <v>2631462</v>
      </c>
      <c r="E11" s="7" t="n">
        <v>647768</v>
      </c>
      <c r="F11" s="7" t="n">
        <v>2343396</v>
      </c>
      <c r="G11" s="7" t="n">
        <v>525000</v>
      </c>
      <c r="H11" s="7" t="n">
        <v>1360000</v>
      </c>
      <c r="I11" s="7" t="n">
        <v>3509000</v>
      </c>
      <c r="J11" s="7" t="n"/>
      <c r="K11" s="7" t="n"/>
    </row>
    <row r="12" ht="14" customHeight="1">
      <c r="B12" s="6" t="inlineStr">
        <is>
          <t>PL2022045201</t>
        </is>
      </c>
      <c r="C12" s="11" t="n">
        <v>0.7680000000000001</v>
      </c>
      <c r="D12" s="7" t="n">
        <v>552480</v>
      </c>
      <c r="E12" s="7" t="n">
        <v>136000</v>
      </c>
      <c r="F12" s="7" t="n">
        <v>492000</v>
      </c>
      <c r="G12" s="7" t="n">
        <v>525000</v>
      </c>
      <c r="H12" s="7" t="n"/>
      <c r="I12" s="7" t="n"/>
      <c r="J12" s="7" t="n"/>
      <c r="K12" s="7" t="n"/>
    </row>
    <row r="13" ht="14" customHeight="1">
      <c r="B13" s="6" t="inlineStr">
        <is>
          <t>PL2022045203</t>
        </is>
      </c>
      <c r="C13" s="11" t="n">
        <v>4.278</v>
      </c>
      <c r="D13" s="7" t="n">
        <v>2363509</v>
      </c>
      <c r="E13" s="7" t="n">
        <v>581808</v>
      </c>
      <c r="F13" s="7" t="n">
        <v>2104776</v>
      </c>
      <c r="G13" s="7" t="n">
        <v>525000</v>
      </c>
      <c r="H13" s="7" t="n">
        <v>1360000</v>
      </c>
      <c r="I13" s="7" t="n">
        <v>4086664</v>
      </c>
      <c r="J13" s="7" t="n"/>
      <c r="K13" s="7" t="n"/>
    </row>
    <row r="14" ht="14" customHeight="1">
      <c r="B14" s="6" t="inlineStr">
        <is>
          <t>PL2022045143</t>
        </is>
      </c>
      <c r="C14" s="11" t="n">
        <v>5.855</v>
      </c>
      <c r="D14" s="7" t="n">
        <v>3234770</v>
      </c>
      <c r="E14" s="7" t="n">
        <v>796280</v>
      </c>
      <c r="F14" s="7" t="n">
        <v>2880660</v>
      </c>
      <c r="G14" s="7" t="n">
        <v>525000</v>
      </c>
      <c r="H14" s="7" t="n">
        <v>680000</v>
      </c>
      <c r="I14" s="7" t="n"/>
      <c r="J14" s="7" t="n"/>
      <c r="K14" s="7" t="n"/>
    </row>
    <row r="15" ht="14" customHeight="1">
      <c r="B15" s="6" t="inlineStr">
        <is>
          <t>PL2022045505</t>
        </is>
      </c>
      <c r="C15" s="11" t="n">
        <v>1.112</v>
      </c>
      <c r="D15" s="7" t="n">
        <v>614358</v>
      </c>
      <c r="E15" s="7" t="n">
        <v>151232</v>
      </c>
      <c r="F15" s="7" t="n">
        <v>547104</v>
      </c>
      <c r="G15" s="7" t="n">
        <v>525000</v>
      </c>
      <c r="H15" s="7" t="n">
        <v>680000</v>
      </c>
      <c r="I15" s="7" t="n">
        <v>1732500</v>
      </c>
      <c r="J15" s="7" t="n"/>
      <c r="K15" s="7" t="n"/>
    </row>
    <row r="16" ht="14" customHeight="1">
      <c r="B16" s="6" t="inlineStr">
        <is>
          <t>PL2022035590</t>
        </is>
      </c>
      <c r="C16" s="11" t="n">
        <v>4.292</v>
      </c>
      <c r="D16" s="7" t="n">
        <v>2371244</v>
      </c>
      <c r="E16" s="7" t="n">
        <v>583712</v>
      </c>
      <c r="F16" s="7" t="n">
        <v>2111664</v>
      </c>
      <c r="G16" s="7" t="n">
        <v>525000</v>
      </c>
      <c r="H16" s="7" t="n">
        <v>680000</v>
      </c>
      <c r="I16" s="7" t="n">
        <v>1837000</v>
      </c>
      <c r="J16" s="7" t="n"/>
      <c r="K16" s="7" t="n"/>
    </row>
    <row r="17" ht="14" customHeight="1">
      <c r="B17" s="6" t="inlineStr">
        <is>
          <t>PL2022035947</t>
        </is>
      </c>
      <c r="C17" s="11" t="n">
        <v>1.723</v>
      </c>
      <c r="D17" s="7" t="n">
        <v>951923</v>
      </c>
      <c r="E17" s="7" t="n">
        <v>234328</v>
      </c>
      <c r="F17" s="7" t="n">
        <v>847716</v>
      </c>
      <c r="G17" s="7" t="n">
        <v>525000</v>
      </c>
      <c r="H17" s="7" t="n">
        <v>680000</v>
      </c>
      <c r="I17" s="7" t="n"/>
      <c r="J17" s="7" t="n"/>
      <c r="K17" s="7" t="n"/>
    </row>
    <row r="18" ht="14" customHeight="1">
      <c r="B18" s="6" t="inlineStr">
        <is>
          <t>PL2022035949</t>
        </is>
      </c>
      <c r="C18" s="11" t="n">
        <v>8.464</v>
      </c>
      <c r="D18" s="7" t="n">
        <v>4676191</v>
      </c>
      <c r="E18" s="7" t="n">
        <v>1151104</v>
      </c>
      <c r="F18" s="7" t="n">
        <v>4164288</v>
      </c>
      <c r="G18" s="7" t="n">
        <v>525000</v>
      </c>
      <c r="H18" s="7" t="n">
        <v>680000</v>
      </c>
      <c r="I18" s="7" t="n"/>
      <c r="J18" s="7" t="n"/>
      <c r="K18" s="7" t="n"/>
    </row>
    <row r="19" ht="14" customHeight="1">
      <c r="B19" s="6" t="inlineStr">
        <is>
          <t>PL2022036119</t>
        </is>
      </c>
      <c r="C19" s="11" t="n">
        <v>9.581</v>
      </c>
      <c r="D19" s="7" t="n">
        <v>5293311</v>
      </c>
      <c r="E19" s="7" t="n">
        <v>1303016</v>
      </c>
      <c r="F19" s="7" t="n">
        <v>4713852</v>
      </c>
      <c r="G19" s="7" t="n">
        <v>525000</v>
      </c>
      <c r="H19" s="7" t="n">
        <v>680000</v>
      </c>
      <c r="I19" s="7" t="n">
        <v>2772000</v>
      </c>
      <c r="J19" s="7" t="n"/>
      <c r="K19" s="7" t="n"/>
    </row>
    <row r="20" ht="14" customHeight="1">
      <c r="B20" s="6" t="inlineStr">
        <is>
          <t>PL2022045387</t>
        </is>
      </c>
      <c r="C20" s="11" t="n">
        <v>8.362</v>
      </c>
      <c r="D20" s="7" t="n">
        <v>4619838</v>
      </c>
      <c r="E20" s="7" t="n">
        <v>1137232</v>
      </c>
      <c r="F20" s="7" t="n">
        <v>4114104</v>
      </c>
      <c r="G20" s="7" t="n">
        <v>525000</v>
      </c>
      <c r="H20" s="7" t="n">
        <v>680000</v>
      </c>
      <c r="I20" s="7" t="n">
        <v>4550192</v>
      </c>
      <c r="J20" s="7" t="n"/>
      <c r="K20" s="7" t="n"/>
    </row>
    <row r="21" ht="14" customHeight="1">
      <c r="B21" s="6" t="inlineStr">
        <is>
          <t>PL2022045386</t>
        </is>
      </c>
      <c r="C21" s="11" t="n">
        <v>3.499</v>
      </c>
      <c r="D21" s="7" t="n">
        <v>1933128</v>
      </c>
      <c r="E21" s="7" t="n">
        <v>475864</v>
      </c>
      <c r="F21" s="7" t="n">
        <v>1721508</v>
      </c>
      <c r="G21" s="7" t="n">
        <v>525000</v>
      </c>
      <c r="H21" s="7" t="n">
        <v>680000</v>
      </c>
      <c r="I21" s="7" t="n">
        <v>1837000</v>
      </c>
      <c r="J21" s="7" t="n"/>
      <c r="K21" s="7" t="n"/>
    </row>
    <row r="22" ht="14" customHeight="1">
      <c r="B22" s="6" t="inlineStr">
        <is>
          <t>PL2022045638</t>
        </is>
      </c>
      <c r="C22" s="11" t="n">
        <v>0.9720000000000002</v>
      </c>
      <c r="D22" s="7" t="n">
        <v>552480</v>
      </c>
      <c r="E22" s="7" t="n">
        <v>136000</v>
      </c>
      <c r="F22" s="7" t="n">
        <v>492000</v>
      </c>
      <c r="G22" s="7" t="n">
        <v>525000</v>
      </c>
      <c r="H22" s="7" t="n">
        <v>680000</v>
      </c>
      <c r="I22" s="7" t="n">
        <v>1287000</v>
      </c>
      <c r="J22" s="7" t="n"/>
      <c r="K22" s="7" t="n"/>
    </row>
    <row r="23" ht="14" customHeight="1">
      <c r="B23" s="6" t="inlineStr">
        <is>
          <t>PL2022046062</t>
        </is>
      </c>
      <c r="C23" s="11" t="n">
        <v>1.257</v>
      </c>
      <c r="D23" s="7" t="n">
        <v>696881</v>
      </c>
      <c r="E23" s="7" t="n">
        <v>170952</v>
      </c>
      <c r="F23" s="7" t="n">
        <v>618444</v>
      </c>
      <c r="G23" s="7" t="n">
        <v>525000</v>
      </c>
      <c r="H23" s="7" t="n"/>
      <c r="I23" s="7" t="n"/>
      <c r="J23" s="7" t="n"/>
      <c r="K23" s="7" t="n"/>
    </row>
    <row r="24" ht="14" customHeight="1">
      <c r="B24" s="6" t="inlineStr">
        <is>
          <t>HANLOGE22041880</t>
        </is>
      </c>
      <c r="C24" s="11" t="n"/>
      <c r="D24" s="7" t="n"/>
      <c r="E24" s="7" t="n"/>
      <c r="F24" s="7" t="n"/>
      <c r="G24" s="7" t="n"/>
      <c r="H24" s="7" t="n">
        <v>580000</v>
      </c>
      <c r="I24" s="7" t="n">
        <v>648000</v>
      </c>
      <c r="J24" s="7" t="n"/>
      <c r="K24" s="7" t="n"/>
    </row>
    <row r="25" ht="14" customHeight="1">
      <c r="B25" s="6" t="inlineStr">
        <is>
          <t>HANLOGI22040819/1</t>
        </is>
      </c>
      <c r="C25" s="11" t="n"/>
      <c r="D25" s="7" t="n"/>
      <c r="E25" s="7" t="n"/>
      <c r="F25" s="7" t="n"/>
      <c r="G25" s="7" t="n"/>
      <c r="H25" s="7" t="n">
        <v>580000</v>
      </c>
      <c r="I25" s="7" t="n"/>
      <c r="J25" s="7" t="n"/>
      <c r="K25" s="7" t="n"/>
    </row>
    <row r="26" ht="14" customHeight="1">
      <c r="B26" s="12" t="inlineStr">
        <is>
          <t>6277084494</t>
        </is>
      </c>
      <c r="C26" s="11" t="n"/>
      <c r="D26" s="7" t="n"/>
      <c r="E26" s="7" t="n"/>
      <c r="F26" s="7" t="n"/>
      <c r="G26" s="7" t="n"/>
      <c r="H26" s="7" t="n">
        <v>580000</v>
      </c>
      <c r="I26" s="7" t="n"/>
      <c r="J26" s="7" t="n"/>
      <c r="K26" s="7" t="n"/>
    </row>
    <row r="27" ht="14" customHeight="1">
      <c r="B27" s="12" t="inlineStr">
        <is>
          <t>SF1408364810012</t>
        </is>
      </c>
      <c r="C27" s="11" t="n"/>
      <c r="D27" s="7" t="n"/>
      <c r="E27" s="7" t="n"/>
      <c r="F27" s="7" t="n"/>
      <c r="G27" s="7" t="n"/>
      <c r="H27" s="7" t="n">
        <v>580000</v>
      </c>
      <c r="I27" s="7" t="n"/>
      <c r="J27" s="7" t="n"/>
      <c r="K27" s="7" t="n"/>
    </row>
  </sheetData>
  <mergeCells count="10">
    <mergeCell ref="K3:K4"/>
    <mergeCell ref="C3:C5"/>
    <mergeCell ref="G3:G4"/>
    <mergeCell ref="E3:E4"/>
    <mergeCell ref="I3:I4"/>
    <mergeCell ref="F3:F4"/>
    <mergeCell ref="D3:D4"/>
    <mergeCell ref="H3:H4"/>
    <mergeCell ref="J3:J4"/>
    <mergeCell ref="B3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2017-12-04T12:22:40Z</dcterms:created>
  <dcterms:modified xmlns:dcterms="http://purl.org/dc/terms/" xmlns:xsi="http://www.w3.org/2001/XMLSchema-instance" xsi:type="dcterms:W3CDTF">2026-04-06T14:36:24Z</dcterms:modified>
  <cp:lastModifiedBy>Hi</cp:lastModifiedBy>
  <cp:lastPrinted>2026-04-03T04:21:53Z</cp:lastPrinted>
</cp:coreProperties>
</file>