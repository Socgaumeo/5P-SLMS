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19420" windowHeight="10300" tabRatio="600" firstSheet="0" activeTab="0" autoFilterDateGrouping="1"/>
  </bookViews>
  <sheets>
    <sheet xmlns:r="http://schemas.openxmlformats.org/officeDocument/2006/relationships" name="NHẬP" sheetId="1" state="visible" r:id="rId1"/>
    <sheet xmlns:r="http://schemas.openxmlformats.org/officeDocument/2006/relationships" name="Sheet1" sheetId="2" state="hidden" r:id="rId2"/>
  </sheets>
  <definedNames>
    <definedName name="_xlnm._FilterDatabase" localSheetId="0" hidden="1">'NHẬP'!$A$12:$II$33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_-* #,##0.00_-;\-* #,##0.00_-;_-* &quot;-&quot;??_-;_-@_-"/>
  </numFmts>
  <fonts count="38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Times New Roman"/>
      <family val="1"/>
      <sz val="10"/>
    </font>
    <font>
      <name val="Times New Roman"/>
      <family val="2"/>
      <color theme="1"/>
      <sz val="14"/>
    </font>
    <font>
      <name val="Cambria"/>
      <family val="1"/>
      <color indexed="8"/>
      <sz val="11"/>
    </font>
    <font>
      <name val="Calibri"/>
      <family val="2"/>
      <color indexed="8"/>
      <sz val="11"/>
    </font>
    <font>
      <name val="ＭＳ Ｐゴシック"/>
      <family val="2"/>
      <sz val="11"/>
    </font>
    <font>
      <name val="Times New Roman"/>
      <family val="1"/>
      <color indexed="8"/>
      <sz val="11"/>
    </font>
    <font>
      <name val="Times New Roman"/>
      <family val="1"/>
      <b val="1"/>
      <sz val="9"/>
    </font>
    <font>
      <name val="Arial"/>
      <family val="2"/>
      <color indexed="8"/>
      <sz val="10"/>
    </font>
    <font>
      <name val="Arial"/>
      <family val="2"/>
      <color theme="1"/>
      <sz val="10"/>
    </font>
    <font>
      <name val="Arial"/>
      <family val="2"/>
      <sz val="10"/>
    </font>
    <font>
      <name val="Times New Roman"/>
      <family val="1"/>
      <b val="1"/>
      <sz val="12"/>
    </font>
    <font>
      <name val="Times New Roman"/>
      <family val="1"/>
      <b val="1"/>
      <i val="1"/>
      <sz val="12"/>
    </font>
    <font>
      <name val="Arial"/>
      <family val="2"/>
      <b val="1"/>
      <sz val="12"/>
    </font>
    <font>
      <name val="Times New Roman"/>
      <charset val="163"/>
      <family val="1"/>
      <b val="1"/>
      <color theme="9" tint="-0.249977111117893"/>
      <sz val="12"/>
    </font>
    <font>
      <name val="Times New Roman"/>
      <charset val="163"/>
      <family val="1"/>
      <b val="1"/>
      <color theme="1"/>
      <sz val="12"/>
    </font>
    <font>
      <name val="Times New Roman"/>
      <charset val="163"/>
      <family val="1"/>
      <sz val="12"/>
    </font>
    <font>
      <name val="Times New Roman"/>
      <charset val="163"/>
      <family val="1"/>
      <color theme="1"/>
      <sz val="12"/>
    </font>
    <font>
      <name val="Times New Roman"/>
      <charset val="163"/>
      <family val="1"/>
      <b val="1"/>
      <sz val="12"/>
    </font>
    <font>
      <name val="Times New Roman"/>
      <charset val="163"/>
      <family val="1"/>
      <i val="1"/>
      <sz val="12"/>
    </font>
    <font>
      <name val="Times New Roman"/>
      <charset val="163"/>
      <family val="1"/>
      <b val="1"/>
      <i val="1"/>
      <sz val="12"/>
    </font>
    <font>
      <name val="Times New Roman"/>
      <charset val="163"/>
      <family val="1"/>
      <b val="1"/>
      <sz val="10"/>
    </font>
    <font>
      <name val="Times New Roman"/>
      <charset val="163"/>
      <family val="1"/>
      <sz val="10"/>
    </font>
    <font>
      <name val="Arial"/>
      <family val="2"/>
      <sz val="8"/>
    </font>
    <font>
      <name val="Times New Roman"/>
      <family val="1"/>
      <b val="1"/>
      <sz val="10"/>
    </font>
    <font>
      <name val="Times New Roman"/>
      <family val="1"/>
      <b val="1"/>
      <color theme="1"/>
      <sz val="10"/>
    </font>
    <font>
      <name val="Times New Roman"/>
      <charset val="163"/>
      <family val="1"/>
      <b val="1"/>
      <sz val="26"/>
    </font>
    <font>
      <name val="Times New Roman"/>
      <charset val="163"/>
      <family val="1"/>
      <b val="1"/>
      <sz val="14"/>
    </font>
    <font>
      <name val="Times New Roman"/>
      <family val="1"/>
      <b val="1"/>
      <sz val="16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imes New Roman"/>
      <family val="1"/>
      <color theme="1"/>
      <sz val="10"/>
    </font>
  </fonts>
  <fills count="11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57">
    <xf numFmtId="0" fontId="0" fillId="0" borderId="0"/>
    <xf numFmtId="0" fontId="16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" fillId="0" borderId="0"/>
    <xf numFmtId="43" fontId="5" fillId="0" borderId="0"/>
    <xf numFmtId="43" fontId="10" fillId="0" borderId="0"/>
    <xf numFmtId="0" fontId="9" fillId="0" borderId="0"/>
    <xf numFmtId="0" fontId="5" fillId="2" borderId="3"/>
    <xf numFmtId="0" fontId="11" fillId="0" borderId="0"/>
    <xf numFmtId="0" fontId="5" fillId="0" borderId="0"/>
    <xf numFmtId="43" fontId="5" fillId="0" borderId="0"/>
    <xf numFmtId="0" fontId="5" fillId="2" borderId="3"/>
    <xf numFmtId="0" fontId="5" fillId="0" borderId="0"/>
    <xf numFmtId="43" fontId="5" fillId="0" borderId="0"/>
    <xf numFmtId="0" fontId="5" fillId="2" borderId="3"/>
    <xf numFmtId="0" fontId="5" fillId="0" borderId="0"/>
    <xf numFmtId="43" fontId="5" fillId="0" borderId="0"/>
    <xf numFmtId="0" fontId="5" fillId="2" borderId="3"/>
    <xf numFmtId="43" fontId="16" fillId="0" borderId="0"/>
    <xf numFmtId="0" fontId="5" fillId="0" borderId="0"/>
    <xf numFmtId="43" fontId="5" fillId="0" borderId="0"/>
    <xf numFmtId="0" fontId="5" fillId="2" borderId="3"/>
    <xf numFmtId="0" fontId="5" fillId="0" borderId="0"/>
    <xf numFmtId="43" fontId="5" fillId="0" borderId="0"/>
    <xf numFmtId="0" fontId="5" fillId="2" borderId="3"/>
    <xf numFmtId="0" fontId="5" fillId="0" borderId="0"/>
    <xf numFmtId="43" fontId="5" fillId="0" borderId="0"/>
    <xf numFmtId="0" fontId="5" fillId="2" borderId="3"/>
    <xf numFmtId="0" fontId="14" fillId="0" borderId="0"/>
    <xf numFmtId="0" fontId="5" fillId="0" borderId="0"/>
    <xf numFmtId="43" fontId="5" fillId="0" borderId="0"/>
    <xf numFmtId="0" fontId="5" fillId="2" borderId="3"/>
    <xf numFmtId="0" fontId="5" fillId="0" borderId="0"/>
    <xf numFmtId="43" fontId="5" fillId="0" borderId="0"/>
    <xf numFmtId="0" fontId="5" fillId="2" borderId="3"/>
    <xf numFmtId="0" fontId="5" fillId="0" borderId="0"/>
    <xf numFmtId="43" fontId="5" fillId="0" borderId="0"/>
    <xf numFmtId="0" fontId="5" fillId="2" borderId="3"/>
    <xf numFmtId="0" fontId="5" fillId="0" borderId="0"/>
    <xf numFmtId="43" fontId="5" fillId="0" borderId="0"/>
    <xf numFmtId="0" fontId="5" fillId="2" borderId="3"/>
    <xf numFmtId="0" fontId="5" fillId="0" borderId="0"/>
    <xf numFmtId="43" fontId="5" fillId="0" borderId="0"/>
    <xf numFmtId="0" fontId="5" fillId="2" borderId="3"/>
    <xf numFmtId="0" fontId="5" fillId="0" borderId="0"/>
    <xf numFmtId="43" fontId="5" fillId="0" borderId="0"/>
    <xf numFmtId="0" fontId="5" fillId="2" borderId="3"/>
    <xf numFmtId="0" fontId="5" fillId="0" borderId="0"/>
    <xf numFmtId="43" fontId="5" fillId="0" borderId="0"/>
    <xf numFmtId="0" fontId="5" fillId="2" borderId="3"/>
    <xf numFmtId="165" fontId="16" fillId="0" borderId="0"/>
    <xf numFmtId="0" fontId="15" fillId="0" borderId="0"/>
    <xf numFmtId="43" fontId="16" fillId="0" borderId="0"/>
  </cellStyleXfs>
  <cellXfs count="165">
    <xf numFmtId="0" fontId="0" fillId="0" borderId="0" pivotButton="0" quotePrefix="0" xfId="0"/>
    <xf numFmtId="3" fontId="7" fillId="3" borderId="1" applyAlignment="1" pivotButton="0" quotePrefix="0" xfId="0">
      <alignment vertical="center"/>
    </xf>
    <xf numFmtId="43" fontId="13" fillId="4" borderId="1" applyAlignment="1" pivotButton="0" quotePrefix="0" xfId="20">
      <alignment vertical="center" wrapText="1"/>
    </xf>
    <xf numFmtId="49" fontId="13" fillId="6" borderId="1" applyAlignment="1" pivotButton="0" quotePrefix="0" xfId="1">
      <alignment horizontal="center" vertical="center" wrapText="1"/>
    </xf>
    <xf numFmtId="49" fontId="12" fillId="6" borderId="1" applyAlignment="1" pivotButton="0" quotePrefix="0" xfId="19">
      <alignment horizontal="center" vertical="center"/>
    </xf>
    <xf numFmtId="0" fontId="13" fillId="7" borderId="1" applyAlignment="1" pivotButton="0" quotePrefix="0" xfId="1">
      <alignment horizontal="center" vertical="center" wrapText="1"/>
    </xf>
    <xf numFmtId="0" fontId="12" fillId="0" borderId="1" applyAlignment="1" pivotButton="0" quotePrefix="0" xfId="19">
      <alignment vertical="center" wrapText="1"/>
    </xf>
    <xf numFmtId="3" fontId="12" fillId="0" borderId="1" applyAlignment="1" pivotButton="0" quotePrefix="0" xfId="19">
      <alignment horizontal="right" vertical="center" wrapText="1"/>
    </xf>
    <xf numFmtId="3" fontId="13" fillId="9" borderId="2" applyAlignment="1" pivotButton="0" quotePrefix="0" xfId="19">
      <alignment vertical="center" wrapText="1"/>
    </xf>
    <xf numFmtId="2" fontId="13" fillId="6" borderId="1" applyAlignment="1" pivotButton="0" quotePrefix="0" xfId="1">
      <alignment horizontal="center" vertical="center" wrapText="1"/>
    </xf>
    <xf numFmtId="2" fontId="13" fillId="7" borderId="1" applyAlignment="1" pivotButton="0" quotePrefix="0" xfId="1">
      <alignment horizontal="center" vertical="center" wrapText="1"/>
    </xf>
    <xf numFmtId="2" fontId="12" fillId="0" borderId="1" applyAlignment="1" pivotButton="0" quotePrefix="0" xfId="19">
      <alignment vertical="center" wrapText="1"/>
    </xf>
    <xf numFmtId="0" fontId="12" fillId="0" borderId="1" applyAlignment="1" pivotButton="0" quotePrefix="1" xfId="19">
      <alignment vertical="center" wrapText="1"/>
    </xf>
    <xf numFmtId="3" fontId="17" fillId="0" borderId="11" applyAlignment="1" pivotButton="0" quotePrefix="0" xfId="0">
      <alignment vertical="center" wrapText="1"/>
    </xf>
    <xf numFmtId="0" fontId="20" fillId="0" borderId="0" applyAlignment="1" pivotButton="0" quotePrefix="0" xfId="0">
      <alignment vertical="center"/>
    </xf>
    <xf numFmtId="0" fontId="21" fillId="0" borderId="0" applyAlignment="1" pivotButton="0" quotePrefix="0" xfId="0">
      <alignment horizontal="left"/>
    </xf>
    <xf numFmtId="0" fontId="22" fillId="0" borderId="0" pivotButton="0" quotePrefix="0" xfId="0"/>
    <xf numFmtId="0" fontId="23" fillId="0" borderId="0" applyAlignment="1" pivotButton="0" quotePrefix="0" xfId="0">
      <alignment vertical="center"/>
    </xf>
    <xf numFmtId="0" fontId="22" fillId="0" borderId="0" applyAlignment="1" pivotButton="0" quotePrefix="0" xfId="0">
      <alignment horizontal="right"/>
    </xf>
    <xf numFmtId="3" fontId="22" fillId="0" borderId="0" pivotButton="0" quotePrefix="0" xfId="0"/>
    <xf numFmtId="0" fontId="22" fillId="0" borderId="0" applyAlignment="1" pivotButton="0" quotePrefix="0" xfId="0">
      <alignment wrapText="1"/>
    </xf>
    <xf numFmtId="0" fontId="23" fillId="0" borderId="0" applyAlignment="1" pivotButton="0" quotePrefix="0" xfId="0">
      <alignment vertical="center" wrapText="1"/>
    </xf>
    <xf numFmtId="0" fontId="21" fillId="0" borderId="0" pivotButton="0" quotePrefix="0" xfId="0"/>
    <xf numFmtId="0" fontId="24" fillId="0" borderId="0" pivotButton="0" quotePrefix="0" xfId="0"/>
    <xf numFmtId="0" fontId="24" fillId="0" borderId="0" applyAlignment="1" pivotButton="0" quotePrefix="1" xfId="1">
      <alignment horizontal="center"/>
    </xf>
    <xf numFmtId="0" fontId="22" fillId="0" borderId="0" applyAlignment="1" pivotButton="0" quotePrefix="0" xfId="0">
      <alignment horizontal="center" wrapText="1"/>
    </xf>
    <xf numFmtId="0" fontId="25" fillId="0" borderId="0" pivotButton="0" quotePrefix="0" xfId="0"/>
    <xf numFmtId="3" fontId="24" fillId="0" borderId="1" applyAlignment="1" pivotButton="0" quotePrefix="0" xfId="0">
      <alignment vertical="center" wrapText="1"/>
    </xf>
    <xf numFmtId="3" fontId="22" fillId="0" borderId="0" applyAlignment="1" pivotButton="0" quotePrefix="0" xfId="0">
      <alignment wrapText="1"/>
    </xf>
    <xf numFmtId="0" fontId="26" fillId="0" borderId="0" pivotButton="0" quotePrefix="0" xfId="1"/>
    <xf numFmtId="0" fontId="24" fillId="0" borderId="0" applyAlignment="1" pivotButton="0" quotePrefix="0" xfId="0">
      <alignment horizontal="left" vertical="top"/>
    </xf>
    <xf numFmtId="0" fontId="24" fillId="0" borderId="0" applyAlignment="1" pivotButton="0" quotePrefix="0" xfId="0">
      <alignment vertical="top"/>
    </xf>
    <xf numFmtId="0" fontId="24" fillId="0" borderId="0" applyAlignment="1" pivotButton="0" quotePrefix="0" xfId="1">
      <alignment horizontal="center" wrapText="1"/>
    </xf>
    <xf numFmtId="0" fontId="24" fillId="0" borderId="0" pivotButton="0" quotePrefix="0" xfId="1"/>
    <xf numFmtId="0" fontId="24" fillId="0" borderId="0" applyAlignment="1" pivotButton="0" quotePrefix="0" xfId="0">
      <alignment horizontal="right" vertical="top"/>
    </xf>
    <xf numFmtId="3" fontId="24" fillId="0" borderId="0" applyAlignment="1" pivotButton="0" quotePrefix="0" xfId="0">
      <alignment vertical="top"/>
    </xf>
    <xf numFmtId="0" fontId="24" fillId="0" borderId="0" applyAlignment="1" pivotButton="0" quotePrefix="0" xfId="0">
      <alignment vertical="top" wrapText="1"/>
    </xf>
    <xf numFmtId="0" fontId="24" fillId="0" borderId="0" applyAlignment="1" pivotButton="0" quotePrefix="0" xfId="0">
      <alignment horizontal="center" vertical="top" wrapText="1"/>
    </xf>
    <xf numFmtId="0" fontId="24" fillId="0" borderId="0" applyAlignment="1" pivotButton="0" quotePrefix="0" xfId="1">
      <alignment horizontal="right"/>
    </xf>
    <xf numFmtId="0" fontId="24" fillId="0" borderId="0" applyAlignment="1" pivotButton="0" quotePrefix="0" xfId="1">
      <alignment horizontal="left"/>
    </xf>
    <xf numFmtId="43" fontId="24" fillId="0" borderId="0" applyAlignment="1" pivotButton="0" quotePrefix="0" xfId="0">
      <alignment vertical="top"/>
    </xf>
    <xf numFmtId="0" fontId="24" fillId="0" borderId="0" applyAlignment="1" pivotButton="0" quotePrefix="0" xfId="1">
      <alignment wrapText="1"/>
    </xf>
    <xf numFmtId="0" fontId="22" fillId="0" borderId="0" applyAlignment="1" pivotButton="0" quotePrefix="0" xfId="0">
      <alignment horizontal="left"/>
    </xf>
    <xf numFmtId="0" fontId="24" fillId="0" borderId="0" applyAlignment="1" pivotButton="0" quotePrefix="0" xfId="0">
      <alignment horizontal="left"/>
    </xf>
    <xf numFmtId="3" fontId="24" fillId="0" borderId="0" applyAlignment="1" pivotButton="0" quotePrefix="0" xfId="1">
      <alignment horizontal="right"/>
    </xf>
    <xf numFmtId="3" fontId="24" fillId="0" borderId="0" applyAlignment="1" pivotButton="0" quotePrefix="0" xfId="0">
      <alignment horizontal="right" vertical="top"/>
    </xf>
    <xf numFmtId="3" fontId="24" fillId="0" borderId="9" applyAlignment="1" pivotButton="0" quotePrefix="0" xfId="0">
      <alignment vertical="center" wrapText="1"/>
    </xf>
    <xf numFmtId="3" fontId="17" fillId="0" borderId="12" applyAlignment="1" pivotButton="0" quotePrefix="0" xfId="0">
      <alignment vertical="center" wrapText="1"/>
    </xf>
    <xf numFmtId="0" fontId="28" fillId="0" borderId="0" applyAlignment="1" pivotButton="0" quotePrefix="0" xfId="0">
      <alignment wrapText="1"/>
    </xf>
    <xf numFmtId="0" fontId="17" fillId="0" borderId="0" applyAlignment="1" pivotButton="0" quotePrefix="0" xfId="0">
      <alignment wrapText="1"/>
    </xf>
    <xf numFmtId="0" fontId="17" fillId="0" borderId="0" pivotButton="0" quotePrefix="0" xfId="0"/>
    <xf numFmtId="0" fontId="19" fillId="0" borderId="0" pivotButton="0" quotePrefix="0" xfId="0"/>
    <xf numFmtId="0" fontId="24" fillId="0" borderId="0" applyAlignment="1" pivotButton="0" quotePrefix="0" xfId="0">
      <alignment wrapText="1"/>
    </xf>
    <xf numFmtId="0" fontId="22" fillId="0" borderId="0" applyAlignment="1" pivotButton="0" quotePrefix="0" xfId="0">
      <alignment horizontal="left" wrapText="1"/>
    </xf>
    <xf numFmtId="0" fontId="24" fillId="0" borderId="0" applyAlignment="1" pivotButton="0" quotePrefix="0" xfId="0">
      <alignment horizontal="left" wrapText="1"/>
    </xf>
    <xf numFmtId="0" fontId="24" fillId="0" borderId="0" applyAlignment="1" pivotButton="0" quotePrefix="0" xfId="0">
      <alignment horizontal="center" vertical="top"/>
    </xf>
    <xf numFmtId="3" fontId="17" fillId="0" borderId="0" applyAlignment="1" pivotButton="0" quotePrefix="0" xfId="0">
      <alignment wrapText="1"/>
    </xf>
    <xf numFmtId="164" fontId="24" fillId="0" borderId="0" pivotButton="0" quotePrefix="0" xfId="22"/>
    <xf numFmtId="0" fontId="33" fillId="0" borderId="0" pivotButton="0" quotePrefix="0" xfId="0"/>
    <xf numFmtId="0" fontId="30" fillId="10" borderId="0" applyAlignment="1" pivotButton="0" quotePrefix="0" xfId="0">
      <alignment vertical="center"/>
    </xf>
    <xf numFmtId="0" fontId="34" fillId="0" borderId="0" applyAlignment="1" pivotButton="0" quotePrefix="0" xfId="1">
      <alignment vertical="center"/>
    </xf>
    <xf numFmtId="0" fontId="34" fillId="0" borderId="0" applyAlignment="1" pivotButton="0" quotePrefix="0" xfId="0">
      <alignment vertical="center"/>
    </xf>
    <xf numFmtId="0" fontId="34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top"/>
    </xf>
    <xf numFmtId="3" fontId="17" fillId="0" borderId="7" applyAlignment="1" pivotButton="0" quotePrefix="0" xfId="0">
      <alignment vertical="center" wrapText="1"/>
    </xf>
    <xf numFmtId="3" fontId="17" fillId="0" borderId="13" applyAlignment="1" pivotButton="0" quotePrefix="0" xfId="0">
      <alignment vertical="center" wrapText="1"/>
    </xf>
    <xf numFmtId="49" fontId="27" fillId="0" borderId="10" applyAlignment="1" pivotButton="0" quotePrefix="0" xfId="0">
      <alignment horizontal="center" vertical="center" wrapText="1"/>
    </xf>
    <xf numFmtId="43" fontId="27" fillId="0" borderId="11" applyAlignment="1" pivotButton="0" quotePrefix="0" xfId="0">
      <alignment horizontal="center" vertical="center" wrapText="1"/>
    </xf>
    <xf numFmtId="49" fontId="27" fillId="0" borderId="11" applyAlignment="1" pivotButton="0" quotePrefix="0" xfId="0">
      <alignment horizontal="center" vertical="center" wrapText="1"/>
    </xf>
    <xf numFmtId="0" fontId="30" fillId="10" borderId="2" applyAlignment="1" pivotButton="0" quotePrefix="1" xfId="0">
      <alignment horizontal="center" vertical="center"/>
    </xf>
    <xf numFmtId="0" fontId="30" fillId="10" borderId="15" applyAlignment="1" pivotButton="0" quotePrefix="1" xfId="0">
      <alignment horizontal="center" vertical="center"/>
    </xf>
    <xf numFmtId="0" fontId="30" fillId="10" borderId="1" applyAlignment="1" pivotButton="0" quotePrefix="1" xfId="0">
      <alignment horizontal="center" vertical="center"/>
    </xf>
    <xf numFmtId="0" fontId="30" fillId="10" borderId="9" applyAlignment="1" pivotButton="0" quotePrefix="1" xfId="0">
      <alignment horizontal="center" vertical="center"/>
    </xf>
    <xf numFmtId="3" fontId="30" fillId="10" borderId="14" applyAlignment="1" pivotButton="0" quotePrefix="0" xfId="0">
      <alignment horizontal="center" vertical="center"/>
    </xf>
    <xf numFmtId="3" fontId="30" fillId="10" borderId="8" applyAlignment="1" pivotButton="0" quotePrefix="0" xfId="0">
      <alignment horizontal="center" vertical="center"/>
    </xf>
    <xf numFmtId="0" fontId="31" fillId="10" borderId="1" applyAlignment="1" pivotButton="0" quotePrefix="1" xfId="0">
      <alignment horizontal="center" vertical="center"/>
    </xf>
    <xf numFmtId="0" fontId="31" fillId="10" borderId="1" applyAlignment="1" pivotButton="0" quotePrefix="0" xfId="0">
      <alignment horizontal="center" vertical="center"/>
    </xf>
    <xf numFmtId="14" fontId="31" fillId="10" borderId="1" applyAlignment="1" pivotButton="0" quotePrefix="1" xfId="0">
      <alignment horizontal="center" vertical="center"/>
    </xf>
    <xf numFmtId="0" fontId="31" fillId="10" borderId="2" applyAlignment="1" pivotButton="0" quotePrefix="0" xfId="0">
      <alignment horizontal="center" vertical="center"/>
    </xf>
    <xf numFmtId="4" fontId="31" fillId="10" borderId="1" applyAlignment="1" pivotButton="0" quotePrefix="0" xfId="0">
      <alignment horizontal="center" vertical="center"/>
    </xf>
    <xf numFmtId="164" fontId="31" fillId="10" borderId="2" applyAlignment="1" pivotButton="0" quotePrefix="0" xfId="0">
      <alignment horizontal="center" vertical="center"/>
    </xf>
    <xf numFmtId="164" fontId="31" fillId="10" borderId="1" applyAlignment="1" pivotButton="0" quotePrefix="0" xfId="0">
      <alignment horizontal="center" vertical="center"/>
    </xf>
    <xf numFmtId="0" fontId="30" fillId="10" borderId="1" applyAlignment="1" pivotButton="0" quotePrefix="1" xfId="0">
      <alignment horizontal="center" vertical="center" wrapText="1"/>
    </xf>
    <xf numFmtId="16" fontId="30" fillId="10" borderId="1" applyAlignment="1" pivotButton="0" quotePrefix="1" xfId="0">
      <alignment horizontal="center" vertical="center"/>
    </xf>
    <xf numFmtId="3" fontId="30" fillId="10" borderId="1" applyAlignment="1" pivotButton="0" quotePrefix="0" xfId="0">
      <alignment horizontal="center" vertical="center"/>
    </xf>
    <xf numFmtId="3" fontId="31" fillId="10" borderId="1" applyAlignment="1" pivotButton="0" quotePrefix="0" xfId="0">
      <alignment horizontal="center" vertical="center"/>
    </xf>
    <xf numFmtId="0" fontId="37" fillId="10" borderId="1" applyAlignment="1" pivotButton="0" quotePrefix="0" xfId="0">
      <alignment horizontal="center" vertical="center"/>
    </xf>
    <xf numFmtId="0" fontId="30" fillId="10" borderId="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wrapText="1"/>
    </xf>
    <xf numFmtId="0" fontId="32" fillId="0" borderId="0" applyAlignment="1" pivotButton="0" quotePrefix="0" xfId="0">
      <alignment horizontal="center" vertical="center"/>
    </xf>
    <xf numFmtId="43" fontId="26" fillId="0" borderId="6" applyAlignment="1" pivotButton="0" quotePrefix="0" xfId="0">
      <alignment horizontal="center" vertical="center"/>
    </xf>
    <xf numFmtId="43" fontId="26" fillId="0" borderId="7" applyAlignment="1" pivotButton="0" quotePrefix="0" xfId="0">
      <alignment horizontal="center" vertical="center"/>
    </xf>
    <xf numFmtId="43" fontId="24" fillId="0" borderId="7" applyAlignment="1" pivotButton="0" quotePrefix="0" xfId="0">
      <alignment horizontal="center" vertical="center" wrapText="1"/>
    </xf>
    <xf numFmtId="43" fontId="26" fillId="0" borderId="11" applyAlignment="1" pivotButton="0" quotePrefix="0" xfId="0">
      <alignment horizontal="center" vertical="center"/>
    </xf>
    <xf numFmtId="0" fontId="24" fillId="0" borderId="7" applyAlignment="1" pivotButton="0" quotePrefix="0" xfId="0">
      <alignment horizontal="center" vertical="center" wrapText="1"/>
    </xf>
    <xf numFmtId="0" fontId="24" fillId="0" borderId="13" applyAlignment="1" pivotButton="0" quotePrefix="0" xfId="0">
      <alignment horizontal="center" vertical="center" wrapText="1"/>
    </xf>
    <xf numFmtId="0" fontId="24" fillId="0" borderId="11" applyAlignment="1" pivotButton="0" quotePrefix="0" xfId="0">
      <alignment horizontal="center" vertical="center" wrapText="1"/>
    </xf>
    <xf numFmtId="0" fontId="24" fillId="0" borderId="12" applyAlignment="1" pivotButton="0" quotePrefix="0" xfId="0">
      <alignment horizontal="center" vertical="center" wrapText="1"/>
    </xf>
    <xf numFmtId="3" fontId="18" fillId="0" borderId="6" applyAlignment="1" pivotButton="0" quotePrefix="0" xfId="0">
      <alignment horizontal="center" vertical="center" wrapText="1"/>
    </xf>
    <xf numFmtId="3" fontId="18" fillId="0" borderId="7" applyAlignment="1" pivotButton="0" quotePrefix="0" xfId="0">
      <alignment horizontal="center" vertical="center" wrapText="1"/>
    </xf>
    <xf numFmtId="3" fontId="26" fillId="0" borderId="8" applyAlignment="1" pivotButton="0" quotePrefix="0" xfId="0">
      <alignment horizontal="center" vertical="center" wrapText="1"/>
    </xf>
    <xf numFmtId="3" fontId="26" fillId="0" borderId="1" applyAlignment="1" pivotButton="0" quotePrefix="0" xfId="0">
      <alignment horizontal="center" vertical="center" wrapText="1"/>
    </xf>
    <xf numFmtId="3" fontId="18" fillId="0" borderId="10" applyAlignment="1" pivotButton="0" quotePrefix="0" xfId="0">
      <alignment horizontal="center" vertical="center" wrapText="1"/>
    </xf>
    <xf numFmtId="3" fontId="18" fillId="0" borderId="11" applyAlignment="1" pivotButton="0" quotePrefix="0" xfId="0">
      <alignment horizontal="center" vertical="center" wrapText="1"/>
    </xf>
    <xf numFmtId="0" fontId="13" fillId="5" borderId="4" applyAlignment="1" pivotButton="0" quotePrefix="0" xfId="1">
      <alignment horizontal="center" vertical="center" wrapText="1"/>
    </xf>
    <xf numFmtId="0" fontId="13" fillId="5" borderId="5" applyAlignment="1" pivotButton="0" quotePrefix="0" xfId="1">
      <alignment horizontal="center" vertical="center" wrapText="1"/>
    </xf>
    <xf numFmtId="0" fontId="13" fillId="5" borderId="2" applyAlignment="1" pivotButton="0" quotePrefix="0" xfId="1">
      <alignment horizontal="center" vertical="center" wrapText="1"/>
    </xf>
    <xf numFmtId="43" fontId="13" fillId="9" borderId="4" applyAlignment="1" pivotButton="0" quotePrefix="0" xfId="20">
      <alignment horizontal="center" vertical="center" wrapText="1"/>
    </xf>
    <xf numFmtId="43" fontId="13" fillId="9" borderId="2" applyAlignment="1" pivotButton="0" quotePrefix="0" xfId="20">
      <alignment horizontal="center" vertical="center" wrapText="1"/>
    </xf>
    <xf numFmtId="43" fontId="13" fillId="4" borderId="4" applyAlignment="1" pivotButton="0" quotePrefix="0" xfId="20">
      <alignment horizontal="center" vertical="center" wrapText="1"/>
    </xf>
    <xf numFmtId="43" fontId="13" fillId="4" borderId="2" applyAlignment="1" pivotButton="0" quotePrefix="0" xfId="20">
      <alignment horizontal="center" vertical="center" wrapText="1"/>
    </xf>
    <xf numFmtId="164" fontId="13" fillId="4" borderId="4" applyAlignment="1" pivotButton="0" quotePrefix="0" xfId="20">
      <alignment horizontal="center" vertical="center" wrapText="1"/>
    </xf>
    <xf numFmtId="164" fontId="13" fillId="4" borderId="2" applyAlignment="1" pivotButton="0" quotePrefix="0" xfId="20">
      <alignment horizontal="center" vertical="center" wrapText="1"/>
    </xf>
    <xf numFmtId="2" fontId="13" fillId="8" borderId="4" applyAlignment="1" pivotButton="0" quotePrefix="0" xfId="1">
      <alignment horizontal="center" vertical="center" wrapText="1"/>
    </xf>
    <xf numFmtId="2" fontId="13" fillId="8" borderId="5" applyAlignment="1" pivotButton="0" quotePrefix="0" xfId="1">
      <alignment horizontal="center" vertical="center" wrapText="1"/>
    </xf>
    <xf numFmtId="2" fontId="13" fillId="8" borderId="2" applyAlignment="1" pivotButton="0" quotePrefix="0" xfId="1">
      <alignment horizontal="center" vertical="center" wrapText="1"/>
    </xf>
    <xf numFmtId="0" fontId="30" fillId="10" borderId="11" applyAlignment="1" pivotButton="0" quotePrefix="1" xfId="0">
      <alignment horizontal="center" vertical="center"/>
    </xf>
    <xf numFmtId="0" fontId="30" fillId="10" borderId="12" applyAlignment="1" pivotButton="0" quotePrefix="1" xfId="0">
      <alignment horizontal="center" vertical="center"/>
    </xf>
    <xf numFmtId="0" fontId="31" fillId="10" borderId="2" applyAlignment="1" pivotButton="0" quotePrefix="1" xfId="0">
      <alignment horizontal="center" vertical="center"/>
    </xf>
    <xf numFmtId="14" fontId="31" fillId="10" borderId="2" applyAlignment="1" pivotButton="0" quotePrefix="1" xfId="0">
      <alignment horizontal="center" vertical="center"/>
    </xf>
    <xf numFmtId="4" fontId="31" fillId="10" borderId="2" applyAlignment="1" pivotButton="0" quotePrefix="0" xfId="0">
      <alignment horizontal="center" vertical="center"/>
    </xf>
    <xf numFmtId="3" fontId="30" fillId="10" borderId="17" applyAlignment="1" pivotButton="0" quotePrefix="0" xfId="0">
      <alignment horizontal="center" vertical="center"/>
    </xf>
    <xf numFmtId="0" fontId="30" fillId="10" borderId="4" applyAlignment="1" pivotButton="0" quotePrefix="1" xfId="0">
      <alignment horizontal="center" vertical="center" wrapText="1"/>
    </xf>
    <xf numFmtId="16" fontId="30" fillId="10" borderId="4" applyAlignment="1" pivotButton="0" quotePrefix="1" xfId="0">
      <alignment horizontal="center" vertical="center"/>
    </xf>
    <xf numFmtId="0" fontId="31" fillId="10" borderId="4" applyAlignment="1" pivotButton="0" quotePrefix="0" xfId="0">
      <alignment horizontal="center" vertical="center"/>
    </xf>
    <xf numFmtId="3" fontId="30" fillId="10" borderId="4" applyAlignment="1" pivotButton="0" quotePrefix="0" xfId="0">
      <alignment horizontal="center" vertical="center"/>
    </xf>
    <xf numFmtId="0" fontId="30" fillId="10" borderId="4" applyAlignment="1" pivotButton="0" quotePrefix="1" xfId="0">
      <alignment horizontal="center" vertical="center"/>
    </xf>
    <xf numFmtId="3" fontId="31" fillId="10" borderId="4" applyAlignment="1" pivotButton="0" quotePrefix="0" xfId="0">
      <alignment horizontal="center" vertical="center"/>
    </xf>
    <xf numFmtId="164" fontId="31" fillId="10" borderId="4" applyAlignment="1" pivotButton="0" quotePrefix="0" xfId="0">
      <alignment horizontal="center" vertical="center"/>
    </xf>
    <xf numFmtId="0" fontId="37" fillId="10" borderId="4" applyAlignment="1" pivotButton="0" quotePrefix="0" xfId="0">
      <alignment horizontal="center" vertical="center"/>
    </xf>
    <xf numFmtId="43" fontId="24" fillId="0" borderId="18" applyAlignment="1" pivotButton="0" quotePrefix="0" xfId="0">
      <alignment horizontal="center" vertical="center" wrapText="1"/>
    </xf>
    <xf numFmtId="43" fontId="24" fillId="0" borderId="19" applyAlignment="1" pivotButton="0" quotePrefix="0" xfId="0">
      <alignment horizontal="center" vertical="center" wrapText="1"/>
    </xf>
    <xf numFmtId="164" fontId="31" fillId="10" borderId="20" applyAlignment="1" pivotButton="0" quotePrefix="0" xfId="0">
      <alignment horizontal="center" vertical="center"/>
    </xf>
    <xf numFmtId="164" fontId="31" fillId="10" borderId="16" applyAlignment="1" pivotButton="0" quotePrefix="0" xfId="0">
      <alignment horizontal="center" vertical="center"/>
    </xf>
    <xf numFmtId="164" fontId="31" fillId="10" borderId="21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 wrapText="1"/>
    </xf>
    <xf numFmtId="0" fontId="24" fillId="0" borderId="10" applyAlignment="1" pivotButton="0" quotePrefix="0" xfId="0">
      <alignment horizontal="center" vertical="center" wrapText="1"/>
    </xf>
    <xf numFmtId="4" fontId="31" fillId="10" borderId="14" applyAlignment="1" pivotButton="0" quotePrefix="1" xfId="0">
      <alignment horizontal="center" vertical="center"/>
    </xf>
    <xf numFmtId="4" fontId="31" fillId="10" borderId="8" applyAlignment="1" pivotButton="0" quotePrefix="1" xfId="0">
      <alignment horizontal="center" vertical="center"/>
    </xf>
    <xf numFmtId="0" fontId="30" fillId="10" borderId="8" applyAlignment="1" pivotButton="0" quotePrefix="1" xfId="0">
      <alignment horizontal="center" vertical="center"/>
    </xf>
    <xf numFmtId="0" fontId="30" fillId="10" borderId="10" applyAlignment="1" pivotButton="0" quotePrefix="1" xfId="0">
      <alignment horizontal="center" vertical="center"/>
    </xf>
    <xf numFmtId="0" fontId="0" fillId="0" borderId="24" pivotButton="0" quotePrefix="0" xfId="0"/>
    <xf numFmtId="0" fontId="0" fillId="0" borderId="25" pivotButton="0" quotePrefix="0" xfId="0"/>
    <xf numFmtId="0" fontId="0" fillId="0" borderId="23" pivotButton="0" quotePrefix="0" xfId="0"/>
    <xf numFmtId="0" fontId="0" fillId="0" borderId="2" pivotButton="0" quotePrefix="0" xfId="0"/>
    <xf numFmtId="0" fontId="0" fillId="0" borderId="20" pivotButton="0" quotePrefix="0" xfId="0"/>
    <xf numFmtId="0" fontId="0" fillId="0" borderId="14" pivotButton="0" quotePrefix="0" xfId="0"/>
    <xf numFmtId="0" fontId="0" fillId="0" borderId="30" pivotButton="0" quotePrefix="0" xfId="0"/>
    <xf numFmtId="164" fontId="31" fillId="10" borderId="2" applyAlignment="1" pivotButton="0" quotePrefix="0" xfId="0">
      <alignment horizontal="center" vertical="center"/>
    </xf>
    <xf numFmtId="164" fontId="31" fillId="10" borderId="20" applyAlignment="1" pivotButton="0" quotePrefix="0" xfId="0">
      <alignment horizontal="center" vertical="center"/>
    </xf>
    <xf numFmtId="164" fontId="31" fillId="10" borderId="1" applyAlignment="1" pivotButton="0" quotePrefix="0" xfId="0">
      <alignment horizontal="center" vertical="center"/>
    </xf>
    <xf numFmtId="164" fontId="31" fillId="10" borderId="16" applyAlignment="1" pivotButton="0" quotePrefix="0" xfId="0">
      <alignment horizontal="center" vertical="center"/>
    </xf>
    <xf numFmtId="164" fontId="31" fillId="10" borderId="4" applyAlignment="1" pivotButton="0" quotePrefix="0" xfId="0">
      <alignment horizontal="center" vertical="center"/>
    </xf>
    <xf numFmtId="164" fontId="31" fillId="10" borderId="21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164" fontId="24" fillId="0" borderId="0" pivotButton="0" quotePrefix="0" xfId="22"/>
    <xf numFmtId="0" fontId="13" fillId="5" borderId="1" applyAlignment="1" pivotButton="0" quotePrefix="0" xfId="1">
      <alignment horizontal="center" vertical="center" wrapText="1"/>
    </xf>
    <xf numFmtId="2" fontId="13" fillId="8" borderId="1" applyAlignment="1" pivotButton="0" quotePrefix="0" xfId="1">
      <alignment horizontal="center" vertical="center" wrapText="1"/>
    </xf>
    <xf numFmtId="43" fontId="13" fillId="4" borderId="1" applyAlignment="1" pivotButton="0" quotePrefix="0" xfId="20">
      <alignment horizontal="center" vertical="center" wrapText="1"/>
    </xf>
    <xf numFmtId="164" fontId="13" fillId="4" borderId="1" applyAlignment="1" pivotButton="0" quotePrefix="0" xfId="20">
      <alignment horizontal="center" vertical="center" wrapText="1"/>
    </xf>
    <xf numFmtId="43" fontId="13" fillId="9" borderId="1" applyAlignment="1" pivotButton="0" quotePrefix="0" xfId="20">
      <alignment horizontal="center" vertical="center" wrapText="1"/>
    </xf>
    <xf numFmtId="0" fontId="0" fillId="0" borderId="5" pivotButton="0" quotePrefix="0" xfId="0"/>
  </cellXfs>
  <cellStyles count="57">
    <cellStyle name="Normal" xfId="0" builtinId="0"/>
    <cellStyle name="Normal 2" xfId="1"/>
    <cellStyle name="Normal 120" xfId="2"/>
    <cellStyle name="Normal 134" xfId="3"/>
    <cellStyle name="Normal 138" xfId="4"/>
    <cellStyle name="Normal 143" xfId="5"/>
    <cellStyle name="Normal 146" xfId="6"/>
    <cellStyle name="Normal 3" xfId="7"/>
    <cellStyle name="Comma 2" xfId="8"/>
    <cellStyle name="Comma 6" xfId="9"/>
    <cellStyle name="Normal 4" xfId="10"/>
    <cellStyle name="Note 2" xfId="11"/>
    <cellStyle name="標準_NOV 09" xfId="12"/>
    <cellStyle name="Normal 5" xfId="13"/>
    <cellStyle name="Comma 3" xfId="14"/>
    <cellStyle name="Note 3" xfId="15"/>
    <cellStyle name="Normal 6" xfId="16"/>
    <cellStyle name="Comma 4" xfId="17"/>
    <cellStyle name="Note 4" xfId="18"/>
    <cellStyle name="Normal 7" xfId="19"/>
    <cellStyle name="Comma 7" xfId="20"/>
    <cellStyle name="Note 5" xfId="21"/>
    <cellStyle name="Comma 5" xfId="22"/>
    <cellStyle name="Normal 3 2" xfId="23"/>
    <cellStyle name="Comma 2 2" xfId="24"/>
    <cellStyle name="Note 2 2" xfId="25"/>
    <cellStyle name="Normal 5 2" xfId="26"/>
    <cellStyle name="Comma 3 2" xfId="27"/>
    <cellStyle name="Note 3 2" xfId="28"/>
    <cellStyle name="Normal 6 2" xfId="29"/>
    <cellStyle name="Comma 4 2" xfId="30"/>
    <cellStyle name="Note 4 2" xfId="31"/>
    <cellStyle name="Normal 8" xfId="32"/>
    <cellStyle name="Normal 3 3" xfId="33"/>
    <cellStyle name="Comma 2 3" xfId="34"/>
    <cellStyle name="Note 2 3" xfId="35"/>
    <cellStyle name="Normal 5 3" xfId="36"/>
    <cellStyle name="Comma 3 3" xfId="37"/>
    <cellStyle name="Note 3 3" xfId="38"/>
    <cellStyle name="Normal 6 3" xfId="39"/>
    <cellStyle name="Comma 4 3" xfId="40"/>
    <cellStyle name="Note 4 3" xfId="41"/>
    <cellStyle name="Normal 7 2" xfId="42"/>
    <cellStyle name="Comma 7 2" xfId="43"/>
    <cellStyle name="Note 5 2" xfId="44"/>
    <cellStyle name="Normal 3 2 2" xfId="45"/>
    <cellStyle name="Comma 2 2 2" xfId="46"/>
    <cellStyle name="Note 2 2 2" xfId="47"/>
    <cellStyle name="Normal 5 2 2" xfId="48"/>
    <cellStyle name="Comma 3 2 2" xfId="49"/>
    <cellStyle name="Note 3 2 2" xfId="50"/>
    <cellStyle name="Normal 6 2 2" xfId="51"/>
    <cellStyle name="Comma 4 2 2" xfId="52"/>
    <cellStyle name="Note 4 2 2" xfId="53"/>
    <cellStyle name="Comma 8" xfId="54"/>
    <cellStyle name="Normal 9" xfId="55"/>
    <cellStyle name="Comma 9" xfId="56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Hi</author>
  </authors>
  <commentList>
    <comment ref="O13" authorId="0" shapeId="0">
      <text>
        <t xml:space="preserve">Hi:
KBHC
</t>
      </text>
    </comment>
    <comment ref="R27" authorId="0" shapeId="0">
      <text>
        <t>Hi:
xlhh&amp; lưu kho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228600</colOff>
      <row>0</row>
      <rowOff>54429</rowOff>
    </from>
    <to>
      <col>1</col>
      <colOff>812689</colOff>
      <row>2</row>
      <rowOff>257175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28600" y="54429"/>
          <a:ext cx="954203" cy="7905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Grek" typeface=""/>
        <a:font script="Cyrl" typeface=""/>
        <a:font script="Jpan" typeface="ＭＳ Ｐゴシック"/>
        <a:font script="Hang" typeface="맑은 고딕"/>
        <a:font script="Hans" typeface="宋体"/>
        <a:font script="Hant" typeface="微軟正黑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</a:majorFont>
      <a:minorFont>
        <a:latin typeface="Calibri"/>
        <a:ea typeface=""/>
        <a:cs typeface=""/>
        <a:font script="Grek" typeface=""/>
        <a:font script="Cyrl"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hade val="98000"/>
                <a:satMod val="300000"/>
              </a:schemeClr>
            </a:gs>
            <a:gs pos="25000">
              <a:schemeClr val="phClr">
                <a:tint val="37000"/>
                <a:shade val="98000"/>
                <a:satMod val="300000"/>
              </a:schemeClr>
            </a:gs>
            <a:gs pos="100000">
              <a:schemeClr val="phClr">
                <a:tint val="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75000"/>
                <a:satMod val="160000"/>
              </a:schemeClr>
            </a:gs>
            <a:gs pos="62000">
              <a:schemeClr val="phClr">
                <a:satMod val="125000"/>
              </a:schemeClr>
            </a:gs>
            <a:gs pos="100000">
              <a:schemeClr val="phClr">
                <a:tint val="80000"/>
                <a:satMod val="140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25400" dir="5400000">
              <a:srgbClr val="000000">
                <a:alpha val="43137"/>
              </a:srgbClr>
            </a:outerShdw>
          </a:effectLst>
        </a:effectStyle>
        <a:effectStyle>
          <a:effectLst>
            <a:outerShdw blurRad="50800" dist="38100" dir="5400000">
              <a:srgbClr val="000000">
                <a:alpha val="45882"/>
              </a:srgbClr>
            </a:outerShdw>
          </a:effectLst>
          <a:scene3d>
            <a:camera prst="orthographicFront" fov="0">
              <a:rot lat="0" lon="0" rev="0"/>
            </a:camera>
            <a:lightRig rig="contrasting" dir="t">
              <a:rot lat="0" lon="0" rev="16500000"/>
            </a:lightRig>
          </a:scene3d>
          <a:sp3d contourW="12700" prstMaterial="powder">
            <a:bevelT h="50800"/>
            <a:contourClr>
              <a:schemeClr val="phClr"/>
            </a:contourClr>
          </a:sp3d>
        </a:effectStyle>
        <a:effectStyle>
          <a:effectLst>
            <a:reflection blurRad="12700" stA="25000" endPos="28000" dist="38100" dir="5400000" sy="-100000"/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>
            <a:bevelT w="139700" h="38100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75000"/>
                <a:satMod val="250000"/>
              </a:schemeClr>
            </a:gs>
            <a:gs pos="20000">
              <a:schemeClr val="phClr">
                <a:shade val="85000"/>
                <a:satMod val="175000"/>
              </a:schemeClr>
            </a:gs>
            <a:gs pos="100000">
              <a:schemeClr val="phClr">
                <a:tint val="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0000"/>
                <a:satMod val="145000"/>
              </a:schemeClr>
            </a:gs>
            <a:gs pos="30000">
              <a:schemeClr val="phClr">
                <a:shade val="65000"/>
                <a:satMod val="155000"/>
              </a:schemeClr>
            </a:gs>
            <a:gs pos="100000">
              <a:schemeClr val="phClr">
                <a:tint val="60000"/>
                <a:satMod val="170000"/>
              </a:schemeClr>
            </a:gs>
          </a:gsLst>
          <a:lin ang="16200000" scaled="1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T203"/>
  <sheetViews>
    <sheetView tabSelected="1" view="pageBreakPreview" topLeftCell="A28" zoomScale="85" zoomScaleNormal="85" zoomScaleSheetLayoutView="85" zoomScalePageLayoutView="40" workbookViewId="0">
      <selection activeCell="F33" sqref="F33"/>
    </sheetView>
  </sheetViews>
  <sheetFormatPr baseColWidth="8" defaultColWidth="9.08984375" defaultRowHeight="15.5"/>
  <cols>
    <col width="5.36328125" customWidth="1" style="16" min="1" max="1"/>
    <col width="13.6328125" customWidth="1" style="16" min="2" max="2"/>
    <col width="19.6328125" customWidth="1" style="25" min="3" max="3"/>
    <col width="19.90625" customWidth="1" style="42" min="4" max="4"/>
    <col width="16.6328125" customWidth="1" style="88" min="5" max="5"/>
    <col width="26.26953125" customWidth="1" style="16" min="6" max="6"/>
    <col width="11.36328125" customWidth="1" style="16" min="7" max="7"/>
    <col width="13.453125" bestFit="1" customWidth="1" style="16" min="8" max="8"/>
    <col width="9.453125" bestFit="1" customWidth="1" style="16" min="9" max="9"/>
    <col width="18.54296875" customWidth="1" style="16" min="10" max="10"/>
    <col width="15.26953125" bestFit="1" customWidth="1" style="18" min="11" max="11"/>
    <col width="14.54296875" bestFit="1" customWidth="1" style="18" min="12" max="12"/>
    <col width="16.36328125" customWidth="1" style="18" min="13" max="13"/>
    <col width="15.1796875" customWidth="1" style="16" min="14" max="14"/>
    <col width="14.1796875" customWidth="1" style="16" min="15" max="15"/>
    <col width="18.81640625" customWidth="1" style="16" min="16" max="16"/>
    <col width="17.90625" customWidth="1" style="16" min="17" max="17"/>
    <col width="13.7265625" customWidth="1" style="16" min="18" max="18"/>
    <col width="12.6328125" customWidth="1" style="16" min="19" max="19"/>
    <col width="13.81640625" customWidth="1" style="16" min="20" max="20"/>
    <col width="11" customWidth="1" style="16" min="21" max="21"/>
    <col width="15.7265625" bestFit="1" customWidth="1" style="16" min="22" max="22"/>
    <col width="12.54296875" customWidth="1" style="16" min="23" max="23"/>
    <col width="11.453125" customWidth="1" style="16" min="24" max="24"/>
    <col width="20.36328125" bestFit="1" customWidth="1" style="16" min="25" max="25"/>
    <col width="15.7265625" bestFit="1" customWidth="1" style="16" min="26" max="26"/>
    <col width="18.453125" customWidth="1" style="16" min="27" max="27"/>
    <col width="21.81640625" customWidth="1" style="20" min="28" max="28"/>
    <col width="8.1796875" customWidth="1" style="16" min="29" max="29"/>
    <col width="8" customWidth="1" style="16" min="30" max="30"/>
    <col width="9.08984375" customWidth="1" style="16" min="31" max="243"/>
    <col width="9.08984375" customWidth="1" style="16" min="244" max="16384"/>
  </cols>
  <sheetData>
    <row r="1" ht="23.4" customHeight="1">
      <c r="A1" s="14" t="n"/>
      <c r="B1" s="14" t="n"/>
      <c r="C1" s="15" t="inlineStr">
        <is>
          <t>CÔNG TY TNHH THƯƠNG MẠI VÀ DỊCH VỤ 5P VIỆT NAM</t>
        </is>
      </c>
      <c r="F1" s="14" t="n"/>
      <c r="G1" s="17" t="n"/>
      <c r="Z1" s="19" t="n"/>
    </row>
    <row r="2" ht="23.4" customHeight="1">
      <c r="A2" s="21" t="n"/>
      <c r="B2" s="21" t="n"/>
      <c r="C2" s="15" t="inlineStr">
        <is>
          <t>Số nhà 02 Ngõ 1H Phố Trần Quang Diệu, Phường Đống Đa, Thành phố Hà Nội, Việt Nam</t>
        </is>
      </c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Z2" s="19" t="n"/>
    </row>
    <row r="3" ht="23.4" customHeight="1">
      <c r="A3" s="22" t="n"/>
      <c r="C3" s="22" t="inlineStr">
        <is>
          <t>MST: 0110523309</t>
        </is>
      </c>
      <c r="Z3" s="19" t="n"/>
    </row>
    <row r="4" ht="23.4" customHeight="1">
      <c r="A4" s="22" t="n"/>
      <c r="C4" s="22" t="n"/>
      <c r="Z4" s="19" t="n"/>
    </row>
    <row r="5" ht="67" customHeight="1">
      <c r="A5" s="89" t="inlineStr">
        <is>
          <t>BẢNG KÊ CHI TIẾT HÀNG NHẬP QUỐC TẾ THÁNG 02 NĂM 2026</t>
        </is>
      </c>
    </row>
    <row r="6" ht="37.5" customHeight="1">
      <c r="A6" s="23" t="n"/>
      <c r="B6" s="23" t="n"/>
      <c r="C6" s="23" t="n"/>
      <c r="D6" s="43" t="n"/>
      <c r="E6" s="54" t="n"/>
      <c r="F6" s="23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</row>
    <row r="7" ht="17.5" customHeight="1">
      <c r="B7" s="58" t="inlineStr">
        <is>
          <t>KÍNH GỬI :  CÔNG TY TNHH DAINESE VIỆT NAM</t>
        </is>
      </c>
      <c r="C7" s="24" t="n"/>
      <c r="Z7" s="19" t="n"/>
    </row>
    <row r="8" ht="17.5" customHeight="1">
      <c r="B8" s="58" t="inlineStr">
        <is>
          <t>Địa chỉ : Lô CN13, Lô CN18, Khu Công nghiệp Yên Bình, Phường Vạn Xuân, Tỉnh Thái Nguyên, Việt Nam</t>
        </is>
      </c>
      <c r="U8" s="26" t="n"/>
    </row>
    <row r="9" ht="17.5" customHeight="1">
      <c r="B9" s="58" t="inlineStr">
        <is>
          <t>Attn:   Ms. Phương Anh - Ms. Dương</t>
        </is>
      </c>
      <c r="U9" s="26" t="n"/>
      <c r="AD9" s="19" t="n"/>
    </row>
    <row r="10" ht="73" customHeight="1" thickBot="1">
      <c r="O10" s="19" t="n"/>
      <c r="S10" s="19" t="n"/>
      <c r="V10" s="19" t="n"/>
      <c r="AA10" s="19" t="n"/>
    </row>
    <row r="11" ht="25.5" customHeight="1">
      <c r="A11" s="90" t="inlineStr">
        <is>
          <t>Thông tin chung</t>
        </is>
      </c>
      <c r="B11" s="141" t="n"/>
      <c r="C11" s="141" t="n"/>
      <c r="D11" s="141" t="n"/>
      <c r="E11" s="141" t="n"/>
      <c r="F11" s="141" t="n"/>
      <c r="G11" s="142" t="n"/>
      <c r="H11" s="91" t="inlineStr">
        <is>
          <t>Khổi lượng</t>
        </is>
      </c>
      <c r="I11" s="142" t="n"/>
      <c r="J11" s="91" t="inlineStr">
        <is>
          <t>Note</t>
        </is>
      </c>
      <c r="K11" s="91" t="inlineStr">
        <is>
          <t xml:space="preserve">Phí dịch vụ làm hàng  ( VND) </t>
        </is>
      </c>
      <c r="L11" s="141" t="n"/>
      <c r="M11" s="141" t="n"/>
      <c r="N11" s="141" t="n"/>
      <c r="O11" s="141" t="n"/>
      <c r="P11" s="141" t="n"/>
      <c r="Q11" s="141" t="n"/>
      <c r="R11" s="141" t="n"/>
      <c r="S11" s="141" t="n"/>
      <c r="T11" s="141" t="n"/>
      <c r="U11" s="141" t="n"/>
      <c r="V11" s="142" t="n"/>
      <c r="W11" s="92" t="inlineStr">
        <is>
          <t>Phí trả hộ</t>
        </is>
      </c>
      <c r="X11" s="141" t="n"/>
      <c r="Y11" s="141" t="n"/>
      <c r="Z11" s="142" t="n"/>
      <c r="AA11" s="130" t="inlineStr">
        <is>
          <t xml:space="preserve">Tổng tiền phải trả </t>
        </is>
      </c>
      <c r="AB11" s="135" t="inlineStr">
        <is>
          <t>Số hóa đơn trả hộ</t>
        </is>
      </c>
      <c r="AC11" s="94" t="inlineStr">
        <is>
          <t>Số hóa đơn của forwarder</t>
        </is>
      </c>
      <c r="AD11" s="143" t="n"/>
    </row>
    <row r="12" ht="41.5" customFormat="1" customHeight="1" s="48" thickBot="1">
      <c r="A12" s="66" t="inlineStr">
        <is>
          <t>No.</t>
        </is>
      </c>
      <c r="B12" s="67" t="inlineStr">
        <is>
          <t>Tờ khai</t>
        </is>
      </c>
      <c r="C12" s="67" t="inlineStr">
        <is>
          <t>Hóa đơn thương mại</t>
        </is>
      </c>
      <c r="D12" s="68" t="inlineStr">
        <is>
          <t>Vận đơn/Note</t>
        </is>
      </c>
      <c r="E12" s="68" t="inlineStr">
        <is>
          <t>Ngày tờ khai</t>
        </is>
      </c>
      <c r="F12" s="67" t="inlineStr">
        <is>
          <t>Tuyến đường</t>
        </is>
      </c>
      <c r="G12" s="67" t="inlineStr">
        <is>
          <t>Loại hình vận chuyển</t>
        </is>
      </c>
      <c r="H12" s="67" t="inlineStr">
        <is>
          <t>Kgs</t>
        </is>
      </c>
      <c r="I12" s="67" t="inlineStr">
        <is>
          <t>No. Cont</t>
        </is>
      </c>
      <c r="J12" s="144" t="n"/>
      <c r="K12" s="67" t="inlineStr">
        <is>
          <t>Phí mở tờ khai hải quan</t>
        </is>
      </c>
      <c r="L12" s="67" t="inlineStr">
        <is>
          <t>Phí kiểm hóa</t>
        </is>
      </c>
      <c r="M12" s="67" t="inlineStr">
        <is>
          <t>Phí vận chuyển</t>
        </is>
      </c>
      <c r="N12" s="67" t="inlineStr">
        <is>
          <t>Phí làm hàng</t>
        </is>
      </c>
      <c r="O12" s="67" t="inlineStr">
        <is>
          <t>Phí phát sinh khác</t>
        </is>
      </c>
      <c r="P12" s="67" t="inlineStr">
        <is>
          <t>Phí đầu nước ngoài</t>
        </is>
      </c>
      <c r="Q12" s="67" t="inlineStr">
        <is>
          <t>Cước vận tải quốc tế</t>
        </is>
      </c>
      <c r="R12" s="67" t="inlineStr">
        <is>
          <t>Phí xếp dỡ (THC)</t>
        </is>
      </c>
      <c r="S12" s="67" t="inlineStr">
        <is>
          <t>Phí gom hàng lẻ (CFS)/
CIC/ LSS</t>
        </is>
      </c>
      <c r="T12" s="67" t="inlineStr">
        <is>
          <t>Phí lấy lệnh  (DO)</t>
        </is>
      </c>
      <c r="U12" s="67" t="inlineStr">
        <is>
          <t>Phí  đại lý,</t>
        </is>
      </c>
      <c r="V12" s="67" t="inlineStr">
        <is>
          <t>Tổng</t>
        </is>
      </c>
      <c r="W12" s="67" t="inlineStr">
        <is>
          <t>Local charge</t>
        </is>
      </c>
      <c r="X12" s="67" t="inlineStr">
        <is>
          <t>CSHT, thuế, vé bãi</t>
        </is>
      </c>
      <c r="Y12" s="67" t="inlineStr">
        <is>
          <t>Lưu kho giao nhận bốc xếp, nâng hạ</t>
        </is>
      </c>
      <c r="Z12" s="67" t="inlineStr">
        <is>
          <t>Tổng phí trả hộ</t>
        </is>
      </c>
      <c r="AA12" s="145" t="n"/>
      <c r="AB12" s="146" t="n"/>
      <c r="AC12" s="145" t="n"/>
      <c r="AD12" s="147" t="n"/>
    </row>
    <row r="13" ht="37" customFormat="1" customHeight="1" s="59">
      <c r="A13" s="73" t="n">
        <v>1</v>
      </c>
      <c r="B13" s="118" t="inlineStr">
        <is>
          <t>108021404521</t>
        </is>
      </c>
      <c r="C13" s="118" t="inlineStr">
        <is>
          <t>2025S0217</t>
        </is>
      </c>
      <c r="D13" s="78" t="inlineStr">
        <is>
          <t>2025CA0000102644</t>
        </is>
      </c>
      <c r="E13" s="119" t="inlineStr">
        <is>
          <t>05/03/2026</t>
        </is>
      </c>
      <c r="F13" s="78" t="inlineStr">
        <is>
          <t>Genoa, Italy - Thái Nguyên</t>
        </is>
      </c>
      <c r="G13" s="78" t="inlineStr">
        <is>
          <t>SEA</t>
        </is>
      </c>
      <c r="H13" s="78" t="n">
        <v>5890</v>
      </c>
      <c r="I13" s="78" t="inlineStr">
        <is>
          <t>LCL</t>
        </is>
      </c>
      <c r="J13" s="78" t="inlineStr">
        <is>
          <t>Elantas</t>
        </is>
      </c>
      <c r="K13" s="120" t="n">
        <v>943830</v>
      </c>
      <c r="L13" s="148" t="n"/>
      <c r="M13" s="120" t="n">
        <v>4561845</v>
      </c>
      <c r="N13" s="120" t="n">
        <v>4089930</v>
      </c>
      <c r="O13" s="120" t="n">
        <v>849447</v>
      </c>
      <c r="P13" s="120" t="n">
        <v>19568742</v>
      </c>
      <c r="Q13" s="120" t="n">
        <v>60216354</v>
      </c>
      <c r="R13" s="120" t="n">
        <v>20462234</v>
      </c>
      <c r="S13" s="120" t="n"/>
      <c r="T13" s="120" t="n">
        <v>1258440</v>
      </c>
      <c r="U13" s="148" t="n"/>
      <c r="V13" s="148">
        <f>SUM(K13:U13)</f>
        <v/>
      </c>
      <c r="W13" s="148" t="n"/>
      <c r="X13" s="120" t="n">
        <v>94240</v>
      </c>
      <c r="Y13" s="120" t="n">
        <v>13013670</v>
      </c>
      <c r="Z13" s="148">
        <f>SUM(W13:Y13)</f>
        <v/>
      </c>
      <c r="AA13" s="149">
        <f>+V13+Z13</f>
        <v/>
      </c>
      <c r="AB13" s="137" t="inlineStr">
        <is>
          <t>2985, 1148965</t>
        </is>
      </c>
      <c r="AC13" s="69" t="n">
        <v>152</v>
      </c>
      <c r="AD13" s="70" t="inlineStr">
        <is>
          <t>183, 184</t>
        </is>
      </c>
    </row>
    <row r="14" ht="37" customFormat="1" customHeight="1" s="59">
      <c r="A14" s="74" t="n"/>
      <c r="B14" s="75" t="n"/>
      <c r="C14" s="75" t="n"/>
      <c r="D14" s="76" t="n"/>
      <c r="E14" s="77" t="n"/>
      <c r="F14" s="76" t="n"/>
      <c r="G14" s="76" t="n"/>
      <c r="H14" s="76" t="n"/>
      <c r="I14" s="76" t="n"/>
      <c r="J14" s="76" t="n"/>
      <c r="K14" s="79" t="n"/>
      <c r="L14" s="150" t="n"/>
      <c r="M14" s="79" t="n"/>
      <c r="N14" s="79" t="n"/>
      <c r="O14" s="79" t="n"/>
      <c r="P14" s="79" t="n"/>
      <c r="Q14" s="79" t="n"/>
      <c r="R14" s="79" t="n"/>
      <c r="S14" s="79" t="n"/>
      <c r="T14" s="79" t="n"/>
      <c r="U14" s="150" t="n"/>
      <c r="V14" s="150">
        <f>SUM(K14:U14)</f>
        <v/>
      </c>
      <c r="W14" s="150" t="n"/>
      <c r="X14" s="79" t="n"/>
      <c r="Y14" s="79">
        <f>1153600+44550</f>
        <v/>
      </c>
      <c r="Z14" s="150">
        <f>SUM(W14:Y14)</f>
        <v/>
      </c>
      <c r="AA14" s="151">
        <f>+V14+Z14</f>
        <v/>
      </c>
      <c r="AB14" s="138" t="inlineStr">
        <is>
          <t>2915, 2934</t>
        </is>
      </c>
      <c r="AC14" s="71" t="n">
        <v>149</v>
      </c>
      <c r="AD14" s="72" t="n">
        <v>185</v>
      </c>
    </row>
    <row r="15" ht="37" customFormat="1" customHeight="1" s="59">
      <c r="A15" s="74" t="n"/>
      <c r="B15" s="75" t="n"/>
      <c r="C15" s="75" t="n"/>
      <c r="D15" s="76" t="n"/>
      <c r="E15" s="77" t="n"/>
      <c r="F15" s="76" t="n"/>
      <c r="G15" s="76" t="n"/>
      <c r="H15" s="76" t="n"/>
      <c r="I15" s="76" t="n"/>
      <c r="J15" s="76" t="n"/>
      <c r="K15" s="79" t="n"/>
      <c r="L15" s="150" t="n"/>
      <c r="M15" s="79" t="n"/>
      <c r="N15" s="79" t="n"/>
      <c r="O15" s="79" t="n"/>
      <c r="P15" s="79" t="n"/>
      <c r="Q15" s="79" t="n"/>
      <c r="R15" s="79" t="n"/>
      <c r="S15" s="79" t="n"/>
      <c r="T15" s="79" t="n"/>
      <c r="U15" s="150" t="n"/>
      <c r="V15" s="150">
        <f>SUM(K15:U15)</f>
        <v/>
      </c>
      <c r="W15" s="150" t="n"/>
      <c r="X15" s="79" t="n"/>
      <c r="Y15" s="79" t="n">
        <v>685800</v>
      </c>
      <c r="Z15" s="150">
        <f>SUM(W15:Y15)</f>
        <v/>
      </c>
      <c r="AA15" s="151">
        <f>+V15+Z15</f>
        <v/>
      </c>
      <c r="AB15" s="138" t="inlineStr">
        <is>
          <t>9512</t>
        </is>
      </c>
      <c r="AC15" s="71" t="n">
        <v>148</v>
      </c>
      <c r="AD15" s="72" t="n">
        <v>186</v>
      </c>
    </row>
    <row r="16" ht="37" customFormat="1" customHeight="1" s="59">
      <c r="A16" s="74" t="n"/>
      <c r="B16" s="75" t="n"/>
      <c r="C16" s="75" t="n"/>
      <c r="D16" s="76" t="n"/>
      <c r="E16" s="77" t="n"/>
      <c r="F16" s="76" t="n"/>
      <c r="G16" s="76" t="n"/>
      <c r="H16" s="76" t="n"/>
      <c r="I16" s="76" t="n"/>
      <c r="J16" s="76" t="n"/>
      <c r="K16" s="79" t="n"/>
      <c r="L16" s="150" t="n"/>
      <c r="M16" s="79" t="n"/>
      <c r="N16" s="79" t="n"/>
      <c r="O16" s="79" t="n"/>
      <c r="P16" s="79" t="n"/>
      <c r="Q16" s="79" t="n"/>
      <c r="R16" s="79" t="n"/>
      <c r="S16" s="79" t="n"/>
      <c r="T16" s="79" t="n"/>
      <c r="U16" s="150" t="n"/>
      <c r="V16" s="150">
        <f>SUM(K16:U16)</f>
        <v/>
      </c>
      <c r="W16" s="150" t="n"/>
      <c r="X16" s="79" t="n">
        <v>17920</v>
      </c>
      <c r="Y16" s="79" t="n">
        <v>6175047</v>
      </c>
      <c r="Z16" s="150">
        <f>SUM(W16:Y16)</f>
        <v/>
      </c>
      <c r="AA16" s="151">
        <f>+V16+Z16</f>
        <v/>
      </c>
      <c r="AB16" s="138" t="inlineStr">
        <is>
          <t>18144, 1148969</t>
        </is>
      </c>
      <c r="AC16" s="71" t="n">
        <v>153</v>
      </c>
      <c r="AD16" s="72" t="n">
        <v>187</v>
      </c>
    </row>
    <row r="17" ht="37" customFormat="1" customHeight="1" s="59">
      <c r="A17" s="74" t="n"/>
      <c r="B17" s="75" t="n"/>
      <c r="C17" s="75" t="n"/>
      <c r="D17" s="76" t="n"/>
      <c r="E17" s="77" t="n"/>
      <c r="F17" s="76" t="n"/>
      <c r="G17" s="76" t="n"/>
      <c r="H17" s="76" t="n"/>
      <c r="I17" s="76" t="n"/>
      <c r="J17" s="76" t="n"/>
      <c r="K17" s="79" t="n"/>
      <c r="L17" s="150" t="n"/>
      <c r="M17" s="79" t="n"/>
      <c r="N17" s="79" t="n"/>
      <c r="O17" s="79" t="n"/>
      <c r="P17" s="79" t="n"/>
      <c r="Q17" s="79" t="n"/>
      <c r="R17" s="79" t="n"/>
      <c r="S17" s="79" t="n"/>
      <c r="T17" s="79" t="n"/>
      <c r="U17" s="150" t="n"/>
      <c r="V17" s="150">
        <f>SUM(K17:U17)</f>
        <v/>
      </c>
      <c r="W17" s="150" t="n">
        <v>3150575</v>
      </c>
      <c r="X17" s="79" t="n"/>
      <c r="Y17" s="79" t="n">
        <v>3864240</v>
      </c>
      <c r="Z17" s="150">
        <f>SUM(W17:Y17)</f>
        <v/>
      </c>
      <c r="AA17" s="151">
        <f>+V17+Z17</f>
        <v/>
      </c>
      <c r="AB17" s="138" t="inlineStr">
        <is>
          <t>4200</t>
        </is>
      </c>
      <c r="AC17" s="71" t="n">
        <v>157</v>
      </c>
      <c r="AD17" s="72" t="n">
        <v>188</v>
      </c>
    </row>
    <row r="18" ht="37" customFormat="1" customHeight="1" s="59">
      <c r="A18" s="74" t="n"/>
      <c r="B18" s="75" t="n"/>
      <c r="C18" s="75" t="n"/>
      <c r="D18" s="76" t="n"/>
      <c r="E18" s="77" t="n"/>
      <c r="F18" s="76" t="n"/>
      <c r="G18" s="76" t="n"/>
      <c r="H18" s="76" t="n"/>
      <c r="I18" s="76" t="n"/>
      <c r="J18" s="76" t="n"/>
      <c r="K18" s="79" t="n"/>
      <c r="L18" s="150" t="n"/>
      <c r="M18" s="79" t="n"/>
      <c r="N18" s="79" t="n"/>
      <c r="O18" s="79" t="n"/>
      <c r="P18" s="79" t="n"/>
      <c r="Q18" s="79" t="n"/>
      <c r="R18" s="79" t="n"/>
      <c r="S18" s="79" t="n"/>
      <c r="T18" s="79" t="n"/>
      <c r="U18" s="150" t="n"/>
      <c r="V18" s="150">
        <f>SUM(K18:U18)</f>
        <v/>
      </c>
      <c r="W18" s="150" t="n"/>
      <c r="X18" s="79" t="n"/>
      <c r="Y18" s="79" t="n">
        <v>6430320</v>
      </c>
      <c r="Z18" s="150">
        <f>SUM(W18:Y18)</f>
        <v/>
      </c>
      <c r="AA18" s="151">
        <f>+V18+Z18</f>
        <v/>
      </c>
      <c r="AB18" s="138" t="inlineStr">
        <is>
          <t>4201</t>
        </is>
      </c>
      <c r="AC18" s="71" t="n">
        <v>156</v>
      </c>
      <c r="AD18" s="72" t="n">
        <v>191</v>
      </c>
    </row>
    <row r="19" ht="37" customFormat="1" customHeight="1" s="59">
      <c r="A19" s="74" t="n"/>
      <c r="B19" s="75" t="n"/>
      <c r="C19" s="75" t="n"/>
      <c r="D19" s="76" t="n"/>
      <c r="E19" s="77" t="n"/>
      <c r="F19" s="76" t="n"/>
      <c r="G19" s="76" t="n"/>
      <c r="H19" s="76" t="n"/>
      <c r="I19" s="76" t="n"/>
      <c r="J19" s="76" t="n"/>
      <c r="K19" s="79" t="n"/>
      <c r="L19" s="150" t="n"/>
      <c r="M19" s="79" t="n"/>
      <c r="N19" s="79" t="n"/>
      <c r="O19" s="79" t="n"/>
      <c r="P19" s="79" t="n"/>
      <c r="Q19" s="79" t="n"/>
      <c r="R19" s="79" t="n"/>
      <c r="S19" s="79" t="n"/>
      <c r="T19" s="79" t="n"/>
      <c r="U19" s="150" t="n"/>
      <c r="V19" s="150">
        <f>SUM(K19:U19)</f>
        <v/>
      </c>
      <c r="W19" s="150" t="n"/>
      <c r="X19" s="79" t="n">
        <v>60320</v>
      </c>
      <c r="Y19" s="79" t="n">
        <v>6118805</v>
      </c>
      <c r="Z19" s="150">
        <f>SUM(W19:Y19)</f>
        <v/>
      </c>
      <c r="AA19" s="151">
        <f>+V19+Z19</f>
        <v/>
      </c>
      <c r="AB19" s="138" t="inlineStr">
        <is>
          <t>20753, 1237822</t>
        </is>
      </c>
      <c r="AC19" s="71" t="n">
        <v>164</v>
      </c>
      <c r="AD19" s="72" t="n">
        <v>220</v>
      </c>
    </row>
    <row r="20" ht="37" customFormat="1" customHeight="1" s="59">
      <c r="A20" s="74" t="n"/>
      <c r="B20" s="75" t="n"/>
      <c r="C20" s="75" t="n"/>
      <c r="D20" s="76" t="n"/>
      <c r="E20" s="77" t="n"/>
      <c r="F20" s="76" t="n"/>
      <c r="G20" s="76" t="n"/>
      <c r="H20" s="76" t="n"/>
      <c r="I20" s="76" t="n"/>
      <c r="J20" s="76" t="n"/>
      <c r="K20" s="79" t="n"/>
      <c r="L20" s="150" t="n"/>
      <c r="M20" s="79" t="n"/>
      <c r="N20" s="79" t="n"/>
      <c r="O20" s="79" t="n"/>
      <c r="P20" s="79" t="n"/>
      <c r="Q20" s="79" t="n"/>
      <c r="R20" s="79" t="n"/>
      <c r="S20" s="79" t="n"/>
      <c r="T20" s="79" t="n"/>
      <c r="U20" s="150" t="n"/>
      <c r="V20" s="150">
        <f>SUM(K20:U20)</f>
        <v/>
      </c>
      <c r="W20" s="150" t="n"/>
      <c r="X20" s="79" t="n"/>
      <c r="Y20" s="79" t="n">
        <v>813240</v>
      </c>
      <c r="Z20" s="150">
        <f>SUM(W20:Y20)</f>
        <v/>
      </c>
      <c r="AA20" s="151">
        <f>+V20+Z20</f>
        <v/>
      </c>
      <c r="AB20" s="138" t="inlineStr">
        <is>
          <t>21031</t>
        </is>
      </c>
      <c r="AC20" s="71" t="n">
        <v>166</v>
      </c>
      <c r="AD20" s="72" t="n">
        <v>221</v>
      </c>
    </row>
    <row r="21" ht="37" customFormat="1" customHeight="1" s="59">
      <c r="A21" s="74" t="n"/>
      <c r="B21" s="75" t="n"/>
      <c r="C21" s="75" t="n"/>
      <c r="D21" s="76" t="n"/>
      <c r="E21" s="77" t="n"/>
      <c r="F21" s="76" t="n"/>
      <c r="G21" s="76" t="n"/>
      <c r="H21" s="76" t="n"/>
      <c r="I21" s="76" t="n"/>
      <c r="J21" s="76" t="n"/>
      <c r="K21" s="79" t="n"/>
      <c r="L21" s="150" t="n"/>
      <c r="M21" s="79" t="n"/>
      <c r="N21" s="79" t="n"/>
      <c r="O21" s="79" t="n"/>
      <c r="P21" s="79" t="n"/>
      <c r="Q21" s="79" t="n"/>
      <c r="R21" s="79" t="n"/>
      <c r="S21" s="79" t="n"/>
      <c r="T21" s="79" t="n"/>
      <c r="U21" s="150" t="n"/>
      <c r="V21" s="150">
        <f>SUM(K21:U21)</f>
        <v/>
      </c>
      <c r="W21" s="150" t="n">
        <v>3150575</v>
      </c>
      <c r="X21" s="79" t="n"/>
      <c r="Y21" s="79" t="n">
        <v>1018440</v>
      </c>
      <c r="Z21" s="150">
        <f>SUM(W21:Y21)</f>
        <v/>
      </c>
      <c r="AA21" s="151">
        <f>+V21+Z21</f>
        <v/>
      </c>
      <c r="AB21" s="138" t="inlineStr">
        <is>
          <t>4705</t>
        </is>
      </c>
      <c r="AC21" s="71" t="n">
        <v>167</v>
      </c>
      <c r="AD21" s="72" t="n">
        <v>222</v>
      </c>
    </row>
    <row r="22" ht="37" customFormat="1" customHeight="1" s="59">
      <c r="A22" s="74" t="n"/>
      <c r="B22" s="75" t="n"/>
      <c r="C22" s="75" t="n"/>
      <c r="D22" s="76" t="n"/>
      <c r="E22" s="77" t="n"/>
      <c r="F22" s="76" t="n"/>
      <c r="G22" s="76" t="n"/>
      <c r="H22" s="76" t="n"/>
      <c r="I22" s="76" t="n"/>
      <c r="J22" s="76" t="n"/>
      <c r="K22" s="79" t="n"/>
      <c r="L22" s="150" t="n"/>
      <c r="M22" s="79" t="n"/>
      <c r="N22" s="79" t="n"/>
      <c r="O22" s="79" t="n"/>
      <c r="P22" s="79" t="n"/>
      <c r="Q22" s="79" t="n"/>
      <c r="R22" s="79" t="n"/>
      <c r="S22" s="79" t="n"/>
      <c r="T22" s="79" t="n"/>
      <c r="U22" s="150" t="n"/>
      <c r="V22" s="150">
        <f>SUM(K22:U22)</f>
        <v/>
      </c>
      <c r="W22" s="150" t="n">
        <v>8315789</v>
      </c>
      <c r="X22" s="79" t="n"/>
      <c r="Y22" s="79" t="n">
        <v>923400</v>
      </c>
      <c r="Z22" s="150">
        <f>SUM(W22:Y22)</f>
        <v/>
      </c>
      <c r="AA22" s="151">
        <f>+V22+Z22</f>
        <v/>
      </c>
      <c r="AB22" s="138" t="inlineStr">
        <is>
          <t>3549</t>
        </is>
      </c>
      <c r="AC22" s="71" t="n">
        <v>170</v>
      </c>
      <c r="AD22" s="72" t="n">
        <v>223</v>
      </c>
    </row>
    <row r="23" ht="37" customFormat="1" customHeight="1" s="59">
      <c r="A23" s="74" t="n"/>
      <c r="B23" s="75" t="n"/>
      <c r="C23" s="75" t="n"/>
      <c r="D23" s="76" t="n"/>
      <c r="E23" s="77" t="n"/>
      <c r="F23" s="76" t="n"/>
      <c r="G23" s="76" t="n"/>
      <c r="H23" s="76" t="n"/>
      <c r="I23" s="76" t="n"/>
      <c r="J23" s="76" t="n"/>
      <c r="K23" s="79" t="n"/>
      <c r="L23" s="150" t="n"/>
      <c r="M23" s="79" t="n"/>
      <c r="N23" s="79" t="n"/>
      <c r="O23" s="79" t="n"/>
      <c r="P23" s="79" t="n"/>
      <c r="Q23" s="79" t="n"/>
      <c r="R23" s="79" t="n"/>
      <c r="S23" s="79" t="n"/>
      <c r="T23" s="79" t="n"/>
      <c r="U23" s="150" t="n"/>
      <c r="V23" s="150">
        <f>SUM(K23:U23)</f>
        <v/>
      </c>
      <c r="W23" s="150" t="n">
        <v>8315789</v>
      </c>
      <c r="X23" s="79" t="n">
        <v>250000</v>
      </c>
      <c r="Y23" s="79">
        <f>1188000+1620000</f>
        <v/>
      </c>
      <c r="Z23" s="150">
        <f>SUM(W23:Y23)</f>
        <v/>
      </c>
      <c r="AA23" s="151">
        <f>+V23+Z23</f>
        <v/>
      </c>
      <c r="AB23" s="138" t="inlineStr">
        <is>
          <t>52914, 82584, 1246237</t>
        </is>
      </c>
      <c r="AC23" s="71" t="n">
        <v>175</v>
      </c>
      <c r="AD23" s="72" t="n">
        <v>224</v>
      </c>
    </row>
    <row r="24" ht="49.5" customFormat="1" customHeight="1" s="59">
      <c r="A24" s="74" t="n"/>
      <c r="B24" s="82" t="n"/>
      <c r="C24" s="82" t="n"/>
      <c r="D24" s="82" t="n"/>
      <c r="E24" s="83" t="n"/>
      <c r="F24" s="76" t="n"/>
      <c r="G24" s="76" t="n"/>
      <c r="H24" s="82" t="n"/>
      <c r="I24" s="84" t="n"/>
      <c r="J24" s="71" t="n"/>
      <c r="K24" s="85" t="n"/>
      <c r="L24" s="150" t="n"/>
      <c r="M24" s="85" t="n"/>
      <c r="N24" s="150" t="n"/>
      <c r="O24" s="150" t="n"/>
      <c r="P24" s="85" t="n"/>
      <c r="Q24" s="85" t="n"/>
      <c r="R24" s="86" t="n"/>
      <c r="S24" s="150" t="n"/>
      <c r="T24" s="85" t="n"/>
      <c r="U24" s="150" t="n"/>
      <c r="V24" s="150">
        <f>SUM(K24:U24)</f>
        <v/>
      </c>
      <c r="W24" s="150" t="n"/>
      <c r="X24" s="150" t="n"/>
      <c r="Y24" s="85" t="n">
        <v>390053</v>
      </c>
      <c r="Z24" s="150">
        <f>SUM(W24:Y24)</f>
        <v/>
      </c>
      <c r="AA24" s="151">
        <f>+V24+Z24</f>
        <v/>
      </c>
      <c r="AB24" s="139" t="inlineStr">
        <is>
          <t>00021776</t>
        </is>
      </c>
      <c r="AC24" s="71" t="n">
        <v>155</v>
      </c>
      <c r="AD24" s="72" t="n">
        <v>178</v>
      </c>
    </row>
    <row r="25" ht="37" customFormat="1" customHeight="1" s="59">
      <c r="A25" s="74" t="n"/>
      <c r="B25" s="82" t="n"/>
      <c r="C25" s="82" t="n"/>
      <c r="D25" s="82" t="n"/>
      <c r="E25" s="83" t="n"/>
      <c r="F25" s="76" t="n"/>
      <c r="G25" s="76" t="n"/>
      <c r="H25" s="82" t="n"/>
      <c r="I25" s="84" t="n"/>
      <c r="J25" s="71" t="n"/>
      <c r="K25" s="85" t="n"/>
      <c r="L25" s="150" t="n"/>
      <c r="M25" s="85" t="n"/>
      <c r="N25" s="150" t="n"/>
      <c r="O25" s="150" t="n"/>
      <c r="P25" s="85" t="n"/>
      <c r="Q25" s="85" t="n"/>
      <c r="R25" s="86" t="n"/>
      <c r="S25" s="150" t="n"/>
      <c r="T25" s="85" t="n"/>
      <c r="U25" s="150" t="n"/>
      <c r="V25" s="150">
        <f>SUM(K25:U25)</f>
        <v/>
      </c>
      <c r="W25" s="150" t="n"/>
      <c r="X25" s="150" t="n"/>
      <c r="Y25" s="85" t="n">
        <v>641952</v>
      </c>
      <c r="Z25" s="150">
        <f>SUM(W25:Y25)</f>
        <v/>
      </c>
      <c r="AA25" s="151">
        <f>+V25+Z25</f>
        <v/>
      </c>
      <c r="AB25" s="139" t="inlineStr">
        <is>
          <t>00026617</t>
        </is>
      </c>
      <c r="AC25" s="71" t="n">
        <v>163</v>
      </c>
      <c r="AD25" s="72" t="n">
        <v>179</v>
      </c>
    </row>
    <row r="26" ht="37" customFormat="1" customHeight="1" s="59">
      <c r="A26" s="74" t="n"/>
      <c r="B26" s="82" t="n"/>
      <c r="C26" s="82" t="n"/>
      <c r="D26" s="82" t="n"/>
      <c r="E26" s="83" t="n"/>
      <c r="F26" s="87" t="n"/>
      <c r="G26" s="76" t="n"/>
      <c r="H26" s="82" t="n"/>
      <c r="I26" s="84" t="n"/>
      <c r="J26" s="71" t="n"/>
      <c r="K26" s="85" t="n"/>
      <c r="L26" s="150" t="n"/>
      <c r="M26" s="85" t="n"/>
      <c r="N26" s="150" t="n"/>
      <c r="O26" s="150" t="n"/>
      <c r="P26" s="85" t="n"/>
      <c r="Q26" s="85" t="n"/>
      <c r="R26" s="86" t="n"/>
      <c r="S26" s="150" t="n"/>
      <c r="T26" s="85" t="n"/>
      <c r="U26" s="150" t="n"/>
      <c r="V26" s="150">
        <f>SUM(K26:U26)</f>
        <v/>
      </c>
      <c r="W26" s="150" t="n"/>
      <c r="X26" s="150" t="n"/>
      <c r="Y26" s="85" t="n">
        <v>973166</v>
      </c>
      <c r="Z26" s="150">
        <f>SUM(W26:Y26)</f>
        <v/>
      </c>
      <c r="AA26" s="151">
        <f>+V26+Z26</f>
        <v/>
      </c>
      <c r="AB26" s="139" t="inlineStr">
        <is>
          <t>00026618</t>
        </is>
      </c>
      <c r="AC26" s="71" t="n">
        <v>162</v>
      </c>
      <c r="AD26" s="72" t="n">
        <v>180</v>
      </c>
    </row>
    <row r="27" ht="37" customFormat="1" customHeight="1" s="59">
      <c r="A27" s="74" t="n"/>
      <c r="B27" s="82" t="n"/>
      <c r="C27" s="82" t="n"/>
      <c r="D27" s="82" t="n"/>
      <c r="E27" s="83" t="n"/>
      <c r="F27" s="87" t="n"/>
      <c r="G27" s="76" t="n"/>
      <c r="H27" s="82" t="n"/>
      <c r="I27" s="84" t="n"/>
      <c r="J27" s="71" t="n"/>
      <c r="K27" s="85" t="n"/>
      <c r="L27" s="150" t="n"/>
      <c r="M27" s="85" t="n"/>
      <c r="N27" s="150" t="n"/>
      <c r="O27" s="150" t="n"/>
      <c r="P27" s="85" t="n"/>
      <c r="Q27" s="85" t="n"/>
      <c r="R27" s="85" t="n"/>
      <c r="S27" s="150" t="n"/>
      <c r="T27" s="85" t="n"/>
      <c r="U27" s="150" t="n"/>
      <c r="V27" s="150">
        <f>SUM(K27:U27)</f>
        <v/>
      </c>
      <c r="W27" s="150" t="n"/>
      <c r="X27" s="150" t="n"/>
      <c r="Y27" s="85" t="n"/>
      <c r="Z27" s="150">
        <f>SUM(W27:Y27)</f>
        <v/>
      </c>
      <c r="AA27" s="151">
        <f>+V27+Z27</f>
        <v/>
      </c>
      <c r="AB27" s="139" t="n"/>
      <c r="AC27" s="71" t="n">
        <v>176</v>
      </c>
      <c r="AD27" s="72" t="n">
        <v>181</v>
      </c>
    </row>
    <row r="28" ht="37" customFormat="1" customHeight="1" s="59" thickBot="1">
      <c r="A28" s="121" t="n"/>
      <c r="B28" s="122" t="n"/>
      <c r="C28" s="122" t="n"/>
      <c r="D28" s="122" t="n"/>
      <c r="E28" s="123" t="n"/>
      <c r="F28" s="124" t="n"/>
      <c r="G28" s="124" t="n"/>
      <c r="H28" s="122" t="n"/>
      <c r="I28" s="125" t="n"/>
      <c r="J28" s="126" t="n"/>
      <c r="K28" s="127" t="n"/>
      <c r="L28" s="152" t="n"/>
      <c r="M28" s="127" t="n"/>
      <c r="N28" s="152" t="n"/>
      <c r="O28" s="152" t="n"/>
      <c r="P28" s="127" t="n"/>
      <c r="Q28" s="127" t="n"/>
      <c r="R28" s="129" t="n"/>
      <c r="S28" s="152" t="n"/>
      <c r="T28" s="127" t="n"/>
      <c r="U28" s="152" t="n"/>
      <c r="V28" s="152">
        <f>SUM(K28:U28)</f>
        <v/>
      </c>
      <c r="W28" s="152" t="n"/>
      <c r="X28" s="152" t="n"/>
      <c r="Y28" s="127" t="n">
        <v>675367</v>
      </c>
      <c r="Z28" s="152">
        <f>SUM(W28:Y28)</f>
        <v/>
      </c>
      <c r="AA28" s="153">
        <f>+V28+Z28</f>
        <v/>
      </c>
      <c r="AB28" s="140" t="inlineStr">
        <is>
          <t>00031718</t>
        </is>
      </c>
      <c r="AC28" s="116" t="n">
        <v>177</v>
      </c>
      <c r="AD28" s="117" t="n">
        <v>182</v>
      </c>
    </row>
    <row r="29" ht="37" customFormat="1" customHeight="1" s="59">
      <c r="A29" s="98" t="n"/>
      <c r="B29" s="141" t="n"/>
      <c r="C29" s="141" t="n"/>
      <c r="D29" s="141" t="n"/>
      <c r="E29" s="141" t="n"/>
      <c r="F29" s="141" t="n"/>
      <c r="G29" s="141" t="n"/>
      <c r="H29" s="141" t="n"/>
      <c r="I29" s="141" t="n"/>
      <c r="J29" s="142" t="n"/>
      <c r="K29" s="64" t="n"/>
      <c r="L29" s="64" t="n"/>
      <c r="M29" s="64" t="n"/>
      <c r="N29" s="64" t="n"/>
      <c r="O29" s="64" t="n"/>
      <c r="P29" s="64" t="n"/>
      <c r="Q29" s="64" t="n"/>
      <c r="R29" s="64" t="n"/>
      <c r="S29" s="64" t="n"/>
      <c r="T29" s="64" t="n"/>
      <c r="U29" s="64">
        <f>SUM(U13:U28)</f>
        <v/>
      </c>
      <c r="V29" s="64">
        <f>SUM(V13:V28)</f>
        <v/>
      </c>
      <c r="W29" s="64">
        <f>SUM(W13:W28)</f>
        <v/>
      </c>
      <c r="X29" s="64">
        <f>SUM(X13:X28)</f>
        <v/>
      </c>
      <c r="Y29" s="64">
        <f>SUM(Y13:Y28)</f>
        <v/>
      </c>
      <c r="Z29" s="64">
        <f>SUM(Z13:Z28)</f>
        <v/>
      </c>
      <c r="AA29" s="65">
        <f>SUM(AA13:AA28)</f>
        <v/>
      </c>
      <c r="AB29" s="56" t="n"/>
      <c r="AC29" s="50" t="n"/>
      <c r="AD29" s="50" t="n"/>
    </row>
    <row r="30" ht="37" customFormat="1" customHeight="1" s="59">
      <c r="A30" s="100" t="n"/>
      <c r="B30" s="154" t="n"/>
      <c r="C30" s="154" t="n"/>
      <c r="D30" s="154" t="n"/>
      <c r="E30" s="154" t="n"/>
      <c r="F30" s="154" t="n"/>
      <c r="G30" s="154" t="n"/>
      <c r="H30" s="154" t="n"/>
      <c r="I30" s="154" t="n"/>
      <c r="J30" s="155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>
        <v>0</v>
      </c>
      <c r="V30" s="27" t="n">
        <v>0</v>
      </c>
      <c r="W30" s="27" t="n">
        <v>0</v>
      </c>
      <c r="X30" s="27" t="n">
        <v>0</v>
      </c>
      <c r="Y30" s="27" t="n">
        <v>0</v>
      </c>
      <c r="Z30" s="27" t="n">
        <v>0</v>
      </c>
      <c r="AA30" s="46" t="n">
        <v>0</v>
      </c>
      <c r="AB30" s="52" t="n"/>
      <c r="AC30" s="23" t="n"/>
      <c r="AD30" s="23" t="n"/>
    </row>
    <row r="31" ht="32" customFormat="1" customHeight="1" s="51" thickBot="1">
      <c r="A31" s="102" t="n"/>
      <c r="B31" s="156" t="n"/>
      <c r="C31" s="156" t="n"/>
      <c r="D31" s="156" t="n"/>
      <c r="E31" s="156" t="n"/>
      <c r="F31" s="156" t="n"/>
      <c r="G31" s="156" t="n"/>
      <c r="H31" s="156" t="n"/>
      <c r="I31" s="156" t="n"/>
      <c r="J31" s="157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>
        <f>SUM(U29:U30)</f>
        <v/>
      </c>
      <c r="V31" s="13">
        <f>SUM(V29:V30)</f>
        <v/>
      </c>
      <c r="W31" s="13">
        <f>SUM(W29:W30)</f>
        <v/>
      </c>
      <c r="X31" s="13">
        <f>SUM(X29:X30)</f>
        <v/>
      </c>
      <c r="Y31" s="13">
        <f>SUM(Y29:Y30)</f>
        <v/>
      </c>
      <c r="Z31" s="13">
        <f>SUM(Z29:Z30)</f>
        <v/>
      </c>
      <c r="AA31" s="47">
        <f>SUM(AA29:AA30)</f>
        <v/>
      </c>
      <c r="AB31" s="49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  <c r="AQ31" s="50" t="n"/>
      <c r="AR31" s="50" t="n"/>
      <c r="AS31" s="50" t="n"/>
      <c r="AT31" s="50" t="n"/>
      <c r="AU31" s="50" t="n"/>
      <c r="AV31" s="50" t="n"/>
      <c r="AW31" s="50" t="n"/>
      <c r="AX31" s="50" t="n"/>
      <c r="AY31" s="50" t="n"/>
      <c r="AZ31" s="50" t="n"/>
      <c r="BA31" s="50" t="n"/>
      <c r="BB31" s="50" t="n"/>
      <c r="BC31" s="50" t="n"/>
      <c r="BD31" s="50" t="n"/>
      <c r="BE31" s="50" t="n"/>
      <c r="BF31" s="50" t="n"/>
      <c r="BG31" s="50" t="n"/>
      <c r="BH31" s="50" t="n"/>
      <c r="BI31" s="50" t="n"/>
      <c r="BJ31" s="50" t="n"/>
      <c r="BK31" s="50" t="n"/>
      <c r="BL31" s="50" t="n"/>
      <c r="BM31" s="50" t="n"/>
      <c r="BN31" s="50" t="n"/>
      <c r="BO31" s="50" t="n"/>
      <c r="BP31" s="50" t="n"/>
      <c r="BQ31" s="50" t="n"/>
      <c r="BR31" s="50" t="n"/>
      <c r="BS31" s="50" t="n"/>
      <c r="BT31" s="50" t="n"/>
      <c r="BU31" s="50" t="n"/>
      <c r="BV31" s="50" t="n"/>
      <c r="BW31" s="50" t="n"/>
      <c r="BX31" s="50" t="n"/>
      <c r="BY31" s="50" t="n"/>
      <c r="BZ31" s="50" t="n"/>
      <c r="CA31" s="50" t="n"/>
      <c r="CB31" s="50" t="n"/>
      <c r="CC31" s="50" t="n"/>
      <c r="CD31" s="50" t="n"/>
      <c r="CE31" s="50" t="n"/>
      <c r="CF31" s="50" t="n"/>
      <c r="CG31" s="50" t="n"/>
      <c r="CH31" s="50" t="n"/>
      <c r="CI31" s="50" t="n"/>
      <c r="CJ31" s="50" t="n"/>
      <c r="CK31" s="50" t="n"/>
      <c r="CL31" s="50" t="n"/>
      <c r="CM31" s="50" t="n"/>
      <c r="CN31" s="50" t="n"/>
      <c r="CO31" s="50" t="n"/>
      <c r="CP31" s="50" t="n"/>
      <c r="CQ31" s="50" t="n"/>
      <c r="CR31" s="50" t="n"/>
      <c r="CS31" s="50" t="n"/>
      <c r="CT31" s="50" t="n"/>
      <c r="CU31" s="50" t="n"/>
      <c r="CV31" s="50" t="n"/>
      <c r="CW31" s="50" t="n"/>
      <c r="CX31" s="50" t="n"/>
      <c r="CY31" s="50" t="n"/>
      <c r="CZ31" s="50" t="n"/>
      <c r="DA31" s="50" t="n"/>
      <c r="DB31" s="50" t="n"/>
      <c r="DC31" s="50" t="n"/>
      <c r="DD31" s="50" t="n"/>
      <c r="DE31" s="50" t="n"/>
      <c r="DF31" s="50" t="n"/>
      <c r="DG31" s="50" t="n"/>
      <c r="DH31" s="50" t="n"/>
      <c r="DI31" s="50" t="n"/>
      <c r="DJ31" s="50" t="n"/>
      <c r="DK31" s="50" t="n"/>
      <c r="DL31" s="50" t="n"/>
      <c r="DM31" s="50" t="n"/>
      <c r="DN31" s="50" t="n"/>
      <c r="DO31" s="50" t="n"/>
      <c r="DP31" s="50" t="n"/>
      <c r="DQ31" s="50" t="n"/>
      <c r="DR31" s="50" t="n"/>
      <c r="DS31" s="50" t="n"/>
      <c r="DT31" s="50" t="n"/>
      <c r="DU31" s="50" t="n"/>
      <c r="DV31" s="50" t="n"/>
      <c r="DW31" s="50" t="n"/>
      <c r="DX31" s="50" t="n"/>
      <c r="DY31" s="50" t="n"/>
      <c r="DZ31" s="50" t="n"/>
      <c r="EA31" s="50" t="n"/>
      <c r="EB31" s="50" t="n"/>
      <c r="EC31" s="50" t="n"/>
      <c r="ED31" s="50" t="n"/>
      <c r="EE31" s="50" t="n"/>
      <c r="EF31" s="50" t="n"/>
      <c r="EG31" s="50" t="n"/>
      <c r="EH31" s="50" t="n"/>
      <c r="EI31" s="50" t="n"/>
      <c r="EJ31" s="50" t="n"/>
      <c r="EK31" s="50" t="n"/>
      <c r="EL31" s="50" t="n"/>
      <c r="EM31" s="50" t="n"/>
      <c r="EN31" s="50" t="n"/>
      <c r="EO31" s="50" t="n"/>
      <c r="EP31" s="50" t="n"/>
      <c r="EQ31" s="50" t="n"/>
      <c r="ER31" s="50" t="n"/>
      <c r="ES31" s="50" t="n"/>
      <c r="ET31" s="50" t="n"/>
      <c r="EU31" s="50" t="n"/>
      <c r="EV31" s="50" t="n"/>
      <c r="EW31" s="50" t="n"/>
      <c r="EX31" s="50" t="n"/>
      <c r="EY31" s="50" t="n"/>
      <c r="EZ31" s="50" t="n"/>
      <c r="FA31" s="50" t="n"/>
      <c r="FB31" s="50" t="n"/>
      <c r="FC31" s="50" t="n"/>
      <c r="FD31" s="50" t="n"/>
      <c r="FE31" s="50" t="n"/>
      <c r="FF31" s="50" t="n"/>
      <c r="FG31" s="50" t="n"/>
      <c r="FH31" s="50" t="n"/>
      <c r="FI31" s="50" t="n"/>
      <c r="FJ31" s="50" t="n"/>
      <c r="FK31" s="50" t="n"/>
      <c r="FL31" s="50" t="n"/>
      <c r="FM31" s="50" t="n"/>
      <c r="FN31" s="50" t="n"/>
      <c r="FO31" s="50" t="n"/>
      <c r="FP31" s="50" t="n"/>
      <c r="FQ31" s="50" t="n"/>
      <c r="FR31" s="50" t="n"/>
      <c r="FS31" s="50" t="n"/>
      <c r="FT31" s="50" t="n"/>
      <c r="FU31" s="50" t="n"/>
      <c r="FV31" s="50" t="n"/>
      <c r="FW31" s="50" t="n"/>
      <c r="FX31" s="50" t="n"/>
      <c r="FY31" s="50" t="n"/>
      <c r="FZ31" s="50" t="n"/>
      <c r="GA31" s="50" t="n"/>
      <c r="GB31" s="50" t="n"/>
      <c r="GC31" s="50" t="n"/>
      <c r="GD31" s="50" t="n"/>
      <c r="GE31" s="50" t="n"/>
      <c r="GF31" s="50" t="n"/>
      <c r="GG31" s="50" t="n"/>
      <c r="GH31" s="50" t="n"/>
      <c r="GI31" s="50" t="n"/>
      <c r="GJ31" s="50" t="n"/>
      <c r="GK31" s="50" t="n"/>
      <c r="GL31" s="50" t="n"/>
      <c r="GM31" s="50" t="n"/>
      <c r="GN31" s="50" t="n"/>
      <c r="GO31" s="50" t="n"/>
      <c r="GP31" s="50" t="n"/>
      <c r="GQ31" s="50" t="n"/>
      <c r="GR31" s="50" t="n"/>
      <c r="GS31" s="50" t="n"/>
      <c r="GT31" s="50" t="n"/>
      <c r="GU31" s="50" t="n"/>
      <c r="GV31" s="50" t="n"/>
      <c r="GW31" s="50" t="n"/>
      <c r="GX31" s="50" t="n"/>
      <c r="GY31" s="50" t="n"/>
      <c r="GZ31" s="50" t="n"/>
      <c r="HA31" s="50" t="n"/>
      <c r="HB31" s="50" t="n"/>
      <c r="HC31" s="50" t="n"/>
      <c r="HD31" s="50" t="n"/>
      <c r="HE31" s="50" t="n"/>
      <c r="HF31" s="50" t="n"/>
      <c r="HG31" s="50" t="n"/>
      <c r="HH31" s="50" t="n"/>
      <c r="HI31" s="50" t="n"/>
      <c r="HJ31" s="50" t="n"/>
      <c r="HK31" s="50" t="n"/>
      <c r="HL31" s="50" t="n"/>
      <c r="HM31" s="50" t="n"/>
      <c r="HN31" s="50" t="n"/>
      <c r="HO31" s="50" t="n"/>
      <c r="HP31" s="50" t="n"/>
      <c r="HQ31" s="50" t="n"/>
      <c r="HR31" s="50" t="n"/>
      <c r="HS31" s="50" t="n"/>
      <c r="HT31" s="50" t="n"/>
    </row>
    <row r="32" ht="32" customFormat="1" customHeight="1" s="23">
      <c r="A32" s="16" t="n"/>
      <c r="B32" s="16" t="n"/>
      <c r="C32" s="25" t="n"/>
      <c r="D32" s="42" t="n"/>
      <c r="E32" s="88" t="n"/>
      <c r="F32" s="16" t="n"/>
      <c r="G32" s="16" t="n"/>
      <c r="H32" s="16" t="n"/>
      <c r="I32" s="16" t="n"/>
      <c r="J32" s="16" t="n"/>
      <c r="K32" s="18" t="n"/>
      <c r="L32" s="18" t="n"/>
      <c r="M32" s="18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28" t="n"/>
      <c r="AC32" s="16" t="n"/>
      <c r="AD32" s="16" t="n"/>
    </row>
    <row r="33" ht="74.5" customFormat="1" customHeight="1" s="51">
      <c r="A33" s="60" t="n"/>
      <c r="B33" s="61" t="n"/>
      <c r="C33" s="61" t="n"/>
      <c r="D33" s="61" t="n"/>
      <c r="E33" s="61" t="n"/>
      <c r="F33" s="61" t="n"/>
      <c r="G33" s="61" t="n"/>
      <c r="H33" s="61" t="n"/>
      <c r="I33" s="61" t="n"/>
      <c r="J33" s="61" t="n"/>
      <c r="K33" s="61" t="n"/>
      <c r="L33" s="61" t="n"/>
      <c r="M33" s="61" t="n"/>
      <c r="N33" s="61" t="n"/>
      <c r="O33" s="61" t="n"/>
      <c r="P33" s="61" t="n"/>
      <c r="Q33" s="61" t="n"/>
      <c r="R33" s="62" t="n"/>
      <c r="S33" s="62" t="n"/>
      <c r="T33" s="62" t="n"/>
      <c r="U33" s="62" t="n"/>
      <c r="V33" s="62" t="n"/>
      <c r="W33" s="62" t="n"/>
      <c r="X33" s="62" t="n"/>
      <c r="Y33" s="61" t="inlineStr">
        <is>
          <t>CÔNG TY TNHH THƯƠNG MẠI VÀ DỊCH VỤ 5P VIỆT NAM</t>
        </is>
      </c>
      <c r="Z33" s="63" t="n"/>
      <c r="AA33" s="63" t="n"/>
      <c r="AB33" s="63" t="n"/>
      <c r="AC33" s="55" t="n"/>
      <c r="AD33" s="55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  <c r="AQ33" s="50" t="n"/>
      <c r="AR33" s="50" t="n"/>
      <c r="AS33" s="50" t="n"/>
      <c r="AT33" s="50" t="n"/>
      <c r="AU33" s="50" t="n"/>
      <c r="AV33" s="50" t="n"/>
      <c r="AW33" s="50" t="n"/>
      <c r="AX33" s="50" t="n"/>
      <c r="AY33" s="50" t="n"/>
      <c r="AZ33" s="50" t="n"/>
      <c r="BA33" s="50" t="n"/>
      <c r="BB33" s="50" t="n"/>
      <c r="BC33" s="50" t="n"/>
      <c r="BD33" s="50" t="n"/>
      <c r="BE33" s="50" t="n"/>
      <c r="BF33" s="50" t="n"/>
      <c r="BG33" s="50" t="n"/>
      <c r="BH33" s="50" t="n"/>
      <c r="BI33" s="50" t="n"/>
      <c r="BJ33" s="50" t="n"/>
      <c r="BK33" s="50" t="n"/>
      <c r="BL33" s="50" t="n"/>
      <c r="BM33" s="50" t="n"/>
      <c r="BN33" s="50" t="n"/>
      <c r="BO33" s="50" t="n"/>
      <c r="BP33" s="50" t="n"/>
      <c r="BQ33" s="50" t="n"/>
      <c r="BR33" s="50" t="n"/>
      <c r="BS33" s="50" t="n"/>
      <c r="BT33" s="50" t="n"/>
      <c r="BU33" s="50" t="n"/>
      <c r="BV33" s="50" t="n"/>
      <c r="BW33" s="50" t="n"/>
      <c r="BX33" s="50" t="n"/>
      <c r="BY33" s="50" t="n"/>
      <c r="BZ33" s="50" t="n"/>
      <c r="CA33" s="50" t="n"/>
      <c r="CB33" s="50" t="n"/>
      <c r="CC33" s="50" t="n"/>
      <c r="CD33" s="50" t="n"/>
      <c r="CE33" s="50" t="n"/>
      <c r="CF33" s="50" t="n"/>
      <c r="CG33" s="50" t="n"/>
      <c r="CH33" s="50" t="n"/>
      <c r="CI33" s="50" t="n"/>
      <c r="CJ33" s="50" t="n"/>
      <c r="CK33" s="50" t="n"/>
      <c r="CL33" s="50" t="n"/>
      <c r="CM33" s="50" t="n"/>
      <c r="CN33" s="50" t="n"/>
      <c r="CO33" s="50" t="n"/>
      <c r="CP33" s="50" t="n"/>
      <c r="CQ33" s="50" t="n"/>
      <c r="CR33" s="50" t="n"/>
      <c r="CS33" s="50" t="n"/>
      <c r="CT33" s="50" t="n"/>
      <c r="CU33" s="50" t="n"/>
      <c r="CV33" s="50" t="n"/>
      <c r="CW33" s="50" t="n"/>
      <c r="CX33" s="50" t="n"/>
      <c r="CY33" s="50" t="n"/>
      <c r="CZ33" s="50" t="n"/>
      <c r="DA33" s="50" t="n"/>
      <c r="DB33" s="50" t="n"/>
      <c r="DC33" s="50" t="n"/>
      <c r="DD33" s="50" t="n"/>
      <c r="DE33" s="50" t="n"/>
      <c r="DF33" s="50" t="n"/>
      <c r="DG33" s="50" t="n"/>
      <c r="DH33" s="50" t="n"/>
      <c r="DI33" s="50" t="n"/>
      <c r="DJ33" s="50" t="n"/>
      <c r="DK33" s="50" t="n"/>
      <c r="DL33" s="50" t="n"/>
      <c r="DM33" s="50" t="n"/>
      <c r="DN33" s="50" t="n"/>
      <c r="DO33" s="50" t="n"/>
      <c r="DP33" s="50" t="n"/>
      <c r="DQ33" s="50" t="n"/>
      <c r="DR33" s="50" t="n"/>
      <c r="DS33" s="50" t="n"/>
      <c r="DT33" s="50" t="n"/>
      <c r="DU33" s="50" t="n"/>
      <c r="DV33" s="50" t="n"/>
      <c r="DW33" s="50" t="n"/>
      <c r="DX33" s="50" t="n"/>
      <c r="DY33" s="50" t="n"/>
      <c r="DZ33" s="50" t="n"/>
      <c r="EA33" s="50" t="n"/>
      <c r="EB33" s="50" t="n"/>
      <c r="EC33" s="50" t="n"/>
      <c r="ED33" s="50" t="n"/>
      <c r="EE33" s="50" t="n"/>
      <c r="EF33" s="50" t="n"/>
      <c r="EG33" s="50" t="n"/>
      <c r="EH33" s="50" t="n"/>
      <c r="EI33" s="50" t="n"/>
      <c r="EJ33" s="50" t="n"/>
      <c r="EK33" s="50" t="n"/>
      <c r="EL33" s="50" t="n"/>
      <c r="EM33" s="50" t="n"/>
      <c r="EN33" s="50" t="n"/>
      <c r="EO33" s="50" t="n"/>
      <c r="EP33" s="50" t="n"/>
      <c r="EQ33" s="50" t="n"/>
      <c r="ER33" s="50" t="n"/>
      <c r="ES33" s="50" t="n"/>
      <c r="ET33" s="50" t="n"/>
      <c r="EU33" s="50" t="n"/>
      <c r="EV33" s="50" t="n"/>
      <c r="EW33" s="50" t="n"/>
      <c r="EX33" s="50" t="n"/>
      <c r="EY33" s="50" t="n"/>
      <c r="EZ33" s="50" t="n"/>
      <c r="FA33" s="50" t="n"/>
      <c r="FB33" s="50" t="n"/>
      <c r="FC33" s="50" t="n"/>
      <c r="FD33" s="50" t="n"/>
      <c r="FE33" s="50" t="n"/>
      <c r="FF33" s="50" t="n"/>
      <c r="FG33" s="50" t="n"/>
      <c r="FH33" s="50" t="n"/>
      <c r="FI33" s="50" t="n"/>
      <c r="FJ33" s="50" t="n"/>
      <c r="FK33" s="50" t="n"/>
      <c r="FL33" s="50" t="n"/>
      <c r="FM33" s="50" t="n"/>
      <c r="FN33" s="50" t="n"/>
      <c r="FO33" s="50" t="n"/>
      <c r="FP33" s="50" t="n"/>
      <c r="FQ33" s="50" t="n"/>
      <c r="FR33" s="50" t="n"/>
      <c r="FS33" s="50" t="n"/>
      <c r="FT33" s="50" t="n"/>
      <c r="FU33" s="50" t="n"/>
      <c r="FV33" s="50" t="n"/>
      <c r="FW33" s="50" t="n"/>
      <c r="FX33" s="50" t="n"/>
      <c r="FY33" s="50" t="n"/>
      <c r="FZ33" s="50" t="n"/>
      <c r="GA33" s="50" t="n"/>
      <c r="GB33" s="50" t="n"/>
      <c r="GC33" s="50" t="n"/>
      <c r="GD33" s="50" t="n"/>
      <c r="GE33" s="50" t="n"/>
      <c r="GF33" s="50" t="n"/>
      <c r="GG33" s="50" t="n"/>
      <c r="GH33" s="50" t="n"/>
      <c r="GI33" s="50" t="n"/>
      <c r="GJ33" s="50" t="n"/>
      <c r="GK33" s="50" t="n"/>
      <c r="GL33" s="50" t="n"/>
      <c r="GM33" s="50" t="n"/>
      <c r="GN33" s="50" t="n"/>
      <c r="GO33" s="50" t="n"/>
      <c r="GP33" s="50" t="n"/>
      <c r="GQ33" s="50" t="n"/>
      <c r="GR33" s="50" t="n"/>
      <c r="GS33" s="50" t="n"/>
      <c r="GT33" s="50" t="n"/>
      <c r="GU33" s="50" t="n"/>
      <c r="GV33" s="50" t="n"/>
      <c r="GW33" s="50" t="n"/>
      <c r="GX33" s="50" t="n"/>
      <c r="GY33" s="50" t="n"/>
      <c r="GZ33" s="50" t="n"/>
      <c r="HA33" s="50" t="n"/>
      <c r="HB33" s="50" t="n"/>
      <c r="HC33" s="50" t="n"/>
      <c r="HD33" s="50" t="n"/>
      <c r="HE33" s="50" t="n"/>
      <c r="HF33" s="50" t="n"/>
      <c r="HG33" s="50" t="n"/>
      <c r="HH33" s="50" t="n"/>
      <c r="HI33" s="50" t="n"/>
      <c r="HJ33" s="50" t="n"/>
      <c r="HK33" s="50" t="n"/>
      <c r="HL33" s="50" t="n"/>
      <c r="HM33" s="50" t="n"/>
      <c r="HN33" s="50" t="n"/>
      <c r="HO33" s="50" t="n"/>
      <c r="HP33" s="50" t="n"/>
      <c r="HQ33" s="50" t="n"/>
      <c r="HR33" s="50" t="n"/>
      <c r="HS33" s="50" t="n"/>
      <c r="HT33" s="50" t="n"/>
    </row>
    <row r="34" ht="85" customHeight="1">
      <c r="A34" s="29" t="n"/>
      <c r="B34" s="31" t="n"/>
      <c r="C34" s="32" t="n"/>
      <c r="D34" s="32" t="n"/>
      <c r="E34" s="39" t="n"/>
      <c r="F34" s="33" t="n"/>
      <c r="G34" s="33" t="n"/>
      <c r="H34" s="33" t="n"/>
      <c r="I34" s="33" t="n"/>
      <c r="J34" s="33" t="n"/>
      <c r="K34" s="34" t="n"/>
      <c r="L34" s="45" t="n"/>
      <c r="M34" s="34" t="n"/>
      <c r="N34" s="31" t="n"/>
      <c r="O34" s="31" t="n"/>
      <c r="P34" s="31" t="n"/>
      <c r="Q34" s="31" t="n"/>
      <c r="R34" s="31" t="n"/>
      <c r="S34" s="31" t="n"/>
      <c r="T34" s="35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6" t="n"/>
    </row>
    <row r="35" ht="52.5" customFormat="1" customHeight="1" s="31">
      <c r="A35" s="29" t="n"/>
      <c r="C35" s="37" t="n"/>
      <c r="D35" s="37" t="n"/>
      <c r="E35" s="30" t="n"/>
      <c r="H35" s="33" t="n"/>
      <c r="I35" s="33" t="n"/>
      <c r="J35" s="33" t="n"/>
      <c r="K35" s="38" t="n"/>
      <c r="L35" s="38" t="n"/>
      <c r="M35" s="44" t="n"/>
      <c r="N35" s="33" t="n"/>
      <c r="O35" s="33" t="n"/>
      <c r="P35" s="33" t="n"/>
      <c r="Q35" s="33" t="n"/>
      <c r="R35" s="33" t="n"/>
      <c r="S35" s="33" t="n"/>
      <c r="T35" s="158" t="n"/>
      <c r="U35" s="33" t="n"/>
      <c r="AA35" s="35" t="n"/>
      <c r="AB35" s="35" t="n"/>
      <c r="AD35" s="36" t="n"/>
      <c r="AE35" s="55" t="n"/>
    </row>
    <row r="36" ht="15" customFormat="1" customHeight="1" s="31">
      <c r="C36" s="37" t="n"/>
      <c r="D36" s="37" t="n"/>
      <c r="E36" s="30" t="n"/>
      <c r="K36" s="38" t="n"/>
      <c r="L36" s="38" t="n"/>
      <c r="M36" s="38" t="n"/>
      <c r="N36" s="33" t="n"/>
      <c r="O36" s="33" t="n"/>
      <c r="P36" s="33" t="n"/>
      <c r="Q36" s="33" t="n"/>
      <c r="R36" s="33" t="n"/>
      <c r="S36" s="33" t="n"/>
      <c r="T36" s="33" t="n"/>
      <c r="U36" s="33" t="n"/>
      <c r="AA36" s="35" t="n"/>
      <c r="AD36" s="36" t="n"/>
      <c r="AE36" s="36" t="n"/>
    </row>
    <row r="37" ht="15" customFormat="1" customHeight="1" s="31">
      <c r="C37" s="32" t="n"/>
      <c r="D37" s="32" t="n"/>
      <c r="E37" s="39" t="n"/>
      <c r="F37" s="39" t="n"/>
      <c r="G37" s="39" t="n"/>
      <c r="K37" s="38" t="n"/>
      <c r="L37" s="38" t="n"/>
      <c r="M37" s="38" t="n"/>
      <c r="N37" s="33" t="n"/>
      <c r="O37" s="33" t="n"/>
      <c r="P37" s="33" t="n"/>
      <c r="Q37" s="33" t="n"/>
      <c r="R37" s="33" t="n"/>
      <c r="S37" s="33" t="n"/>
      <c r="T37" s="33" t="n"/>
      <c r="U37" s="33" t="n"/>
      <c r="AD37" s="36" t="n"/>
      <c r="AE37" s="36" t="n"/>
    </row>
    <row r="38" ht="15" customFormat="1" customHeight="1" s="31">
      <c r="B38" s="33" t="n"/>
      <c r="C38" s="33" t="n"/>
      <c r="D38" s="33" t="n"/>
      <c r="E38" s="39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T38" s="40" t="n"/>
      <c r="W38" s="30" t="n"/>
      <c r="X38" s="33" t="n"/>
      <c r="Y38" s="33" t="n"/>
      <c r="Z38" s="33" t="n"/>
      <c r="AD38" s="36" t="n"/>
      <c r="AE38" s="36" t="n"/>
    </row>
    <row r="39" ht="84.5" customFormat="1" customHeight="1" s="31">
      <c r="A39" s="19" t="n"/>
      <c r="B39" s="16" t="n"/>
      <c r="C39" s="25" t="n"/>
      <c r="D39" s="25" t="n"/>
      <c r="E39" s="42" t="n"/>
      <c r="F39" s="16" t="n"/>
      <c r="G39" s="16" t="n"/>
      <c r="H39" s="16" t="n"/>
      <c r="I39" s="16" t="n"/>
      <c r="J39" s="16" t="n"/>
      <c r="K39" s="18" t="n"/>
      <c r="L39" s="18" t="n"/>
      <c r="M39" s="18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20" t="n"/>
      <c r="AE39" s="36" t="n"/>
    </row>
    <row r="40" customFormat="1" s="31">
      <c r="A40" s="19" t="n"/>
      <c r="B40" s="16" t="n"/>
      <c r="C40" s="16" t="n"/>
      <c r="D40" s="16" t="n"/>
      <c r="E40" s="42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41" t="n"/>
    </row>
    <row r="41">
      <c r="A41" s="19" t="n"/>
      <c r="C41" s="16" t="n"/>
      <c r="D41" s="16" t="n"/>
      <c r="E41" s="42" t="n"/>
      <c r="K41" s="16" t="n"/>
      <c r="L41" s="16" t="n"/>
      <c r="M41" s="16" t="n"/>
      <c r="AB41" s="16" t="n"/>
      <c r="AE41" s="20" t="n"/>
    </row>
    <row r="42">
      <c r="A42" s="19" t="n"/>
      <c r="C42" s="16" t="n"/>
      <c r="D42" s="16" t="n"/>
      <c r="E42" s="42" t="n"/>
      <c r="K42" s="16" t="n"/>
      <c r="L42" s="16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</row>
    <row r="43">
      <c r="A43" s="16" t="n"/>
      <c r="C43" s="16" t="n"/>
      <c r="D43" s="16" t="n"/>
      <c r="E43" s="42" t="n"/>
      <c r="K43" s="16" t="n"/>
      <c r="L43" s="16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</row>
    <row r="44" customFormat="1" s="18">
      <c r="A44" s="88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</row>
    <row r="45" customFormat="1" s="18">
      <c r="A45" s="16" t="n"/>
      <c r="B45" s="16" t="n"/>
      <c r="C45" s="16" t="n"/>
      <c r="D45" s="42" t="n"/>
      <c r="E45" s="88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</row>
    <row r="46">
      <c r="C46" s="16" t="n"/>
      <c r="K46" s="16" t="n"/>
      <c r="L46" s="16" t="n"/>
      <c r="M46" s="16" t="n"/>
      <c r="AB46" s="16" t="n"/>
    </row>
    <row r="47">
      <c r="C47" s="16" t="n"/>
      <c r="K47" s="16" t="n"/>
      <c r="L47" s="16" t="n"/>
      <c r="M47" s="16" t="n"/>
      <c r="AB47" s="16" t="n"/>
    </row>
    <row r="48">
      <c r="C48" s="16" t="n"/>
      <c r="K48" s="16" t="n"/>
      <c r="L48" s="16" t="n"/>
      <c r="M48" s="16" t="n"/>
      <c r="AB48" s="16" t="n"/>
    </row>
    <row r="49" customFormat="1" s="16">
      <c r="D49" s="42" t="n"/>
      <c r="E49" s="88" t="n"/>
    </row>
    <row r="50" customFormat="1" s="16">
      <c r="D50" s="42" t="n"/>
      <c r="E50" s="88" t="n"/>
    </row>
    <row r="51" customFormat="1" s="16">
      <c r="D51" s="42" t="n"/>
      <c r="E51" s="88" t="n"/>
    </row>
    <row r="52" customFormat="1" s="16">
      <c r="D52" s="42" t="n"/>
      <c r="E52" s="88" t="n"/>
    </row>
    <row r="53" customFormat="1" s="16">
      <c r="D53" s="42" t="n"/>
      <c r="E53" s="88" t="n"/>
    </row>
    <row r="54" customFormat="1" s="16">
      <c r="D54" s="42" t="n"/>
      <c r="E54" s="88" t="n"/>
    </row>
    <row r="55" customFormat="1" s="16">
      <c r="D55" s="42" t="n"/>
      <c r="E55" s="88" t="n"/>
    </row>
    <row r="56" customFormat="1" s="16">
      <c r="D56" s="42" t="n"/>
      <c r="E56" s="88" t="n"/>
    </row>
    <row r="57" customFormat="1" s="16">
      <c r="D57" s="42" t="n"/>
      <c r="E57" s="88" t="n"/>
    </row>
    <row r="58" customFormat="1" s="16">
      <c r="D58" s="42" t="n"/>
      <c r="E58" s="88" t="n"/>
    </row>
    <row r="59" customFormat="1" s="16">
      <c r="D59" s="42" t="n"/>
      <c r="E59" s="88" t="n"/>
    </row>
    <row r="60" customFormat="1" s="16">
      <c r="D60" s="42" t="n"/>
      <c r="E60" s="88" t="n"/>
    </row>
    <row r="61" customFormat="1" s="16">
      <c r="D61" s="42" t="n"/>
      <c r="E61" s="88" t="n"/>
    </row>
    <row r="62" customFormat="1" s="16">
      <c r="D62" s="42" t="n"/>
      <c r="E62" s="88" t="n"/>
    </row>
    <row r="63" customFormat="1" s="16">
      <c r="D63" s="42" t="n"/>
      <c r="E63" s="88" t="n"/>
    </row>
    <row r="64" customFormat="1" s="16">
      <c r="D64" s="42" t="n"/>
      <c r="E64" s="88" t="n"/>
    </row>
    <row r="65" customFormat="1" s="16">
      <c r="D65" s="42" t="n"/>
      <c r="E65" s="88" t="n"/>
    </row>
    <row r="66" customFormat="1" s="16">
      <c r="D66" s="42" t="n"/>
      <c r="E66" s="88" t="n"/>
    </row>
    <row r="67" customFormat="1" s="16">
      <c r="D67" s="42" t="n"/>
      <c r="E67" s="88" t="n"/>
    </row>
    <row r="68" customFormat="1" s="16">
      <c r="D68" s="42" t="n"/>
      <c r="E68" s="88" t="n"/>
    </row>
    <row r="69" customFormat="1" s="16">
      <c r="D69" s="42" t="n"/>
      <c r="E69" s="88" t="n"/>
    </row>
    <row r="70" customFormat="1" s="16">
      <c r="D70" s="42" t="n"/>
      <c r="E70" s="88" t="n"/>
    </row>
    <row r="71" customFormat="1" s="16">
      <c r="D71" s="42" t="n"/>
      <c r="E71" s="88" t="n"/>
    </row>
    <row r="72" customFormat="1" s="16">
      <c r="D72" s="42" t="n"/>
      <c r="E72" s="88" t="n"/>
    </row>
    <row r="73" customFormat="1" s="16">
      <c r="D73" s="42" t="n"/>
      <c r="E73" s="88" t="n"/>
    </row>
    <row r="74" customFormat="1" s="16">
      <c r="D74" s="42" t="n"/>
      <c r="E74" s="88" t="n"/>
    </row>
    <row r="75" customFormat="1" s="16">
      <c r="D75" s="42" t="n"/>
      <c r="E75" s="88" t="n"/>
    </row>
    <row r="76" customFormat="1" s="16">
      <c r="D76" s="42" t="n"/>
      <c r="E76" s="88" t="n"/>
    </row>
    <row r="77" customFormat="1" s="16">
      <c r="D77" s="42" t="n"/>
      <c r="E77" s="88" t="n"/>
    </row>
    <row r="78" customFormat="1" s="16">
      <c r="D78" s="42" t="n"/>
      <c r="E78" s="88" t="n"/>
    </row>
    <row r="79" customFormat="1" s="16">
      <c r="D79" s="42" t="n"/>
      <c r="E79" s="88" t="n"/>
    </row>
    <row r="80" customFormat="1" s="16">
      <c r="D80" s="42" t="n"/>
      <c r="E80" s="88" t="n"/>
    </row>
    <row r="81" customFormat="1" s="16">
      <c r="D81" s="42" t="n"/>
      <c r="E81" s="88" t="n"/>
    </row>
    <row r="82" customFormat="1" s="16">
      <c r="D82" s="42" t="n"/>
      <c r="E82" s="88" t="n"/>
    </row>
    <row r="83" customFormat="1" s="16">
      <c r="D83" s="42" t="n"/>
      <c r="E83" s="88" t="n"/>
    </row>
    <row r="84" customFormat="1" s="16">
      <c r="D84" s="42" t="n"/>
      <c r="E84" s="88" t="n"/>
    </row>
    <row r="85" customFormat="1" s="16">
      <c r="D85" s="42" t="n"/>
      <c r="E85" s="88" t="n"/>
    </row>
    <row r="86" customFormat="1" s="16">
      <c r="D86" s="42" t="n"/>
      <c r="E86" s="88" t="n"/>
    </row>
    <row r="87" customFormat="1" s="16">
      <c r="D87" s="42" t="n"/>
      <c r="E87" s="88" t="n"/>
    </row>
    <row r="88" customFormat="1" s="16">
      <c r="D88" s="42" t="n"/>
      <c r="E88" s="88" t="n"/>
    </row>
    <row r="89" customFormat="1" s="16">
      <c r="D89" s="42" t="n"/>
      <c r="E89" s="88" t="n"/>
    </row>
    <row r="90" customFormat="1" s="16">
      <c r="D90" s="42" t="n"/>
      <c r="E90" s="88" t="n"/>
    </row>
    <row r="91" customFormat="1" s="16">
      <c r="D91" s="42" t="n"/>
      <c r="E91" s="88" t="n"/>
    </row>
    <row r="92" customFormat="1" s="16">
      <c r="D92" s="42" t="n"/>
      <c r="E92" s="88" t="n"/>
    </row>
    <row r="93" customFormat="1" s="16">
      <c r="D93" s="42" t="n"/>
      <c r="E93" s="88" t="n"/>
    </row>
    <row r="94" customFormat="1" s="16">
      <c r="D94" s="42" t="n"/>
      <c r="E94" s="88" t="n"/>
    </row>
    <row r="95" customFormat="1" s="16">
      <c r="D95" s="42" t="n"/>
      <c r="E95" s="88" t="n"/>
    </row>
    <row r="96" customFormat="1" s="16">
      <c r="D96" s="42" t="n"/>
      <c r="E96" s="88" t="n"/>
    </row>
    <row r="97" customFormat="1" s="16">
      <c r="D97" s="42" t="n"/>
      <c r="E97" s="88" t="n"/>
    </row>
    <row r="98" customFormat="1" s="16">
      <c r="D98" s="42" t="n"/>
      <c r="E98" s="88" t="n"/>
    </row>
    <row r="99" customFormat="1" s="16">
      <c r="D99" s="42" t="n"/>
      <c r="E99" s="88" t="n"/>
    </row>
    <row r="100" customFormat="1" s="16">
      <c r="D100" s="42" t="n"/>
      <c r="E100" s="88" t="n"/>
    </row>
    <row r="101" customFormat="1" s="16">
      <c r="D101" s="42" t="n"/>
      <c r="E101" s="88" t="n"/>
    </row>
    <row r="102" customFormat="1" s="16">
      <c r="D102" s="42" t="n"/>
      <c r="E102" s="88" t="n"/>
    </row>
    <row r="103" customFormat="1" s="16">
      <c r="D103" s="42" t="n"/>
      <c r="E103" s="88" t="n"/>
    </row>
    <row r="104" customFormat="1" s="16">
      <c r="D104" s="42" t="n"/>
      <c r="E104" s="88" t="n"/>
    </row>
    <row r="105" customFormat="1" s="16">
      <c r="D105" s="42" t="n"/>
      <c r="E105" s="88" t="n"/>
    </row>
    <row r="106" customFormat="1" s="16">
      <c r="D106" s="42" t="n"/>
      <c r="E106" s="88" t="n"/>
    </row>
    <row r="107" customFormat="1" s="16">
      <c r="D107" s="42" t="n"/>
      <c r="E107" s="88" t="n"/>
    </row>
    <row r="108" customFormat="1" s="16">
      <c r="D108" s="42" t="n"/>
      <c r="E108" s="88" t="n"/>
    </row>
    <row r="109" customFormat="1" s="16">
      <c r="D109" s="42" t="n"/>
      <c r="E109" s="88" t="n"/>
    </row>
    <row r="110" customFormat="1" s="16">
      <c r="D110" s="42" t="n"/>
      <c r="E110" s="88" t="n"/>
    </row>
    <row r="111" customFormat="1" s="16">
      <c r="D111" s="42" t="n"/>
      <c r="E111" s="88" t="n"/>
    </row>
    <row r="112" customFormat="1" s="16">
      <c r="D112" s="42" t="n"/>
      <c r="E112" s="88" t="n"/>
    </row>
    <row r="113" customFormat="1" s="16">
      <c r="D113" s="42" t="n"/>
      <c r="E113" s="88" t="n"/>
    </row>
    <row r="114" customFormat="1" s="16">
      <c r="D114" s="42" t="n"/>
      <c r="E114" s="88" t="n"/>
    </row>
    <row r="115" customFormat="1" s="16">
      <c r="D115" s="42" t="n"/>
      <c r="E115" s="88" t="n"/>
    </row>
    <row r="116" customFormat="1" s="16">
      <c r="D116" s="42" t="n"/>
      <c r="E116" s="88" t="n"/>
    </row>
    <row r="117" customFormat="1" s="16">
      <c r="D117" s="42" t="n"/>
      <c r="E117" s="88" t="n"/>
    </row>
    <row r="118" customFormat="1" s="16">
      <c r="D118" s="42" t="n"/>
      <c r="E118" s="88" t="n"/>
    </row>
    <row r="119" customFormat="1" s="16">
      <c r="D119" s="42" t="n"/>
      <c r="E119" s="88" t="n"/>
    </row>
    <row r="120" customFormat="1" s="16">
      <c r="D120" s="42" t="n"/>
      <c r="E120" s="88" t="n"/>
    </row>
    <row r="121" customFormat="1" s="16">
      <c r="D121" s="42" t="n"/>
      <c r="E121" s="88" t="n"/>
    </row>
    <row r="122" customFormat="1" s="16">
      <c r="D122" s="42" t="n"/>
      <c r="E122" s="88" t="n"/>
    </row>
    <row r="123" customFormat="1" s="16">
      <c r="D123" s="42" t="n"/>
      <c r="E123" s="88" t="n"/>
    </row>
    <row r="124" customFormat="1" s="16">
      <c r="D124" s="42" t="n"/>
      <c r="E124" s="88" t="n"/>
    </row>
    <row r="125" customFormat="1" s="16">
      <c r="D125" s="42" t="n"/>
      <c r="E125" s="88" t="n"/>
    </row>
    <row r="126" customFormat="1" s="16">
      <c r="D126" s="42" t="n"/>
      <c r="E126" s="88" t="n"/>
    </row>
    <row r="127" customFormat="1" s="16">
      <c r="D127" s="42" t="n"/>
      <c r="E127" s="88" t="n"/>
    </row>
    <row r="128" customFormat="1" s="16">
      <c r="D128" s="42" t="n"/>
      <c r="E128" s="88" t="n"/>
    </row>
    <row r="129" customFormat="1" s="16">
      <c r="D129" s="42" t="n"/>
      <c r="E129" s="88" t="n"/>
    </row>
    <row r="130" customFormat="1" s="16">
      <c r="D130" s="42" t="n"/>
      <c r="E130" s="88" t="n"/>
    </row>
    <row r="131" customFormat="1" s="16">
      <c r="D131" s="42" t="n"/>
      <c r="E131" s="88" t="n"/>
    </row>
    <row r="132" customFormat="1" s="16">
      <c r="D132" s="42" t="n"/>
      <c r="E132" s="88" t="n"/>
    </row>
    <row r="133" customFormat="1" s="16">
      <c r="D133" s="42" t="n"/>
      <c r="E133" s="88" t="n"/>
    </row>
    <row r="134" customFormat="1" s="16">
      <c r="D134" s="42" t="n"/>
      <c r="E134" s="88" t="n"/>
    </row>
    <row r="135" customFormat="1" s="16">
      <c r="D135" s="42" t="n"/>
      <c r="E135" s="88" t="n"/>
    </row>
    <row r="136" customFormat="1" s="16">
      <c r="D136" s="42" t="n"/>
      <c r="E136" s="88" t="n"/>
    </row>
    <row r="137" customFormat="1" s="16">
      <c r="D137" s="42" t="n"/>
      <c r="E137" s="88" t="n"/>
    </row>
    <row r="138" customFormat="1" s="16">
      <c r="D138" s="42" t="n"/>
      <c r="E138" s="88" t="n"/>
    </row>
    <row r="139" customFormat="1" s="16">
      <c r="D139" s="42" t="n"/>
      <c r="E139" s="88" t="n"/>
    </row>
    <row r="140" customFormat="1" s="16">
      <c r="D140" s="42" t="n"/>
      <c r="E140" s="88" t="n"/>
    </row>
    <row r="141" customFormat="1" s="16">
      <c r="D141" s="42" t="n"/>
      <c r="E141" s="88" t="n"/>
    </row>
    <row r="142" customFormat="1" s="16">
      <c r="D142" s="42" t="n"/>
      <c r="E142" s="88" t="n"/>
    </row>
    <row r="143" customFormat="1" s="16">
      <c r="D143" s="42" t="n"/>
      <c r="E143" s="88" t="n"/>
    </row>
    <row r="144" customFormat="1" s="16">
      <c r="D144" s="42" t="n"/>
      <c r="E144" s="88" t="n"/>
    </row>
    <row r="145" customFormat="1" s="16">
      <c r="D145" s="42" t="n"/>
      <c r="E145" s="88" t="n"/>
    </row>
    <row r="146" customFormat="1" s="16">
      <c r="D146" s="42" t="n"/>
      <c r="E146" s="88" t="n"/>
    </row>
    <row r="147" customFormat="1" s="16">
      <c r="D147" s="42" t="n"/>
      <c r="E147" s="88" t="n"/>
    </row>
    <row r="148" customFormat="1" s="16">
      <c r="D148" s="42" t="n"/>
      <c r="E148" s="88" t="n"/>
    </row>
    <row r="149" customFormat="1" s="16">
      <c r="D149" s="42" t="n"/>
      <c r="E149" s="88" t="n"/>
    </row>
    <row r="150" customFormat="1" s="16">
      <c r="D150" s="42" t="n"/>
      <c r="E150" s="88" t="n"/>
    </row>
    <row r="151" customFormat="1" s="16">
      <c r="D151" s="42" t="n"/>
      <c r="E151" s="88" t="n"/>
    </row>
    <row r="152" customFormat="1" s="16">
      <c r="D152" s="42" t="n"/>
      <c r="E152" s="88" t="n"/>
    </row>
    <row r="153" customFormat="1" s="16">
      <c r="D153" s="42" t="n"/>
      <c r="E153" s="88" t="n"/>
    </row>
    <row r="154" customFormat="1" s="16">
      <c r="D154" s="42" t="n"/>
      <c r="E154" s="88" t="n"/>
    </row>
    <row r="155" customFormat="1" s="16">
      <c r="D155" s="42" t="n"/>
      <c r="E155" s="88" t="n"/>
    </row>
    <row r="156" customFormat="1" s="16">
      <c r="D156" s="42" t="n"/>
      <c r="E156" s="88" t="n"/>
    </row>
    <row r="157" customFormat="1" s="16">
      <c r="D157" s="42" t="n"/>
      <c r="E157" s="88" t="n"/>
    </row>
    <row r="158" customFormat="1" s="16">
      <c r="D158" s="42" t="n"/>
      <c r="E158" s="88" t="n"/>
    </row>
    <row r="159" customFormat="1" s="16">
      <c r="D159" s="42" t="n"/>
      <c r="E159" s="88" t="n"/>
    </row>
    <row r="160" customFormat="1" s="16">
      <c r="D160" s="42" t="n"/>
      <c r="E160" s="88" t="n"/>
    </row>
    <row r="161" customFormat="1" s="16">
      <c r="D161" s="42" t="n"/>
      <c r="E161" s="88" t="n"/>
    </row>
    <row r="162" customFormat="1" s="16">
      <c r="D162" s="42" t="n"/>
      <c r="E162" s="88" t="n"/>
    </row>
    <row r="163" customFormat="1" s="16">
      <c r="D163" s="42" t="n"/>
      <c r="E163" s="88" t="n"/>
    </row>
    <row r="164" customFormat="1" s="16">
      <c r="D164" s="42" t="n"/>
      <c r="E164" s="88" t="n"/>
    </row>
    <row r="165" customFormat="1" s="16">
      <c r="D165" s="42" t="n"/>
      <c r="E165" s="88" t="n"/>
    </row>
    <row r="166" customFormat="1" s="16">
      <c r="D166" s="42" t="n"/>
      <c r="E166" s="88" t="n"/>
    </row>
    <row r="167" customFormat="1" s="16">
      <c r="D167" s="42" t="n"/>
      <c r="E167" s="88" t="n"/>
    </row>
    <row r="168" customFormat="1" s="16">
      <c r="D168" s="42" t="n"/>
      <c r="E168" s="88" t="n"/>
    </row>
    <row r="169" customFormat="1" s="16">
      <c r="D169" s="42" t="n"/>
      <c r="E169" s="88" t="n"/>
    </row>
    <row r="170" customFormat="1" s="16">
      <c r="D170" s="42" t="n"/>
      <c r="E170" s="88" t="n"/>
    </row>
    <row r="171" customFormat="1" s="16">
      <c r="D171" s="42" t="n"/>
      <c r="E171" s="88" t="n"/>
    </row>
    <row r="172" customFormat="1" s="16">
      <c r="D172" s="42" t="n"/>
      <c r="E172" s="88" t="n"/>
    </row>
    <row r="173" customFormat="1" s="16">
      <c r="D173" s="42" t="n"/>
      <c r="E173" s="88" t="n"/>
    </row>
    <row r="174" customFormat="1" s="16">
      <c r="D174" s="42" t="n"/>
      <c r="E174" s="88" t="n"/>
    </row>
    <row r="175" customFormat="1" s="16">
      <c r="D175" s="42" t="n"/>
      <c r="E175" s="88" t="n"/>
    </row>
    <row r="176" customFormat="1" s="16">
      <c r="D176" s="42" t="n"/>
      <c r="E176" s="88" t="n"/>
    </row>
    <row r="177" customFormat="1" s="16">
      <c r="D177" s="42" t="n"/>
      <c r="E177" s="88" t="n"/>
    </row>
    <row r="178" customFormat="1" s="16">
      <c r="D178" s="42" t="n"/>
      <c r="E178" s="88" t="n"/>
    </row>
    <row r="179" customFormat="1" s="16">
      <c r="D179" s="42" t="n"/>
      <c r="E179" s="88" t="n"/>
    </row>
    <row r="180" customFormat="1" s="16">
      <c r="D180" s="42" t="n"/>
      <c r="E180" s="88" t="n"/>
    </row>
    <row r="181" customFormat="1" s="16">
      <c r="D181" s="42" t="n"/>
      <c r="E181" s="88" t="n"/>
    </row>
    <row r="182" customFormat="1" s="16">
      <c r="D182" s="42" t="n"/>
      <c r="E182" s="88" t="n"/>
    </row>
    <row r="183" customFormat="1" s="16">
      <c r="D183" s="42" t="n"/>
      <c r="E183" s="88" t="n"/>
    </row>
    <row r="184" customFormat="1" s="16">
      <c r="D184" s="42" t="n"/>
      <c r="E184" s="88" t="n"/>
    </row>
    <row r="185" customFormat="1" s="16">
      <c r="D185" s="42" t="n"/>
      <c r="E185" s="88" t="n"/>
    </row>
    <row r="186" customFormat="1" s="16">
      <c r="D186" s="42" t="n"/>
      <c r="E186" s="88" t="n"/>
    </row>
    <row r="187" customFormat="1" s="16">
      <c r="D187" s="42" t="n"/>
      <c r="E187" s="88" t="n"/>
    </row>
    <row r="188" customFormat="1" s="16">
      <c r="D188" s="42" t="n"/>
      <c r="E188" s="88" t="n"/>
    </row>
    <row r="189" customFormat="1" s="16">
      <c r="D189" s="42" t="n"/>
      <c r="E189" s="88" t="n"/>
    </row>
    <row r="190" customFormat="1" s="16">
      <c r="D190" s="42" t="n"/>
      <c r="E190" s="88" t="n"/>
    </row>
    <row r="191" customFormat="1" s="16">
      <c r="D191" s="42" t="n"/>
      <c r="E191" s="88" t="n"/>
    </row>
    <row r="192" customFormat="1" s="16">
      <c r="D192" s="42" t="n"/>
      <c r="E192" s="88" t="n"/>
    </row>
    <row r="193" customFormat="1" s="16">
      <c r="D193" s="42" t="n"/>
      <c r="E193" s="88" t="n"/>
    </row>
    <row r="194" customFormat="1" s="16">
      <c r="D194" s="42" t="n"/>
      <c r="E194" s="88" t="n"/>
    </row>
    <row r="195" customFormat="1" s="16">
      <c r="D195" s="42" t="n"/>
      <c r="E195" s="88" t="n"/>
    </row>
    <row r="196" customFormat="1" s="16">
      <c r="D196" s="42" t="n"/>
      <c r="E196" s="88" t="n"/>
    </row>
    <row r="197" customFormat="1" s="16">
      <c r="D197" s="42" t="n"/>
      <c r="E197" s="88" t="n"/>
    </row>
    <row r="198" customFormat="1" s="16">
      <c r="D198" s="42" t="n"/>
      <c r="E198" s="88" t="n"/>
    </row>
    <row r="199" customFormat="1" s="16">
      <c r="D199" s="42" t="n"/>
      <c r="E199" s="88" t="n"/>
    </row>
    <row r="200" customFormat="1" s="16">
      <c r="D200" s="42" t="n"/>
      <c r="E200" s="88" t="n"/>
    </row>
    <row r="201" customFormat="1" s="16">
      <c r="D201" s="42" t="n"/>
      <c r="E201" s="88" t="n"/>
    </row>
    <row r="202" customFormat="1" s="16">
      <c r="D202" s="42" t="n"/>
      <c r="E202" s="88" t="n"/>
    </row>
    <row r="203" customFormat="1" s="16">
      <c r="D203" s="42" t="n"/>
      <c r="E203" s="88" t="n"/>
    </row>
  </sheetData>
  <autoFilter ref="A12:II33">
    <filterColumn colId="28" hiddenButton="0" showButton="0"/>
  </autoFilter>
  <mergeCells count="13">
    <mergeCell ref="H11:I11"/>
    <mergeCell ref="K11:V11"/>
    <mergeCell ref="A31:J31"/>
    <mergeCell ref="AA11:AA12"/>
    <mergeCell ref="A44:F44"/>
    <mergeCell ref="A30:J30"/>
    <mergeCell ref="A29:J29"/>
    <mergeCell ref="W11:Z11"/>
    <mergeCell ref="AC11:AD12"/>
    <mergeCell ref="AB11:AB12"/>
    <mergeCell ref="A11:G11"/>
    <mergeCell ref="J11:J12"/>
    <mergeCell ref="A5:AD5"/>
  </mergeCells>
  <conditionalFormatting sqref="B3:B4 B7:B10 B12 B32 B204:B1048576">
    <cfRule type="duplicateValues" priority="217" dxfId="0"/>
  </conditionalFormatting>
  <conditionalFormatting sqref="B33:B39">
    <cfRule type="duplicateValues" priority="39" dxfId="0"/>
  </conditionalFormatting>
  <conditionalFormatting sqref="AC23">
    <cfRule type="duplicateValues" priority="3" dxfId="0"/>
    <cfRule type="duplicateValues" priority="4" dxfId="0"/>
  </conditionalFormatting>
  <conditionalFormatting sqref="AC13:AD22">
    <cfRule type="duplicateValues" priority="643" dxfId="0"/>
    <cfRule type="duplicateValues" priority="644" dxfId="0"/>
  </conditionalFormatting>
  <conditionalFormatting sqref="AC24:AD24">
    <cfRule type="duplicateValues" priority="15" dxfId="0"/>
    <cfRule type="duplicateValues" priority="16" dxfId="0"/>
  </conditionalFormatting>
  <conditionalFormatting sqref="AC25:AD26">
    <cfRule type="duplicateValues" priority="1" dxfId="0"/>
    <cfRule type="duplicateValues" priority="2" dxfId="0"/>
  </conditionalFormatting>
  <conditionalFormatting sqref="AC27:AD27">
    <cfRule type="duplicateValues" priority="17" dxfId="0"/>
    <cfRule type="duplicateValues" priority="18" dxfId="0"/>
  </conditionalFormatting>
  <conditionalFormatting sqref="AC28:AD28">
    <cfRule type="duplicateValues" priority="13" dxfId="0"/>
    <cfRule type="duplicateValues" priority="14" dxfId="0"/>
  </conditionalFormatting>
  <conditionalFormatting sqref="AD23">
    <cfRule type="duplicateValues" priority="5" dxfId="0"/>
    <cfRule type="duplicateValues" priority="6" dxfId="0"/>
  </conditionalFormatting>
  <pageMargins left="0.5" right="0.25" top="0.75" bottom="0.75" header="0.3" footer="0.3"/>
  <pageSetup orientation="landscape" scale="29"/>
  <colBreaks count="1" manualBreakCount="1">
    <brk id="30" min="0" max="1048575" man="1"/>
  </colBreaks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K27"/>
  <sheetViews>
    <sheetView topLeftCell="A10" workbookViewId="0">
      <selection activeCell="B7" sqref="B7:K7"/>
    </sheetView>
  </sheetViews>
  <sheetFormatPr baseColWidth="8" defaultColWidth="8.81640625" defaultRowHeight="12.5"/>
  <cols>
    <col width="20.81640625" customWidth="1" min="2" max="2"/>
    <col width="14.81640625" customWidth="1" min="10" max="10"/>
  </cols>
  <sheetData>
    <row r="3" ht="13" customHeight="1">
      <c r="A3" s="1" t="n"/>
      <c r="B3" s="159" t="inlineStr">
        <is>
          <t>House Bill</t>
        </is>
      </c>
      <c r="C3" s="160" t="inlineStr">
        <is>
          <t>CBM</t>
        </is>
      </c>
      <c r="D3" s="161" t="inlineStr">
        <is>
          <t>AF/OF</t>
        </is>
      </c>
      <c r="E3" s="161" t="inlineStr">
        <is>
          <t>THC</t>
        </is>
      </c>
      <c r="F3" s="162" t="inlineStr">
        <is>
          <t>CFS</t>
        </is>
      </c>
      <c r="G3" s="161" t="inlineStr">
        <is>
          <t>DO/ BILL</t>
        </is>
      </c>
      <c r="H3" s="163" t="inlineStr">
        <is>
          <t>CUSTOMS CLEARANCE</t>
        </is>
      </c>
      <c r="I3" s="163" t="inlineStr">
        <is>
          <t>TRUCKING FEE</t>
        </is>
      </c>
      <c r="J3" s="163" t="inlineStr">
        <is>
          <t>HANDLING FEE</t>
        </is>
      </c>
      <c r="K3" s="163" t="inlineStr">
        <is>
          <t>INSPECTION FEE</t>
        </is>
      </c>
    </row>
    <row r="4">
      <c r="B4" s="164" t="n"/>
      <c r="C4" s="164" t="n"/>
      <c r="D4" s="144" t="n"/>
      <c r="E4" s="144" t="n"/>
      <c r="F4" s="144" t="n"/>
      <c r="G4" s="144" t="n"/>
      <c r="H4" s="144" t="n"/>
      <c r="I4" s="144" t="n"/>
      <c r="J4" s="144" t="n"/>
      <c r="K4" s="144" t="n"/>
    </row>
    <row r="5">
      <c r="B5" s="144" t="n"/>
      <c r="C5" s="144" t="n"/>
      <c r="D5" s="2" t="inlineStr">
        <is>
          <t>Total</t>
        </is>
      </c>
      <c r="E5" s="2" t="inlineStr">
        <is>
          <t>Total</t>
        </is>
      </c>
      <c r="F5" s="2" t="inlineStr">
        <is>
          <t>Total</t>
        </is>
      </c>
      <c r="G5" s="2" t="inlineStr">
        <is>
          <t>Total</t>
        </is>
      </c>
      <c r="H5" s="8" t="inlineStr">
        <is>
          <t>Total</t>
        </is>
      </c>
      <c r="I5" s="8" t="inlineStr">
        <is>
          <t>Total</t>
        </is>
      </c>
      <c r="J5" s="8" t="inlineStr">
        <is>
          <t>Total</t>
        </is>
      </c>
      <c r="K5" s="8" t="inlineStr">
        <is>
          <t>Total</t>
        </is>
      </c>
    </row>
    <row r="6" ht="23" customHeight="1">
      <c r="B6" s="3" t="inlineStr">
        <is>
          <t>SHMT:HWBNO</t>
        </is>
      </c>
      <c r="C6" s="9" t="inlineStr">
        <is>
          <t>SHMTNB:CBM</t>
        </is>
      </c>
      <c r="D6" s="4" t="inlineStr">
        <is>
          <t>S_OF,S_AIRFREIGHT</t>
        </is>
      </c>
      <c r="E6" s="4" t="inlineStr">
        <is>
          <t>S_THC</t>
        </is>
      </c>
      <c r="F6" s="4" t="inlineStr">
        <is>
          <t>S_CFSO</t>
        </is>
      </c>
      <c r="G6" s="4" t="inlineStr">
        <is>
          <t>S_AWB,S_BILL,S_D/O</t>
        </is>
      </c>
      <c r="H6" s="4" t="inlineStr">
        <is>
          <t>S_CUSTOMS,S_THUTUCHAIQUAN</t>
        </is>
      </c>
      <c r="I6" s="4" t="inlineStr">
        <is>
          <t>S_VCND</t>
        </is>
      </c>
      <c r="J6" s="4" t="inlineStr">
        <is>
          <t>S_HL</t>
        </is>
      </c>
      <c r="K6" s="4" t="inlineStr">
        <is>
          <t>S_KH</t>
        </is>
      </c>
    </row>
    <row r="7">
      <c r="B7" s="5" t="n">
        <v>1</v>
      </c>
      <c r="C7" s="10" t="n">
        <v>2</v>
      </c>
      <c r="D7" s="5" t="n">
        <v>3</v>
      </c>
      <c r="E7" s="10" t="n">
        <v>4</v>
      </c>
      <c r="F7" s="5" t="n">
        <v>5</v>
      </c>
      <c r="G7" s="10" t="n">
        <v>6</v>
      </c>
      <c r="H7" s="5" t="n">
        <v>7</v>
      </c>
      <c r="I7" s="10" t="n">
        <v>8</v>
      </c>
      <c r="J7" s="5" t="n">
        <v>9</v>
      </c>
      <c r="K7" s="10" t="n">
        <v>10</v>
      </c>
    </row>
    <row r="8" ht="14" customHeight="1">
      <c r="B8" s="6" t="inlineStr">
        <is>
          <t>P220400024</t>
        </is>
      </c>
      <c r="C8" s="11" t="n"/>
      <c r="D8" s="7" t="n"/>
      <c r="E8" s="7" t="n"/>
      <c r="F8" s="7" t="n"/>
      <c r="G8" s="7" t="n">
        <v>575000</v>
      </c>
      <c r="H8" s="7" t="n">
        <v>580000</v>
      </c>
      <c r="I8" s="7" t="n">
        <v>918000</v>
      </c>
      <c r="J8" s="7" t="n">
        <v>575000</v>
      </c>
      <c r="K8" s="7" t="n"/>
    </row>
    <row r="9" ht="14" customHeight="1">
      <c r="B9" s="6" t="inlineStr">
        <is>
          <t>P220400283</t>
        </is>
      </c>
      <c r="C9" s="11" t="n"/>
      <c r="D9" s="7" t="n"/>
      <c r="E9" s="7" t="n"/>
      <c r="F9" s="7" t="n"/>
      <c r="G9" s="7" t="n">
        <v>578000</v>
      </c>
      <c r="H9" s="7" t="n"/>
      <c r="I9" s="7" t="n">
        <v>648000</v>
      </c>
      <c r="J9" s="7" t="n">
        <v>578000</v>
      </c>
      <c r="K9" s="7" t="n"/>
    </row>
    <row r="10" ht="14" customHeight="1">
      <c r="B10" s="6" t="inlineStr">
        <is>
          <t>PL2022036069</t>
        </is>
      </c>
      <c r="C10" s="11" t="n">
        <v>2.578</v>
      </c>
      <c r="D10" s="7" t="n">
        <v>1424293</v>
      </c>
      <c r="E10" s="7" t="n">
        <v>350608</v>
      </c>
      <c r="F10" s="7" t="n">
        <v>1268376</v>
      </c>
      <c r="G10" s="7" t="n">
        <v>525000</v>
      </c>
      <c r="H10" s="7" t="n"/>
      <c r="I10" s="7" t="n"/>
      <c r="J10" s="7" t="n"/>
      <c r="K10" s="7" t="n"/>
    </row>
    <row r="11" ht="14" customHeight="1">
      <c r="B11" s="6" t="inlineStr">
        <is>
          <t>PL2022036099</t>
        </is>
      </c>
      <c r="C11" s="11" t="n">
        <v>4.763</v>
      </c>
      <c r="D11" s="7" t="n">
        <v>2631462</v>
      </c>
      <c r="E11" s="7" t="n">
        <v>647768</v>
      </c>
      <c r="F11" s="7" t="n">
        <v>2343396</v>
      </c>
      <c r="G11" s="7" t="n">
        <v>525000</v>
      </c>
      <c r="H11" s="7" t="n">
        <v>1360000</v>
      </c>
      <c r="I11" s="7" t="n">
        <v>3509000</v>
      </c>
      <c r="J11" s="7" t="n"/>
      <c r="K11" s="7" t="n"/>
    </row>
    <row r="12" ht="14" customHeight="1">
      <c r="B12" s="6" t="inlineStr">
        <is>
          <t>PL2022045201</t>
        </is>
      </c>
      <c r="C12" s="11" t="n">
        <v>0.7680000000000001</v>
      </c>
      <c r="D12" s="7" t="n">
        <v>552480</v>
      </c>
      <c r="E12" s="7" t="n">
        <v>136000</v>
      </c>
      <c r="F12" s="7" t="n">
        <v>492000</v>
      </c>
      <c r="G12" s="7" t="n">
        <v>525000</v>
      </c>
      <c r="H12" s="7" t="n"/>
      <c r="I12" s="7" t="n"/>
      <c r="J12" s="7" t="n"/>
      <c r="K12" s="7" t="n"/>
    </row>
    <row r="13" ht="14" customHeight="1">
      <c r="B13" s="6" t="inlineStr">
        <is>
          <t>PL2022045203</t>
        </is>
      </c>
      <c r="C13" s="11" t="n">
        <v>4.278</v>
      </c>
      <c r="D13" s="7" t="n">
        <v>2363509</v>
      </c>
      <c r="E13" s="7" t="n">
        <v>581808</v>
      </c>
      <c r="F13" s="7" t="n">
        <v>2104776</v>
      </c>
      <c r="G13" s="7" t="n">
        <v>525000</v>
      </c>
      <c r="H13" s="7" t="n">
        <v>1360000</v>
      </c>
      <c r="I13" s="7" t="n">
        <v>4086664</v>
      </c>
      <c r="J13" s="7" t="n"/>
      <c r="K13" s="7" t="n"/>
    </row>
    <row r="14" ht="14" customHeight="1">
      <c r="B14" s="6" t="inlineStr">
        <is>
          <t>PL2022045143</t>
        </is>
      </c>
      <c r="C14" s="11" t="n">
        <v>5.855</v>
      </c>
      <c r="D14" s="7" t="n">
        <v>3234770</v>
      </c>
      <c r="E14" s="7" t="n">
        <v>796280</v>
      </c>
      <c r="F14" s="7" t="n">
        <v>2880660</v>
      </c>
      <c r="G14" s="7" t="n">
        <v>525000</v>
      </c>
      <c r="H14" s="7" t="n">
        <v>680000</v>
      </c>
      <c r="I14" s="7" t="n"/>
      <c r="J14" s="7" t="n"/>
      <c r="K14" s="7" t="n"/>
    </row>
    <row r="15" ht="14" customHeight="1">
      <c r="B15" s="6" t="inlineStr">
        <is>
          <t>PL2022045505</t>
        </is>
      </c>
      <c r="C15" s="11" t="n">
        <v>1.112</v>
      </c>
      <c r="D15" s="7" t="n">
        <v>614358</v>
      </c>
      <c r="E15" s="7" t="n">
        <v>151232</v>
      </c>
      <c r="F15" s="7" t="n">
        <v>547104</v>
      </c>
      <c r="G15" s="7" t="n">
        <v>525000</v>
      </c>
      <c r="H15" s="7" t="n">
        <v>680000</v>
      </c>
      <c r="I15" s="7" t="n">
        <v>1732500</v>
      </c>
      <c r="J15" s="7" t="n"/>
      <c r="K15" s="7" t="n"/>
    </row>
    <row r="16" ht="14" customHeight="1">
      <c r="B16" s="6" t="inlineStr">
        <is>
          <t>PL2022035590</t>
        </is>
      </c>
      <c r="C16" s="11" t="n">
        <v>4.292</v>
      </c>
      <c r="D16" s="7" t="n">
        <v>2371244</v>
      </c>
      <c r="E16" s="7" t="n">
        <v>583712</v>
      </c>
      <c r="F16" s="7" t="n">
        <v>2111664</v>
      </c>
      <c r="G16" s="7" t="n">
        <v>525000</v>
      </c>
      <c r="H16" s="7" t="n">
        <v>680000</v>
      </c>
      <c r="I16" s="7" t="n">
        <v>1837000</v>
      </c>
      <c r="J16" s="7" t="n"/>
      <c r="K16" s="7" t="n"/>
    </row>
    <row r="17" ht="14" customHeight="1">
      <c r="B17" s="6" t="inlineStr">
        <is>
          <t>PL2022035947</t>
        </is>
      </c>
      <c r="C17" s="11" t="n">
        <v>1.723</v>
      </c>
      <c r="D17" s="7" t="n">
        <v>951923</v>
      </c>
      <c r="E17" s="7" t="n">
        <v>234328</v>
      </c>
      <c r="F17" s="7" t="n">
        <v>847716</v>
      </c>
      <c r="G17" s="7" t="n">
        <v>525000</v>
      </c>
      <c r="H17" s="7" t="n">
        <v>680000</v>
      </c>
      <c r="I17" s="7" t="n"/>
      <c r="J17" s="7" t="n"/>
      <c r="K17" s="7" t="n"/>
    </row>
    <row r="18" ht="14" customHeight="1">
      <c r="B18" s="6" t="inlineStr">
        <is>
          <t>PL2022035949</t>
        </is>
      </c>
      <c r="C18" s="11" t="n">
        <v>8.464</v>
      </c>
      <c r="D18" s="7" t="n">
        <v>4676191</v>
      </c>
      <c r="E18" s="7" t="n">
        <v>1151104</v>
      </c>
      <c r="F18" s="7" t="n">
        <v>4164288</v>
      </c>
      <c r="G18" s="7" t="n">
        <v>525000</v>
      </c>
      <c r="H18" s="7" t="n">
        <v>680000</v>
      </c>
      <c r="I18" s="7" t="n"/>
      <c r="J18" s="7" t="n"/>
      <c r="K18" s="7" t="n"/>
    </row>
    <row r="19" ht="14" customHeight="1">
      <c r="B19" s="6" t="inlineStr">
        <is>
          <t>PL2022036119</t>
        </is>
      </c>
      <c r="C19" s="11" t="n">
        <v>9.581</v>
      </c>
      <c r="D19" s="7" t="n">
        <v>5293311</v>
      </c>
      <c r="E19" s="7" t="n">
        <v>1303016</v>
      </c>
      <c r="F19" s="7" t="n">
        <v>4713852</v>
      </c>
      <c r="G19" s="7" t="n">
        <v>525000</v>
      </c>
      <c r="H19" s="7" t="n">
        <v>680000</v>
      </c>
      <c r="I19" s="7" t="n">
        <v>2772000</v>
      </c>
      <c r="J19" s="7" t="n"/>
      <c r="K19" s="7" t="n"/>
    </row>
    <row r="20" ht="14" customHeight="1">
      <c r="B20" s="6" t="inlineStr">
        <is>
          <t>PL2022045387</t>
        </is>
      </c>
      <c r="C20" s="11" t="n">
        <v>8.362</v>
      </c>
      <c r="D20" s="7" t="n">
        <v>4619838</v>
      </c>
      <c r="E20" s="7" t="n">
        <v>1137232</v>
      </c>
      <c r="F20" s="7" t="n">
        <v>4114104</v>
      </c>
      <c r="G20" s="7" t="n">
        <v>525000</v>
      </c>
      <c r="H20" s="7" t="n">
        <v>680000</v>
      </c>
      <c r="I20" s="7" t="n">
        <v>4550192</v>
      </c>
      <c r="J20" s="7" t="n"/>
      <c r="K20" s="7" t="n"/>
    </row>
    <row r="21" ht="14" customHeight="1">
      <c r="B21" s="6" t="inlineStr">
        <is>
          <t>PL2022045386</t>
        </is>
      </c>
      <c r="C21" s="11" t="n">
        <v>3.499</v>
      </c>
      <c r="D21" s="7" t="n">
        <v>1933128</v>
      </c>
      <c r="E21" s="7" t="n">
        <v>475864</v>
      </c>
      <c r="F21" s="7" t="n">
        <v>1721508</v>
      </c>
      <c r="G21" s="7" t="n">
        <v>525000</v>
      </c>
      <c r="H21" s="7" t="n">
        <v>680000</v>
      </c>
      <c r="I21" s="7" t="n">
        <v>1837000</v>
      </c>
      <c r="J21" s="7" t="n"/>
      <c r="K21" s="7" t="n"/>
    </row>
    <row r="22" ht="14" customHeight="1">
      <c r="B22" s="6" t="inlineStr">
        <is>
          <t>PL2022045638</t>
        </is>
      </c>
      <c r="C22" s="11" t="n">
        <v>0.9720000000000002</v>
      </c>
      <c r="D22" s="7" t="n">
        <v>552480</v>
      </c>
      <c r="E22" s="7" t="n">
        <v>136000</v>
      </c>
      <c r="F22" s="7" t="n">
        <v>492000</v>
      </c>
      <c r="G22" s="7" t="n">
        <v>525000</v>
      </c>
      <c r="H22" s="7" t="n">
        <v>680000</v>
      </c>
      <c r="I22" s="7" t="n">
        <v>1287000</v>
      </c>
      <c r="J22" s="7" t="n"/>
      <c r="K22" s="7" t="n"/>
    </row>
    <row r="23" ht="14" customHeight="1">
      <c r="B23" s="6" t="inlineStr">
        <is>
          <t>PL2022046062</t>
        </is>
      </c>
      <c r="C23" s="11" t="n">
        <v>1.257</v>
      </c>
      <c r="D23" s="7" t="n">
        <v>696881</v>
      </c>
      <c r="E23" s="7" t="n">
        <v>170952</v>
      </c>
      <c r="F23" s="7" t="n">
        <v>618444</v>
      </c>
      <c r="G23" s="7" t="n">
        <v>525000</v>
      </c>
      <c r="H23" s="7" t="n"/>
      <c r="I23" s="7" t="n"/>
      <c r="J23" s="7" t="n"/>
      <c r="K23" s="7" t="n"/>
    </row>
    <row r="24" ht="14" customHeight="1">
      <c r="B24" s="6" t="inlineStr">
        <is>
          <t>HANLOGE22041880</t>
        </is>
      </c>
      <c r="C24" s="11" t="n"/>
      <c r="D24" s="7" t="n"/>
      <c r="E24" s="7" t="n"/>
      <c r="F24" s="7" t="n"/>
      <c r="G24" s="7" t="n"/>
      <c r="H24" s="7" t="n">
        <v>580000</v>
      </c>
      <c r="I24" s="7" t="n">
        <v>648000</v>
      </c>
      <c r="J24" s="7" t="n"/>
      <c r="K24" s="7" t="n"/>
    </row>
    <row r="25" ht="14" customHeight="1">
      <c r="B25" s="6" t="inlineStr">
        <is>
          <t>HANLOGI22040819/1</t>
        </is>
      </c>
      <c r="C25" s="11" t="n"/>
      <c r="D25" s="7" t="n"/>
      <c r="E25" s="7" t="n"/>
      <c r="F25" s="7" t="n"/>
      <c r="G25" s="7" t="n"/>
      <c r="H25" s="7" t="n">
        <v>580000</v>
      </c>
      <c r="I25" s="7" t="n"/>
      <c r="J25" s="7" t="n"/>
      <c r="K25" s="7" t="n"/>
    </row>
    <row r="26" ht="14" customHeight="1">
      <c r="B26" s="12" t="inlineStr">
        <is>
          <t>6277084494</t>
        </is>
      </c>
      <c r="C26" s="11" t="n"/>
      <c r="D26" s="7" t="n"/>
      <c r="E26" s="7" t="n"/>
      <c r="F26" s="7" t="n"/>
      <c r="G26" s="7" t="n"/>
      <c r="H26" s="7" t="n">
        <v>580000</v>
      </c>
      <c r="I26" s="7" t="n"/>
      <c r="J26" s="7" t="n"/>
      <c r="K26" s="7" t="n"/>
    </row>
    <row r="27" ht="14" customHeight="1">
      <c r="B27" s="12" t="inlineStr">
        <is>
          <t>SF1408364810012</t>
        </is>
      </c>
      <c r="C27" s="11" t="n"/>
      <c r="D27" s="7" t="n"/>
      <c r="E27" s="7" t="n"/>
      <c r="F27" s="7" t="n"/>
      <c r="G27" s="7" t="n"/>
      <c r="H27" s="7" t="n">
        <v>580000</v>
      </c>
      <c r="I27" s="7" t="n"/>
      <c r="J27" s="7" t="n"/>
      <c r="K27" s="7" t="n"/>
    </row>
  </sheetData>
  <mergeCells count="10">
    <mergeCell ref="K3:K4"/>
    <mergeCell ref="C3:C5"/>
    <mergeCell ref="G3:G4"/>
    <mergeCell ref="E3:E4"/>
    <mergeCell ref="I3:I4"/>
    <mergeCell ref="F3:F4"/>
    <mergeCell ref="D3:D4"/>
    <mergeCell ref="H3:H4"/>
    <mergeCell ref="J3:J4"/>
    <mergeCell ref="B3:B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Windows User</dc:creator>
  <dcterms:created xmlns:dcterms="http://purl.org/dc/terms/" xmlns:xsi="http://www.w3.org/2001/XMLSchema-instance" xsi:type="dcterms:W3CDTF">2017-12-04T12:22:40Z</dcterms:created>
  <dcterms:modified xmlns:dcterms="http://purl.org/dc/terms/" xmlns:xsi="http://www.w3.org/2001/XMLSchema-instance" xsi:type="dcterms:W3CDTF">2026-04-06T08:15:24Z</dcterms:modified>
  <cp:lastModifiedBy>Hi</cp:lastModifiedBy>
  <cp:lastPrinted>2026-04-03T04:21:53Z</cp:lastPrinted>
</cp:coreProperties>
</file>