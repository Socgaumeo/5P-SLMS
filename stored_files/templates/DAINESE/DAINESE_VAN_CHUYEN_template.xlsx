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1" autoFilterDateGrouping="1"/>
  </bookViews>
  <sheets>
    <sheet xmlns:r="http://schemas.openxmlformats.org/officeDocument/2006/relationships" name="HĐ" sheetId="1" state="visible" r:id="rId1"/>
    <sheet xmlns:r="http://schemas.openxmlformats.org/officeDocument/2006/relationships" name="PurchPurchaseOrder" sheetId="2" state="visible" r:id="rId2"/>
  </sheets>
  <definedNames>
    <definedName name="_xlnm._FilterDatabase" localSheetId="0" hidden="1">'HĐ'!$A$13:$O$28</definedName>
    <definedName name="_xlnm.Print_Titles" localSheetId="1">'PurchPurchaseOrder'!$1:$27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[$-409]d\-mmm\-yy;@"/>
    <numFmt numFmtId="165" formatCode="_(* #,##0_);_(* \(#,##0\);_(* &quot;-&quot;??_);_(@_)"/>
    <numFmt numFmtId="166" formatCode="[$-10409]#,##0.00;\-#,##0.00;0.00"/>
    <numFmt numFmtId="167" formatCode="0_);\(0\)"/>
  </numFmts>
  <fonts count="2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Times New Roman"/>
      <family val="1"/>
      <color theme="1"/>
      <sz val="12"/>
    </font>
    <font>
      <name val="Times New Roman"/>
      <family val="1"/>
      <b val="1"/>
      <color theme="1"/>
      <sz val="12"/>
    </font>
    <font>
      <name val="Times New Roman"/>
      <family val="1"/>
      <b val="1"/>
      <sz val="12"/>
    </font>
    <font>
      <name val="Times New Roman"/>
      <family val="1"/>
      <sz val="12"/>
    </font>
    <font>
      <name val="Times New Roman"/>
      <family val="1"/>
      <b val="1"/>
      <i val="1"/>
      <color theme="1"/>
      <sz val="12"/>
    </font>
    <font>
      <name val="Times New Roman"/>
      <family val="1"/>
      <b val="1"/>
      <i val="1"/>
      <color rgb="FFFF0000"/>
      <sz val="12"/>
    </font>
    <font>
      <name val="Calibri"/>
      <family val="2"/>
      <sz val="8"/>
      <scheme val="minor"/>
    </font>
    <font>
      <name val="Times New Roman"/>
      <family val="1"/>
      <b val="1"/>
      <color theme="1"/>
      <sz val="14"/>
    </font>
    <font>
      <name val="Calibri"/>
      <family val="2"/>
      <color rgb="FF000000"/>
      <sz val="11"/>
      <scheme val="minor"/>
    </font>
    <font>
      <name val="Calibri"/>
      <family val="2"/>
      <sz val="11"/>
    </font>
    <font>
      <name val="Segoe UI"/>
      <family val="2"/>
      <color rgb="FF000000"/>
      <sz val="8"/>
    </font>
    <font>
      <name val="Arial"/>
      <family val="2"/>
      <b val="1"/>
      <color rgb="FF000000"/>
      <sz val="10"/>
    </font>
    <font>
      <name val="Arial"/>
      <family val="2"/>
      <color rgb="FF000000"/>
      <sz val="6"/>
    </font>
    <font>
      <name val="Arial"/>
      <family val="2"/>
      <color rgb="FF000000"/>
      <sz val="8"/>
    </font>
    <font>
      <name val="Arial"/>
      <family val="2"/>
      <b val="1"/>
      <color rgb="FF000000"/>
      <sz val="8"/>
    </font>
    <font>
      <name val="Arial"/>
      <charset val="163"/>
      <family val="2"/>
      <b val="1"/>
      <color rgb="FF000000"/>
      <sz val="8"/>
    </font>
    <font>
      <name val="Calibri"/>
      <charset val="163"/>
      <family val="2"/>
      <b val="1"/>
      <sz val="11"/>
    </font>
    <font>
      <name val="Arial"/>
      <family val="2"/>
      <sz val="8"/>
    </font>
    <font>
      <name val="Arial"/>
      <charset val="163"/>
      <family val="2"/>
      <sz val="8"/>
    </font>
    <font>
      <name val="Calibri"/>
      <charset val="163"/>
      <family val="2"/>
      <sz val="11"/>
    </font>
    <font>
      <name val="Calibri"/>
      <family val="2"/>
      <b val="1"/>
      <sz val="11"/>
    </font>
    <font>
      <name val="Calibri"/>
      <family val="2"/>
      <b val="1"/>
      <sz val="9"/>
    </font>
    <font>
      <name val="Calibri Light"/>
      <family val="1"/>
      <sz val="11"/>
      <scheme val="major"/>
    </font>
    <font>
      <name val="Times New Roman"/>
      <family val="1"/>
      <sz val="11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6">
    <xf numFmtId="0" fontId="1" fillId="0" borderId="0"/>
    <xf numFmtId="0" fontId="2" fillId="0" borderId="0"/>
    <xf numFmtId="0" fontId="1" fillId="0" borderId="0"/>
    <xf numFmtId="43" fontId="1" fillId="0" borderId="0"/>
    <xf numFmtId="0" fontId="11" fillId="0" borderId="0"/>
    <xf numFmtId="43" fontId="11" fillId="0" borderId="0"/>
  </cellStyleXfs>
  <cellXfs count="273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center" vertical="center"/>
    </xf>
    <xf numFmtId="3" fontId="3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right"/>
    </xf>
    <xf numFmtId="0" fontId="4" fillId="0" borderId="0" applyAlignment="1" pivotButton="0" quotePrefix="0" xfId="0">
      <alignment vertical="center"/>
    </xf>
    <xf numFmtId="0" fontId="4" fillId="0" borderId="0" pivotButton="0" quotePrefix="0" xfId="0"/>
    <xf numFmtId="0" fontId="3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vertical="center" wrapText="1"/>
    </xf>
    <xf numFmtId="3" fontId="3" fillId="0" borderId="0" applyAlignment="1" pivotButton="0" quotePrefix="0" xfId="0">
      <alignment horizontal="right" vertical="center" wrapText="1"/>
    </xf>
    <xf numFmtId="0" fontId="3" fillId="0" borderId="0" applyAlignment="1" pivotButton="0" quotePrefix="0" xfId="0">
      <alignment horizontal="center" vertical="center" wrapText="1"/>
    </xf>
    <xf numFmtId="0" fontId="7" fillId="2" borderId="0" pivotButton="0" quotePrefix="0" xfId="0"/>
    <xf numFmtId="0" fontId="3" fillId="2" borderId="0" applyAlignment="1" pivotButton="0" quotePrefix="0" xfId="0">
      <alignment vertical="center"/>
    </xf>
    <xf numFmtId="0" fontId="3" fillId="2" borderId="0" pivotButton="0" quotePrefix="0" xfId="0"/>
    <xf numFmtId="0" fontId="3" fillId="2" borderId="0" applyAlignment="1" pivotButton="0" quotePrefix="0" xfId="0">
      <alignment horizontal="center" vertical="center"/>
    </xf>
    <xf numFmtId="3" fontId="3" fillId="2" borderId="0" applyAlignment="1" pivotButton="0" quotePrefix="0" xfId="0">
      <alignment horizontal="right" vertical="center"/>
    </xf>
    <xf numFmtId="0" fontId="8" fillId="2" borderId="0" pivotButton="0" quotePrefix="0" xfId="0"/>
    <xf numFmtId="3" fontId="4" fillId="0" borderId="0" applyAlignment="1" pivotButton="0" quotePrefix="0" xfId="0">
      <alignment horizontal="left" vertical="center"/>
    </xf>
    <xf numFmtId="0" fontId="7" fillId="0" borderId="0" pivotButton="0" quotePrefix="0" xfId="0"/>
    <xf numFmtId="1" fontId="3" fillId="0" borderId="0" applyAlignment="1" pivotButton="0" quotePrefix="0" xfId="0">
      <alignment horizontal="center" vertical="center"/>
    </xf>
    <xf numFmtId="1" fontId="3" fillId="0" borderId="0" pivotButton="0" quotePrefix="0" xfId="0"/>
    <xf numFmtId="1" fontId="3" fillId="2" borderId="0" applyAlignment="1" pivotButton="0" quotePrefix="0" xfId="0">
      <alignment horizontal="center" vertical="center"/>
    </xf>
    <xf numFmtId="3" fontId="3" fillId="0" borderId="0" applyAlignment="1" pivotButton="0" quotePrefix="0" xfId="3">
      <alignment horizontal="center" vertical="center"/>
    </xf>
    <xf numFmtId="3" fontId="3" fillId="0" borderId="0" pivotButton="0" quotePrefix="0" xfId="3"/>
    <xf numFmtId="3" fontId="3" fillId="2" borderId="0" applyAlignment="1" pivotButton="0" quotePrefix="0" xfId="3">
      <alignment horizontal="center" vertical="center"/>
    </xf>
    <xf numFmtId="164" fontId="3" fillId="0" borderId="0" applyAlignment="1" pivotButton="0" quotePrefix="0" xfId="0">
      <alignment vertical="center"/>
    </xf>
    <xf numFmtId="164" fontId="3" fillId="0" borderId="0" pivotButton="0" quotePrefix="0" xfId="0"/>
    <xf numFmtId="164" fontId="3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right" vertical="center"/>
    </xf>
    <xf numFmtId="164" fontId="3" fillId="2" borderId="0" applyAlignment="1" pivotButton="0" quotePrefix="0" xfId="0">
      <alignment vertical="center"/>
    </xf>
    <xf numFmtId="164" fontId="4" fillId="0" borderId="0" applyAlignment="1" pivotButton="0" quotePrefix="0" xfId="0">
      <alignment vertical="center"/>
    </xf>
    <xf numFmtId="165" fontId="3" fillId="0" borderId="0" applyAlignment="1" pivotButton="0" quotePrefix="0" xfId="3">
      <alignment horizontal="right" vertical="center"/>
    </xf>
    <xf numFmtId="165" fontId="3" fillId="0" borderId="0" pivotButton="0" quotePrefix="0" xfId="3"/>
    <xf numFmtId="165" fontId="3" fillId="0" borderId="0" applyAlignment="1" pivotButton="0" quotePrefix="0" xfId="3">
      <alignment horizontal="right" vertical="center" wrapText="1"/>
    </xf>
    <xf numFmtId="165" fontId="3" fillId="2" borderId="0" applyAlignment="1" pivotButton="0" quotePrefix="0" xfId="3">
      <alignment horizontal="right" vertical="center"/>
    </xf>
    <xf numFmtId="0" fontId="3" fillId="0" borderId="4" pivotButton="0" quotePrefix="0" xfId="0"/>
    <xf numFmtId="3" fontId="4" fillId="0" borderId="1" applyAlignment="1" pivotButton="0" quotePrefix="0" xfId="0">
      <alignment horizontal="right" vertical="center"/>
    </xf>
    <xf numFmtId="165" fontId="3" fillId="0" borderId="10" applyAlignment="1" pivotButton="0" quotePrefix="0" xfId="0">
      <alignment vertical="center"/>
    </xf>
    <xf numFmtId="3" fontId="4" fillId="0" borderId="7" applyAlignment="1" pivotButton="0" quotePrefix="0" xfId="0">
      <alignment horizontal="right" vertical="center"/>
    </xf>
    <xf numFmtId="165" fontId="4" fillId="0" borderId="8" applyAlignment="1" pivotButton="0" quotePrefix="0" xfId="0">
      <alignment vertical="center"/>
    </xf>
    <xf numFmtId="165" fontId="3" fillId="0" borderId="1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165" fontId="3" fillId="0" borderId="1" applyAlignment="1" pivotButton="0" quotePrefix="0" xfId="0">
      <alignment horizontal="center" vertical="center"/>
    </xf>
    <xf numFmtId="165" fontId="4" fillId="0" borderId="7" applyAlignment="1" pivotButton="0" quotePrefix="0" xfId="0">
      <alignment horizontal="center" vertical="center"/>
    </xf>
    <xf numFmtId="165" fontId="4" fillId="0" borderId="7" applyAlignment="1" pivotButton="0" quotePrefix="0" xfId="0">
      <alignment vertical="center"/>
    </xf>
    <xf numFmtId="0" fontId="3" fillId="0" borderId="7" applyAlignment="1" pivotButton="0" quotePrefix="0" xfId="0">
      <alignment vertical="center"/>
    </xf>
    <xf numFmtId="0" fontId="12" fillId="0" borderId="0" pivotButton="0" quotePrefix="0" xfId="4"/>
    <xf numFmtId="43" fontId="12" fillId="0" borderId="0" pivotButton="0" quotePrefix="0" xfId="5"/>
    <xf numFmtId="0" fontId="12" fillId="0" borderId="11" applyAlignment="1" pivotButton="0" quotePrefix="0" xfId="4">
      <alignment vertical="top" wrapText="1"/>
    </xf>
    <xf numFmtId="0" fontId="12" fillId="0" borderId="12" applyAlignment="1" pivotButton="0" quotePrefix="0" xfId="4">
      <alignment vertical="top" wrapText="1"/>
    </xf>
    <xf numFmtId="43" fontId="12" fillId="0" borderId="12" applyAlignment="1" pivotButton="0" quotePrefix="0" xfId="5">
      <alignment vertical="top" wrapText="1"/>
    </xf>
    <xf numFmtId="0" fontId="12" fillId="0" borderId="13" applyAlignment="1" pivotButton="0" quotePrefix="0" xfId="4">
      <alignment vertical="top" wrapText="1"/>
    </xf>
    <xf numFmtId="0" fontId="12" fillId="0" borderId="14" applyAlignment="1" pivotButton="0" quotePrefix="0" xfId="4">
      <alignment vertical="top" wrapText="1"/>
    </xf>
    <xf numFmtId="0" fontId="12" fillId="0" borderId="15" applyAlignment="1" pivotButton="0" quotePrefix="0" xfId="4">
      <alignment vertical="top" wrapText="1"/>
    </xf>
    <xf numFmtId="0" fontId="12" fillId="0" borderId="16" applyAlignment="1" pivotButton="0" quotePrefix="0" xfId="4">
      <alignment vertical="top" wrapText="1"/>
    </xf>
    <xf numFmtId="0" fontId="12" fillId="0" borderId="17" applyAlignment="1" pivotButton="0" quotePrefix="0" xfId="4">
      <alignment vertical="top" wrapText="1"/>
    </xf>
    <xf numFmtId="43" fontId="12" fillId="0" borderId="17" applyAlignment="1" pivotButton="0" quotePrefix="0" xfId="5">
      <alignment vertical="top" wrapText="1"/>
    </xf>
    <xf numFmtId="0" fontId="12" fillId="0" borderId="18" applyAlignment="1" pivotButton="0" quotePrefix="0" xfId="4">
      <alignment vertical="top" wrapText="1"/>
    </xf>
    <xf numFmtId="0" fontId="17" fillId="0" borderId="17" applyAlignment="1" pivotButton="0" quotePrefix="0" xfId="4">
      <alignment horizontal="center" wrapText="1" readingOrder="1"/>
    </xf>
    <xf numFmtId="0" fontId="16" fillId="0" borderId="0" applyAlignment="1" pivotButton="0" quotePrefix="0" xfId="4">
      <alignment vertical="top" wrapText="1" readingOrder="1"/>
    </xf>
    <xf numFmtId="0" fontId="16" fillId="0" borderId="0" applyAlignment="1" pivotButton="0" quotePrefix="0" xfId="4">
      <alignment horizontal="center" vertical="top" wrapText="1" readingOrder="1"/>
    </xf>
    <xf numFmtId="166" fontId="16" fillId="0" borderId="0" applyAlignment="1" pivotButton="0" quotePrefix="0" xfId="4">
      <alignment horizontal="right" vertical="top" wrapText="1" readingOrder="1"/>
    </xf>
    <xf numFmtId="0" fontId="20" fillId="0" borderId="0" applyAlignment="1" pivotButton="0" quotePrefix="0" xfId="4">
      <alignment horizontal="left" vertical="top" wrapText="1" readingOrder="1"/>
    </xf>
    <xf numFmtId="3" fontId="20" fillId="0" borderId="0" applyAlignment="1" pivotButton="0" quotePrefix="0" xfId="4">
      <alignment vertical="top" wrapText="1" readingOrder="1"/>
    </xf>
    <xf numFmtId="0" fontId="20" fillId="0" borderId="0" applyAlignment="1" pivotButton="0" quotePrefix="0" xfId="4">
      <alignment horizontal="center" vertical="top" wrapText="1" readingOrder="1"/>
    </xf>
    <xf numFmtId="166" fontId="20" fillId="0" borderId="0" applyAlignment="1" pivotButton="0" quotePrefix="0" xfId="4">
      <alignment horizontal="right" vertical="top" wrapText="1" readingOrder="1"/>
    </xf>
    <xf numFmtId="9" fontId="20" fillId="0" borderId="0" applyAlignment="1" pivotButton="0" quotePrefix="0" xfId="4">
      <alignment horizontal="center" vertical="top" wrapText="1" readingOrder="1"/>
    </xf>
    <xf numFmtId="0" fontId="20" fillId="0" borderId="0" applyAlignment="1" pivotButton="0" quotePrefix="0" xfId="4">
      <alignment vertical="top" wrapText="1" readingOrder="1"/>
    </xf>
    <xf numFmtId="0" fontId="21" fillId="0" borderId="0" applyAlignment="1" pivotButton="0" quotePrefix="0" xfId="4">
      <alignment horizontal="center" vertical="top" wrapText="1" readingOrder="1"/>
    </xf>
    <xf numFmtId="0" fontId="22" fillId="0" borderId="0" applyAlignment="1" pivotButton="0" quotePrefix="0" xfId="4">
      <alignment horizontal="center" vertical="top"/>
    </xf>
    <xf numFmtId="14" fontId="20" fillId="0" borderId="0" applyAlignment="1" pivotButton="0" quotePrefix="0" xfId="4">
      <alignment horizontal="center" vertical="top" wrapText="1" readingOrder="1"/>
    </xf>
    <xf numFmtId="0" fontId="23" fillId="0" borderId="0" pivotButton="0" quotePrefix="0" xfId="4"/>
    <xf numFmtId="0" fontId="24" fillId="0" borderId="0" pivotButton="0" quotePrefix="0" xfId="4"/>
    <xf numFmtId="165" fontId="24" fillId="0" borderId="0" pivotButton="0" quotePrefix="0" xfId="4"/>
    <xf numFmtId="0" fontId="20" fillId="0" borderId="0" pivotButton="0" quotePrefix="0" xfId="4"/>
    <xf numFmtId="0" fontId="25" fillId="0" borderId="0" pivotButton="0" quotePrefix="0" xfId="4"/>
    <xf numFmtId="0" fontId="3" fillId="0" borderId="0" applyAlignment="1" pivotButton="0" quotePrefix="0" xfId="0">
      <alignment horizontal="left" wrapText="1"/>
    </xf>
    <xf numFmtId="37" fontId="3" fillId="0" borderId="1" applyAlignment="1" pivotButton="0" quotePrefix="0" xfId="3">
      <alignment horizontal="center" vertical="center"/>
    </xf>
    <xf numFmtId="37" fontId="3" fillId="0" borderId="7" applyAlignment="1" pivotButton="0" quotePrefix="0" xfId="3">
      <alignment horizontal="center" vertical="center"/>
    </xf>
    <xf numFmtId="0" fontId="6" fillId="0" borderId="0" pivotButton="0" quotePrefix="0" xfId="0"/>
    <xf numFmtId="1" fontId="6" fillId="2" borderId="7" applyAlignment="1" pivotButton="0" quotePrefix="0" xfId="0">
      <alignment horizontal="center" vertical="center" wrapText="1"/>
    </xf>
    <xf numFmtId="0" fontId="4" fillId="0" borderId="2" applyAlignment="1" pivotButton="0" quotePrefix="0" xfId="0">
      <alignment vertical="center" wrapText="1"/>
    </xf>
    <xf numFmtId="0" fontId="4" fillId="0" borderId="2" applyAlignment="1" pivotButton="0" quotePrefix="0" xfId="0">
      <alignment horizontal="center" vertical="center" wrapText="1"/>
    </xf>
    <xf numFmtId="0" fontId="4" fillId="0" borderId="26" applyAlignment="1" pivotButton="0" quotePrefix="0" xfId="0">
      <alignment horizontal="center" vertical="center" wrapText="1"/>
    </xf>
    <xf numFmtId="37" fontId="3" fillId="0" borderId="28" applyAlignment="1" pivotButton="0" quotePrefix="0" xfId="3">
      <alignment horizontal="center" vertical="center"/>
    </xf>
    <xf numFmtId="3" fontId="3" fillId="0" borderId="28" applyAlignment="1" pivotButton="0" quotePrefix="0" xfId="0">
      <alignment horizontal="center" vertical="center"/>
    </xf>
    <xf numFmtId="3" fontId="4" fillId="0" borderId="28" applyAlignment="1" pivotButton="0" quotePrefix="0" xfId="0">
      <alignment horizontal="right" vertical="center"/>
    </xf>
    <xf numFmtId="165" fontId="3" fillId="0" borderId="28" applyAlignment="1" pivotButton="0" quotePrefix="0" xfId="0">
      <alignment vertical="center"/>
    </xf>
    <xf numFmtId="0" fontId="3" fillId="2" borderId="6" applyAlignment="1" pivotButton="0" quotePrefix="0" xfId="0">
      <alignment horizontal="center" vertical="center" wrapText="1"/>
    </xf>
    <xf numFmtId="14" fontId="26" fillId="2" borderId="7" applyAlignment="1" pivotButton="0" quotePrefix="1" xfId="0">
      <alignment horizontal="center" vertical="center"/>
    </xf>
    <xf numFmtId="165" fontId="3" fillId="2" borderId="7" applyAlignment="1" pivotButton="0" quotePrefix="0" xfId="3">
      <alignment horizontal="center" vertical="center" wrapText="1"/>
    </xf>
    <xf numFmtId="167" fontId="3" fillId="2" borderId="7" applyAlignment="1" pivotButton="0" quotePrefix="0" xfId="3">
      <alignment horizontal="center" vertical="center" wrapText="1"/>
    </xf>
    <xf numFmtId="43" fontId="3" fillId="2" borderId="7" applyAlignment="1" pivotButton="0" quotePrefix="0" xfId="3">
      <alignment horizontal="center" vertical="center" wrapText="1"/>
    </xf>
    <xf numFmtId="3" fontId="6" fillId="2" borderId="7" applyAlignment="1" pivotButton="0" quotePrefix="0" xfId="3">
      <alignment horizontal="center" vertical="center" wrapText="1"/>
    </xf>
    <xf numFmtId="165" fontId="6" fillId="2" borderId="7" applyAlignment="1" pivotButton="0" quotePrefix="0" xfId="3">
      <alignment horizontal="center" vertical="center" wrapText="1"/>
    </xf>
    <xf numFmtId="165" fontId="6" fillId="2" borderId="1" applyAlignment="1" pivotButton="0" quotePrefix="0" xfId="3">
      <alignment horizontal="center" vertical="center" wrapText="1"/>
    </xf>
    <xf numFmtId="165" fontId="6" fillId="2" borderId="7" applyAlignment="1" pivotButton="0" quotePrefix="0" xfId="0">
      <alignment horizontal="right" vertical="center" wrapText="1"/>
    </xf>
    <xf numFmtId="0" fontId="6" fillId="2" borderId="0" pivotButton="0" quotePrefix="0" xfId="0"/>
    <xf numFmtId="0" fontId="3" fillId="0" borderId="2" pivotButton="0" quotePrefix="0" xfId="0"/>
    <xf numFmtId="0" fontId="3" fillId="0" borderId="28" applyAlignment="1" pivotButton="0" quotePrefix="0" xfId="0">
      <alignment vertical="center"/>
    </xf>
    <xf numFmtId="165" fontId="3" fillId="0" borderId="29" applyAlignment="1" pivotButton="0" quotePrefix="0" xfId="0">
      <alignment vertical="center"/>
    </xf>
    <xf numFmtId="1" fontId="6" fillId="2" borderId="1" applyAlignment="1" pivotButton="0" quotePrefix="0" xfId="0">
      <alignment horizontal="center" vertical="center" wrapText="1"/>
    </xf>
    <xf numFmtId="14" fontId="26" fillId="2" borderId="1" applyAlignment="1" pivotButton="0" quotePrefix="1" xfId="0">
      <alignment horizontal="center" vertical="center"/>
    </xf>
    <xf numFmtId="165" fontId="3" fillId="2" borderId="1" applyAlignment="1" pivotButton="0" quotePrefix="0" xfId="3">
      <alignment horizontal="center" vertical="center" wrapText="1"/>
    </xf>
    <xf numFmtId="167" fontId="3" fillId="2" borderId="1" applyAlignment="1" pivotButton="0" quotePrefix="0" xfId="3">
      <alignment horizontal="center" vertical="center" wrapText="1"/>
    </xf>
    <xf numFmtId="43" fontId="3" fillId="2" borderId="1" applyAlignment="1" pivotButton="0" quotePrefix="0" xfId="3">
      <alignment horizontal="center" vertical="center" wrapText="1"/>
    </xf>
    <xf numFmtId="3" fontId="6" fillId="2" borderId="1" applyAlignment="1" pivotButton="0" quotePrefix="0" xfId="3">
      <alignment horizontal="center" vertical="center" wrapText="1"/>
    </xf>
    <xf numFmtId="165" fontId="6" fillId="2" borderId="1" applyAlignment="1" pivotButton="0" quotePrefix="0" xfId="0">
      <alignment horizontal="right" vertical="center" wrapText="1"/>
    </xf>
    <xf numFmtId="0" fontId="6" fillId="2" borderId="1" applyAlignment="1" pivotButton="0" quotePrefix="0" xfId="0">
      <alignment horizontal="center"/>
    </xf>
    <xf numFmtId="0" fontId="6" fillId="2" borderId="7" applyAlignment="1" pivotButton="0" quotePrefix="0" xfId="0">
      <alignment horizontal="center"/>
    </xf>
    <xf numFmtId="43" fontId="3" fillId="2" borderId="8" applyAlignment="1" pivotButton="0" quotePrefix="1" xfId="3">
      <alignment horizontal="center" vertical="center" wrapText="1"/>
    </xf>
    <xf numFmtId="0" fontId="3" fillId="2" borderId="3" applyAlignment="1" pivotButton="0" quotePrefix="0" xfId="0">
      <alignment horizontal="center" vertical="center" wrapText="1"/>
    </xf>
    <xf numFmtId="165" fontId="3" fillId="2" borderId="4" applyAlignment="1" pivotButton="0" quotePrefix="0" xfId="3">
      <alignment horizontal="center" vertical="center" wrapText="1"/>
    </xf>
    <xf numFmtId="167" fontId="3" fillId="2" borderId="4" applyAlignment="1" pivotButton="0" quotePrefix="0" xfId="3">
      <alignment horizontal="center" vertical="center" wrapText="1"/>
    </xf>
    <xf numFmtId="43" fontId="3" fillId="2" borderId="4" applyAlignment="1" pivotButton="0" quotePrefix="0" xfId="3">
      <alignment horizontal="center" vertical="center" wrapText="1"/>
    </xf>
    <xf numFmtId="1" fontId="6" fillId="2" borderId="4" applyAlignment="1" pivotButton="0" quotePrefix="0" xfId="0">
      <alignment horizontal="center" vertical="center" wrapText="1"/>
    </xf>
    <xf numFmtId="3" fontId="6" fillId="2" borderId="4" applyAlignment="1" pivotButton="0" quotePrefix="0" xfId="3">
      <alignment horizontal="center" vertical="center" wrapText="1"/>
    </xf>
    <xf numFmtId="165" fontId="6" fillId="2" borderId="4" applyAlignment="1" pivotButton="0" quotePrefix="0" xfId="3">
      <alignment horizontal="center" vertical="center" wrapText="1"/>
    </xf>
    <xf numFmtId="165" fontId="6" fillId="2" borderId="4" applyAlignment="1" pivotButton="0" quotePrefix="0" xfId="0">
      <alignment horizontal="right" vertical="center" wrapText="1"/>
    </xf>
    <xf numFmtId="3" fontId="6" fillId="2" borderId="4" applyAlignment="1" pivotButton="0" quotePrefix="0" xfId="0">
      <alignment horizontal="right" vertical="center" wrapText="1"/>
    </xf>
    <xf numFmtId="0" fontId="6" fillId="2" borderId="4" applyAlignment="1" pivotButton="0" quotePrefix="0" xfId="0">
      <alignment horizontal="center"/>
    </xf>
    <xf numFmtId="0" fontId="3" fillId="2" borderId="9" applyAlignment="1" pivotButton="0" quotePrefix="0" xfId="0">
      <alignment horizontal="center" vertical="center" wrapText="1"/>
    </xf>
    <xf numFmtId="3" fontId="6" fillId="2" borderId="1" applyAlignment="1" pivotButton="0" quotePrefix="0" xfId="0">
      <alignment horizontal="right" vertical="center" wrapText="1"/>
    </xf>
    <xf numFmtId="3" fontId="6" fillId="2" borderId="7" applyAlignment="1" pivotButton="0" quotePrefix="0" xfId="0">
      <alignment horizontal="right" vertical="center" wrapText="1"/>
    </xf>
    <xf numFmtId="14" fontId="3" fillId="2" borderId="4" applyAlignment="1" pivotButton="0" quotePrefix="0" xfId="0">
      <alignment horizontal="center" vertical="center"/>
    </xf>
    <xf numFmtId="14" fontId="3" fillId="2" borderId="1" applyAlignment="1" pivotButton="0" quotePrefix="0" xfId="0">
      <alignment horizontal="center" vertical="center"/>
    </xf>
    <xf numFmtId="3" fontId="5" fillId="0" borderId="4" applyAlignment="1" pivotButton="0" quotePrefix="0" xfId="0">
      <alignment horizontal="center" vertical="center" wrapText="1"/>
    </xf>
    <xf numFmtId="3" fontId="5" fillId="0" borderId="2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/>
    </xf>
    <xf numFmtId="0" fontId="4" fillId="0" borderId="9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37" fontId="3" fillId="0" borderId="1" applyAlignment="1" pivotButton="0" quotePrefix="0" xfId="3">
      <alignment horizontal="center" vertical="center"/>
    </xf>
    <xf numFmtId="0" fontId="4" fillId="0" borderId="6" applyAlignment="1" pivotButton="0" quotePrefix="0" xfId="0">
      <alignment horizontal="center" vertical="center"/>
    </xf>
    <xf numFmtId="0" fontId="4" fillId="0" borderId="7" applyAlignment="1" pivotButton="0" quotePrefix="0" xfId="0">
      <alignment horizontal="center" vertical="center"/>
    </xf>
    <xf numFmtId="37" fontId="3" fillId="0" borderId="7" applyAlignment="1" pivotButton="0" quotePrefix="0" xfId="3">
      <alignment horizontal="center" vertical="center"/>
    </xf>
    <xf numFmtId="0" fontId="5" fillId="0" borderId="5" applyAlignment="1" pivotButton="0" quotePrefix="0" xfId="0">
      <alignment horizontal="center" vertical="center" wrapText="1"/>
    </xf>
    <xf numFmtId="0" fontId="5" fillId="0" borderId="25" applyAlignment="1" pivotButton="0" quotePrefix="0" xfId="0">
      <alignment horizontal="center" vertical="center" wrapText="1"/>
    </xf>
    <xf numFmtId="43" fontId="4" fillId="2" borderId="5" applyAlignment="1" pivotButton="0" quotePrefix="1" xfId="3">
      <alignment horizontal="center" vertical="center" wrapText="1"/>
    </xf>
    <xf numFmtId="43" fontId="4" fillId="2" borderId="10" applyAlignment="1" pivotButton="0" quotePrefix="1" xfId="3">
      <alignment horizontal="center" vertical="center" wrapText="1"/>
    </xf>
    <xf numFmtId="165" fontId="5" fillId="0" borderId="19" applyAlignment="1" pivotButton="0" quotePrefix="0" xfId="3">
      <alignment horizontal="center" vertical="center" wrapText="1"/>
    </xf>
    <xf numFmtId="165" fontId="5" fillId="0" borderId="26" applyAlignment="1" pivotButton="0" quotePrefix="0" xfId="3">
      <alignment horizontal="center" vertical="center" wrapText="1"/>
    </xf>
    <xf numFmtId="0" fontId="3" fillId="0" borderId="0" applyAlignment="1" pivotButton="0" quotePrefix="0" xfId="0">
      <alignment horizontal="left" wrapText="1"/>
    </xf>
    <xf numFmtId="0" fontId="4" fillId="0" borderId="27" applyAlignment="1" pivotButton="0" quotePrefix="0" xfId="0">
      <alignment horizontal="center" vertical="center"/>
    </xf>
    <xf numFmtId="0" fontId="4" fillId="0" borderId="28" applyAlignment="1" pivotButton="0" quotePrefix="0" xfId="0">
      <alignment horizontal="center" vertical="center"/>
    </xf>
    <xf numFmtId="37" fontId="3" fillId="0" borderId="28" applyAlignment="1" pivotButton="0" quotePrefix="0" xfId="3">
      <alignment horizontal="center" vertical="center"/>
    </xf>
    <xf numFmtId="0" fontId="4" fillId="0" borderId="3" applyAlignment="1" pivotButton="0" quotePrefix="0" xfId="0">
      <alignment horizontal="center" vertical="center" wrapText="1"/>
    </xf>
    <xf numFmtId="0" fontId="4" fillId="0" borderId="24" applyAlignment="1" pivotButton="0" quotePrefix="0" xfId="0">
      <alignment horizontal="center" vertical="center" wrapText="1"/>
    </xf>
    <xf numFmtId="164" fontId="4" fillId="0" borderId="4" applyAlignment="1" pivotButton="0" quotePrefix="0" xfId="0">
      <alignment horizontal="center" vertical="center" wrapText="1"/>
    </xf>
    <xf numFmtId="164" fontId="4" fillId="0" borderId="2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1" fontId="4" fillId="0" borderId="4" applyAlignment="1" pivotButton="0" quotePrefix="0" xfId="0">
      <alignment horizontal="center" vertical="center" wrapText="1"/>
    </xf>
    <xf numFmtId="1" fontId="4" fillId="0" borderId="2" applyAlignment="1" pivotButton="0" quotePrefix="0" xfId="0">
      <alignment horizontal="center" vertical="center" wrapText="1"/>
    </xf>
    <xf numFmtId="3" fontId="4" fillId="0" borderId="4" applyAlignment="1" pivotButton="0" quotePrefix="0" xfId="3">
      <alignment horizontal="center" vertical="center" wrapText="1"/>
    </xf>
    <xf numFmtId="3" fontId="4" fillId="0" borderId="2" applyAlignment="1" pivotButton="0" quotePrefix="0" xfId="3">
      <alignment horizontal="center" vertical="center" wrapText="1"/>
    </xf>
    <xf numFmtId="165" fontId="5" fillId="0" borderId="4" applyAlignment="1" pivotButton="0" quotePrefix="0" xfId="3">
      <alignment horizontal="center" vertical="center" wrapText="1"/>
    </xf>
    <xf numFmtId="165" fontId="5" fillId="0" borderId="2" applyAlignment="1" pivotButton="0" quotePrefix="0" xfId="3">
      <alignment horizontal="center" vertical="center" wrapText="1"/>
    </xf>
    <xf numFmtId="0" fontId="4" fillId="0" borderId="19" applyAlignment="1" pivotButton="0" quotePrefix="0" xfId="0">
      <alignment horizontal="center" vertical="center" wrapText="1"/>
    </xf>
    <xf numFmtId="0" fontId="4" fillId="0" borderId="26" applyAlignment="1" pivotButton="0" quotePrefix="0" xfId="0">
      <alignment horizontal="center" vertical="center" wrapText="1"/>
    </xf>
    <xf numFmtId="0" fontId="4" fillId="0" borderId="20" applyAlignment="1" pivotButton="0" quotePrefix="0" xfId="0">
      <alignment horizontal="center" vertical="center" wrapText="1"/>
    </xf>
    <xf numFmtId="0" fontId="4" fillId="0" borderId="21" applyAlignment="1" pivotButton="0" quotePrefix="0" xfId="0">
      <alignment horizontal="center" vertical="center" wrapText="1"/>
    </xf>
    <xf numFmtId="0" fontId="4" fillId="0" borderId="22" applyAlignment="1" pivotButton="0" quotePrefix="0" xfId="0">
      <alignment horizontal="center" vertical="center" wrapText="1"/>
    </xf>
    <xf numFmtId="0" fontId="4" fillId="0" borderId="23" applyAlignment="1" pivotButton="0" quotePrefix="0" xfId="0">
      <alignment horizontal="center" vertical="center" wrapText="1"/>
    </xf>
    <xf numFmtId="0" fontId="16" fillId="0" borderId="0" applyAlignment="1" pivotButton="0" quotePrefix="0" xfId="4">
      <alignment horizontal="left" vertical="top" wrapText="1" readingOrder="1"/>
    </xf>
    <xf numFmtId="0" fontId="12" fillId="0" borderId="0" pivotButton="0" quotePrefix="0" xfId="4"/>
    <xf numFmtId="0" fontId="16" fillId="0" borderId="0" applyAlignment="1" pivotButton="0" quotePrefix="0" xfId="4">
      <alignment vertical="top" wrapText="1" readingOrder="1"/>
    </xf>
    <xf numFmtId="43" fontId="17" fillId="0" borderId="0" applyAlignment="1" pivotButton="0" quotePrefix="0" xfId="4">
      <alignment horizontal="center" vertical="top" wrapText="1" readingOrder="1"/>
    </xf>
    <xf numFmtId="0" fontId="12" fillId="0" borderId="0" applyAlignment="1" pivotButton="0" quotePrefix="0" xfId="4">
      <alignment horizontal="center" vertical="top"/>
    </xf>
    <xf numFmtId="3" fontId="16" fillId="0" borderId="0" applyAlignment="1" pivotButton="0" quotePrefix="0" xfId="4">
      <alignment vertical="top" wrapText="1" readingOrder="1"/>
    </xf>
    <xf numFmtId="164" fontId="16" fillId="0" borderId="0" applyAlignment="1" pivotButton="0" quotePrefix="1" xfId="4">
      <alignment horizontal="center" vertical="top" wrapText="1" readingOrder="1"/>
    </xf>
    <xf numFmtId="164" fontId="12" fillId="0" borderId="0" pivotButton="0" quotePrefix="0" xfId="4"/>
    <xf numFmtId="165" fontId="16" fillId="0" borderId="0" applyAlignment="1" pivotButton="0" quotePrefix="0" xfId="5">
      <alignment vertical="top" wrapText="1" readingOrder="1"/>
    </xf>
    <xf numFmtId="165" fontId="12" fillId="0" borderId="0" pivotButton="0" quotePrefix="0" xfId="5"/>
    <xf numFmtId="9" fontId="16" fillId="0" borderId="0" applyAlignment="1" pivotButton="0" quotePrefix="0" xfId="4">
      <alignment horizontal="center" vertical="top" wrapText="1" readingOrder="1"/>
    </xf>
    <xf numFmtId="0" fontId="17" fillId="0" borderId="0" applyAlignment="1" pivotButton="0" quotePrefix="0" xfId="4">
      <alignment vertical="top" wrapText="1" readingOrder="1"/>
    </xf>
    <xf numFmtId="0" fontId="16" fillId="0" borderId="0" applyAlignment="1" pivotButton="0" quotePrefix="0" xfId="4">
      <alignment horizontal="center" vertical="top" wrapText="1" readingOrder="1"/>
    </xf>
    <xf numFmtId="0" fontId="13" fillId="0" borderId="0" applyAlignment="1" pivotButton="0" quotePrefix="0" xfId="4">
      <alignment horizontal="left" vertical="top" wrapText="1" readingOrder="1"/>
    </xf>
    <xf numFmtId="0" fontId="15" fillId="0" borderId="11" applyAlignment="1" pivotButton="0" quotePrefix="0" xfId="4">
      <alignment vertical="top" wrapText="1" readingOrder="1"/>
    </xf>
    <xf numFmtId="0" fontId="12" fillId="0" borderId="12" applyAlignment="1" pivotButton="0" quotePrefix="0" xfId="4">
      <alignment vertical="top" wrapText="1"/>
    </xf>
    <xf numFmtId="0" fontId="12" fillId="0" borderId="13" applyAlignment="1" pivotButton="0" quotePrefix="0" xfId="4">
      <alignment vertical="top" wrapText="1"/>
    </xf>
    <xf numFmtId="0" fontId="15" fillId="0" borderId="11" applyAlignment="1" pivotButton="0" quotePrefix="0" xfId="4">
      <alignment horizontal="right" vertical="top" wrapText="1" readingOrder="1"/>
    </xf>
    <xf numFmtId="0" fontId="16" fillId="0" borderId="16" applyAlignment="1" pivotButton="0" quotePrefix="0" xfId="4">
      <alignment vertical="top" wrapText="1" readingOrder="1"/>
    </xf>
    <xf numFmtId="0" fontId="12" fillId="0" borderId="17" applyAlignment="1" pivotButton="0" quotePrefix="0" xfId="4">
      <alignment vertical="top" wrapText="1"/>
    </xf>
    <xf numFmtId="0" fontId="12" fillId="0" borderId="18" applyAlignment="1" pivotButton="0" quotePrefix="0" xfId="4">
      <alignment vertical="top" wrapText="1"/>
    </xf>
    <xf numFmtId="14" fontId="16" fillId="0" borderId="16" applyAlignment="1" pivotButton="0" quotePrefix="1" xfId="4">
      <alignment horizontal="right" vertical="top" wrapText="1" readingOrder="1"/>
    </xf>
    <xf numFmtId="0" fontId="14" fillId="0" borderId="11" applyAlignment="1" pivotButton="0" quotePrefix="0" xfId="4">
      <alignment vertical="center" wrapText="1" readingOrder="1"/>
    </xf>
    <xf numFmtId="0" fontId="12" fillId="0" borderId="14" applyAlignment="1" pivotButton="0" quotePrefix="0" xfId="4">
      <alignment vertical="top" wrapText="1"/>
    </xf>
    <xf numFmtId="0" fontId="12" fillId="0" borderId="15" applyAlignment="1" pivotButton="0" quotePrefix="0" xfId="4">
      <alignment vertical="top" wrapText="1"/>
    </xf>
    <xf numFmtId="0" fontId="12" fillId="0" borderId="16" applyAlignment="1" pivotButton="0" quotePrefix="0" xfId="4">
      <alignment vertical="top" wrapText="1"/>
    </xf>
    <xf numFmtId="0" fontId="16" fillId="0" borderId="16" applyAlignment="1" pivotButton="0" quotePrefix="1" xfId="4">
      <alignment vertical="top" wrapText="1" readingOrder="1"/>
    </xf>
    <xf numFmtId="0" fontId="16" fillId="0" borderId="16" applyAlignment="1" pivotButton="0" quotePrefix="0" xfId="4">
      <alignment horizontal="right" vertical="top" wrapText="1" readingOrder="1"/>
    </xf>
    <xf numFmtId="0" fontId="17" fillId="0" borderId="17" applyAlignment="1" pivotButton="0" quotePrefix="0" xfId="4">
      <alignment horizontal="center" wrapText="1" readingOrder="1"/>
    </xf>
    <xf numFmtId="0" fontId="16" fillId="0" borderId="14" applyAlignment="1" pivotButton="0" quotePrefix="0" xfId="4">
      <alignment vertical="top" wrapText="1" readingOrder="1"/>
    </xf>
    <xf numFmtId="0" fontId="17" fillId="0" borderId="17" applyAlignment="1" pivotButton="0" quotePrefix="0" xfId="4">
      <alignment wrapText="1" readingOrder="1"/>
    </xf>
    <xf numFmtId="43" fontId="18" fillId="0" borderId="0" applyAlignment="1" pivotButton="0" quotePrefix="0" xfId="4">
      <alignment horizontal="center" vertical="top" wrapText="1" readingOrder="1"/>
    </xf>
    <xf numFmtId="0" fontId="19" fillId="0" borderId="0" applyAlignment="1" pivotButton="0" quotePrefix="0" xfId="4">
      <alignment horizontal="center" vertical="top"/>
    </xf>
    <xf numFmtId="165" fontId="24" fillId="0" borderId="12" applyAlignment="1" pivotButton="0" quotePrefix="0" xfId="4">
      <alignment horizontal="center"/>
    </xf>
    <xf numFmtId="165" fontId="24" fillId="0" borderId="12" applyAlignment="1" pivotButton="0" quotePrefix="0" xfId="5">
      <alignment horizontal="center"/>
    </xf>
    <xf numFmtId="0" fontId="25" fillId="0" borderId="0" applyAlignment="1" pivotButton="0" quotePrefix="0" xfId="4">
      <alignment horizontal="center"/>
    </xf>
    <xf numFmtId="0" fontId="20" fillId="0" borderId="0" applyAlignment="1" pivotButton="0" quotePrefix="0" xfId="4">
      <alignment vertical="top" wrapText="1" readingOrder="1"/>
    </xf>
    <xf numFmtId="0" fontId="20" fillId="0" borderId="0" applyAlignment="1" pivotButton="0" quotePrefix="0" xfId="4">
      <alignment horizontal="left" vertical="top" wrapText="1" readingOrder="1"/>
    </xf>
    <xf numFmtId="3" fontId="20" fillId="0" borderId="0" applyAlignment="1" pivotButton="0" quotePrefix="0" xfId="4">
      <alignment vertical="top" wrapText="1" readingOrder="1"/>
    </xf>
    <xf numFmtId="165" fontId="20" fillId="0" borderId="0" applyAlignment="1" pivotButton="0" quotePrefix="0" xfId="5">
      <alignment vertical="top" wrapText="1" readingOrder="1"/>
    </xf>
    <xf numFmtId="9" fontId="20" fillId="0" borderId="0" applyAlignment="1" pivotButton="0" quotePrefix="0" xfId="4">
      <alignment horizontal="center" vertical="top" wrapText="1" readingOrder="1"/>
    </xf>
    <xf numFmtId="164" fontId="3" fillId="0" borderId="0" applyAlignment="1" pivotButton="0" quotePrefix="0" xfId="0">
      <alignment vertical="center"/>
    </xf>
    <xf numFmtId="165" fontId="3" fillId="0" borderId="0" applyAlignment="1" pivotButton="0" quotePrefix="0" xfId="3">
      <alignment horizontal="right" vertical="center"/>
    </xf>
    <xf numFmtId="164" fontId="3" fillId="0" borderId="0" pivotButton="0" quotePrefix="0" xfId="0"/>
    <xf numFmtId="165" fontId="3" fillId="0" borderId="0" pivotButton="0" quotePrefix="0" xfId="3"/>
    <xf numFmtId="164" fontId="3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right" vertical="center"/>
    </xf>
    <xf numFmtId="165" fontId="3" fillId="0" borderId="0" applyAlignment="1" pivotButton="0" quotePrefix="0" xfId="3">
      <alignment horizontal="right" vertical="center" wrapText="1"/>
    </xf>
    <xf numFmtId="164" fontId="4" fillId="0" borderId="4" applyAlignment="1" pivotButton="0" quotePrefix="0" xfId="0">
      <alignment horizontal="center" vertical="center" wrapText="1"/>
    </xf>
    <xf numFmtId="0" fontId="0" fillId="0" borderId="21" pivotButton="0" quotePrefix="0" xfId="0"/>
    <xf numFmtId="0" fontId="0" fillId="0" borderId="23" pivotButton="0" quotePrefix="0" xfId="0"/>
    <xf numFmtId="165" fontId="5" fillId="0" borderId="4" applyAlignment="1" pivotButton="0" quotePrefix="0" xfId="3">
      <alignment horizontal="center" vertical="center" wrapText="1"/>
    </xf>
    <xf numFmtId="165" fontId="5" fillId="0" borderId="19" applyAlignment="1" pivotButton="0" quotePrefix="0" xfId="3">
      <alignment horizontal="center" vertical="center" wrapText="1"/>
    </xf>
    <xf numFmtId="0" fontId="0" fillId="0" borderId="27" pivotButton="0" quotePrefix="0" xfId="0"/>
    <xf numFmtId="0" fontId="0" fillId="0" borderId="28" pivotButton="0" quotePrefix="0" xfId="0"/>
    <xf numFmtId="0" fontId="0" fillId="0" borderId="26" pivotButton="0" quotePrefix="0" xfId="0"/>
    <xf numFmtId="0" fontId="0" fillId="0" borderId="29" pivotButton="0" quotePrefix="0" xfId="0"/>
    <xf numFmtId="165" fontId="3" fillId="2" borderId="4" applyAlignment="1" pivotButton="0" quotePrefix="0" xfId="3">
      <alignment horizontal="center" vertical="center" wrapText="1"/>
    </xf>
    <xf numFmtId="165" fontId="6" fillId="2" borderId="4" applyAlignment="1" pivotButton="0" quotePrefix="0" xfId="3">
      <alignment horizontal="center" vertical="center" wrapText="1"/>
    </xf>
    <xf numFmtId="165" fontId="6" fillId="2" borderId="4" applyAlignment="1" pivotButton="0" quotePrefix="0" xfId="0">
      <alignment horizontal="right" vertical="center" wrapText="1"/>
    </xf>
    <xf numFmtId="165" fontId="3" fillId="2" borderId="1" applyAlignment="1" pivotButton="0" quotePrefix="0" xfId="3">
      <alignment horizontal="center" vertical="center" wrapText="1"/>
    </xf>
    <xf numFmtId="165" fontId="6" fillId="2" borderId="1" applyAlignment="1" pivotButton="0" quotePrefix="0" xfId="3">
      <alignment horizontal="center" vertical="center" wrapText="1"/>
    </xf>
    <xf numFmtId="165" fontId="6" fillId="2" borderId="1" applyAlignment="1" pivotButton="0" quotePrefix="0" xfId="0">
      <alignment horizontal="right" vertical="center" wrapText="1"/>
    </xf>
    <xf numFmtId="0" fontId="0" fillId="0" borderId="43" pivotButton="0" quotePrefix="0" xfId="0"/>
    <xf numFmtId="165" fontId="3" fillId="2" borderId="7" applyAlignment="1" pivotButton="0" quotePrefix="0" xfId="3">
      <alignment horizontal="center" vertical="center" wrapText="1"/>
    </xf>
    <xf numFmtId="165" fontId="6" fillId="2" borderId="7" applyAlignment="1" pivotButton="0" quotePrefix="0" xfId="3">
      <alignment horizontal="center" vertical="center" wrapText="1"/>
    </xf>
    <xf numFmtId="165" fontId="6" fillId="2" borderId="7" applyAlignment="1" pivotButton="0" quotePrefix="0" xfId="0">
      <alignment horizontal="right" vertical="center" wrapText="1"/>
    </xf>
    <xf numFmtId="0" fontId="0" fillId="0" borderId="31" pivotButton="0" quotePrefix="0" xfId="0"/>
    <xf numFmtId="0" fontId="0" fillId="0" borderId="32" pivotButton="0" quotePrefix="0" xfId="0"/>
    <xf numFmtId="165" fontId="3" fillId="0" borderId="28" applyAlignment="1" pivotButton="0" quotePrefix="0" xfId="0">
      <alignment vertical="center"/>
    </xf>
    <xf numFmtId="165" fontId="3" fillId="0" borderId="29" applyAlignment="1" pivotButton="0" quotePrefix="0" xfId="0">
      <alignment vertical="center"/>
    </xf>
    <xf numFmtId="0" fontId="0" fillId="0" borderId="39" pivotButton="0" quotePrefix="0" xfId="0"/>
    <xf numFmtId="0" fontId="0" fillId="0" borderId="40" pivotButton="0" quotePrefix="0" xfId="0"/>
    <xf numFmtId="165" fontId="3" fillId="0" borderId="1" applyAlignment="1" pivotButton="0" quotePrefix="0" xfId="0">
      <alignment horizontal="center" vertical="center"/>
    </xf>
    <xf numFmtId="165" fontId="3" fillId="0" borderId="1" applyAlignment="1" pivotButton="0" quotePrefix="0" xfId="0">
      <alignment vertical="center"/>
    </xf>
    <xf numFmtId="165" fontId="3" fillId="0" borderId="10" applyAlignment="1" pivotButton="0" quotePrefix="0" xfId="0">
      <alignment vertical="center"/>
    </xf>
    <xf numFmtId="0" fontId="0" fillId="0" borderId="41" pivotButton="0" quotePrefix="0" xfId="0"/>
    <xf numFmtId="0" fontId="0" fillId="0" borderId="42" pivotButton="0" quotePrefix="0" xfId="0"/>
    <xf numFmtId="165" fontId="4" fillId="0" borderId="7" applyAlignment="1" pivotButton="0" quotePrefix="0" xfId="0">
      <alignment horizontal="center" vertical="center"/>
    </xf>
    <xf numFmtId="165" fontId="4" fillId="0" borderId="7" applyAlignment="1" pivotButton="0" quotePrefix="0" xfId="0">
      <alignment vertical="center"/>
    </xf>
    <xf numFmtId="165" fontId="4" fillId="0" borderId="8" applyAlignment="1" pivotButton="0" quotePrefix="0" xfId="0">
      <alignment vertical="center"/>
    </xf>
    <xf numFmtId="164" fontId="3" fillId="2" borderId="0" applyAlignment="1" pivotButton="0" quotePrefix="0" xfId="0">
      <alignment vertical="center"/>
    </xf>
    <xf numFmtId="165" fontId="3" fillId="2" borderId="0" applyAlignment="1" pivotButton="0" quotePrefix="0" xfId="3">
      <alignment horizontal="right" vertical="center"/>
    </xf>
    <xf numFmtId="164" fontId="4" fillId="0" borderId="0" applyAlignment="1" pivotButton="0" quotePrefix="0" xfId="0">
      <alignment vertical="center"/>
    </xf>
    <xf numFmtId="0" fontId="14" fillId="0" borderId="45" applyAlignment="1" pivotButton="0" quotePrefix="0" xfId="4">
      <alignment vertical="center" wrapText="1" readingOrder="1"/>
    </xf>
    <xf numFmtId="0" fontId="0" fillId="0" borderId="12" pivotButton="0" quotePrefix="0" xfId="0"/>
    <xf numFmtId="0" fontId="0" fillId="0" borderId="13" pivotButton="0" quotePrefix="0" xfId="0"/>
    <xf numFmtId="0" fontId="15" fillId="0" borderId="46" applyAlignment="1" pivotButton="0" quotePrefix="0" xfId="4">
      <alignment vertical="top" wrapText="1" readingOrder="1"/>
    </xf>
    <xf numFmtId="0" fontId="15" fillId="0" borderId="46" applyAlignment="1" pivotButton="0" quotePrefix="0" xfId="4">
      <alignment horizontal="right" vertical="top" wrapText="1" readingOrder="1"/>
    </xf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  <xf numFmtId="0" fontId="16" fillId="0" borderId="44" applyAlignment="1" pivotButton="0" quotePrefix="0" xfId="4">
      <alignment vertical="top" wrapText="1" readingOrder="1"/>
    </xf>
    <xf numFmtId="0" fontId="16" fillId="0" borderId="44" applyAlignment="1" pivotButton="0" quotePrefix="1" xfId="4">
      <alignment vertical="top" wrapText="1" readingOrder="1"/>
    </xf>
    <xf numFmtId="0" fontId="16" fillId="0" borderId="44" applyAlignment="1" pivotButton="0" quotePrefix="0" xfId="4">
      <alignment horizontal="right" vertical="top" wrapText="1" readingOrder="1"/>
    </xf>
    <xf numFmtId="14" fontId="16" fillId="0" borderId="44" applyAlignment="1" pivotButton="0" quotePrefix="1" xfId="4">
      <alignment horizontal="right" vertical="top" wrapText="1" readingOrder="1"/>
    </xf>
    <xf numFmtId="164" fontId="16" fillId="0" borderId="0" applyAlignment="1" pivotButton="0" quotePrefix="1" xfId="4">
      <alignment horizontal="center" vertical="top" wrapText="1" readingOrder="1"/>
    </xf>
    <xf numFmtId="165" fontId="16" fillId="0" borderId="0" applyAlignment="1" pivotButton="0" quotePrefix="0" xfId="5">
      <alignment vertical="top" wrapText="1" readingOrder="1"/>
    </xf>
    <xf numFmtId="165" fontId="20" fillId="0" borderId="0" applyAlignment="1" pivotButton="0" quotePrefix="0" xfId="5">
      <alignment vertical="top" wrapText="1" readingOrder="1"/>
    </xf>
    <xf numFmtId="165" fontId="24" fillId="0" borderId="12" applyAlignment="1" pivotButton="0" quotePrefix="0" xfId="4">
      <alignment horizontal="center"/>
    </xf>
    <xf numFmtId="165" fontId="24" fillId="0" borderId="0" pivotButton="0" quotePrefix="0" xfId="4"/>
    <xf numFmtId="165" fontId="24" fillId="0" borderId="12" applyAlignment="1" pivotButton="0" quotePrefix="0" xfId="5">
      <alignment horizontal="center"/>
    </xf>
  </cellXfs>
  <cellStyles count="6">
    <cellStyle name="Normal" xfId="0" builtinId="0"/>
    <cellStyle name="Normal 3 2 3 2" xfId="1"/>
    <cellStyle name="Normal 13 2 2 2" xfId="2"/>
    <cellStyle name="Comma" xfId="3" builtinId="3"/>
    <cellStyle name="Normal 2" xfId="4"/>
    <cellStyle name="Comma 2" xf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350521</colOff>
      <row>0</row>
      <rowOff>1</rowOff>
    </from>
    <to>
      <col>1</col>
      <colOff>836931</colOff>
      <row>3</row>
      <rowOff>158911</rowOff>
    </to>
    <pic>
      <nvPicPr>
        <cNvPr id="2" name="Picture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350521" y="1"/>
          <a:ext cx="848360" cy="74946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>
    <from>
      <col>0</col>
      <colOff>15240</colOff>
      <row>2</row>
      <rowOff>30480</rowOff>
    </from>
    <to>
      <col>8</col>
      <colOff>228600</colOff>
      <row>13</row>
      <rowOff>495650</rowOff>
    </to>
    <pic>
      <nvPicPr>
        <cNvPr id="2" name="Picture 13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5240" y="81280"/>
          <a:ext cx="3743960" cy="186217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3"/>
  <sheetViews>
    <sheetView view="pageBreakPreview" topLeftCell="F19" zoomScaleNormal="100" zoomScaleSheetLayoutView="100" workbookViewId="0">
      <selection activeCell="J32" sqref="J32"/>
    </sheetView>
  </sheetViews>
  <sheetFormatPr baseColWidth="8" defaultColWidth="9.08984375" defaultRowHeight="15.5"/>
  <cols>
    <col width="5.1796875" customWidth="1" style="1" min="1" max="1"/>
    <col width="12" customWidth="1" style="210" min="2" max="2"/>
    <col width="17.36328125" customWidth="1" style="1" min="3" max="3"/>
    <col width="14.36328125" customWidth="1" style="1" min="4" max="4"/>
    <col width="19.81640625" customWidth="1" style="2" min="5" max="5"/>
    <col width="14.1796875" customWidth="1" style="2" min="6" max="6"/>
    <col width="13.08984375" customWidth="1" style="2" min="7" max="7"/>
    <col width="7.90625" customWidth="1" style="5" min="8" max="8"/>
    <col width="8.6328125" customWidth="1" style="23" min="9" max="9"/>
    <col width="10.7265625" customWidth="1" style="26" min="10" max="10"/>
    <col width="12.08984375" customWidth="1" style="211" min="11" max="12"/>
    <col width="18" customWidth="1" style="2" min="13" max="13"/>
    <col width="18" customWidth="1" style="6" min="14" max="14"/>
    <col width="20.81640625" customWidth="1" style="1" min="15" max="15"/>
    <col hidden="1" width="2.1796875" customWidth="1" style="1" min="16" max="16"/>
    <col width="11.1796875" customWidth="1" style="1" min="17" max="17"/>
    <col width="9.08984375" customWidth="1" style="1" min="18" max="16384"/>
  </cols>
  <sheetData>
    <row r="1">
      <c r="C1" s="4" t="inlineStr">
        <is>
          <t>CÔNG TY TNHH THƯƠNG MẠI VÀ DỊCH VỤ 5P VIỆT NAM</t>
        </is>
      </c>
      <c r="D1" s="4" t="n"/>
      <c r="E1" s="3" t="n"/>
      <c r="F1" s="3" t="n"/>
      <c r="G1" s="3" t="n"/>
      <c r="Q1" s="7" t="inlineStr">
        <is>
          <t>Ngày: 26/03/2026</t>
        </is>
      </c>
    </row>
    <row r="2">
      <c r="C2" s="4" t="inlineStr">
        <is>
          <t>Số nhà 2, Ngõ 1H, Phố Trần Quang Diệu, Phường Đống Đa, Thành phố Hà Nội, Việt Nam.</t>
        </is>
      </c>
      <c r="D2" s="4" t="n"/>
      <c r="E2" s="3" t="n"/>
      <c r="F2" s="3" t="n"/>
      <c r="G2" s="3" t="n"/>
    </row>
    <row r="3">
      <c r="C3" s="9" t="inlineStr">
        <is>
          <t>MST: 0110523309</t>
        </is>
      </c>
      <c r="D3" s="9" t="n"/>
      <c r="E3" s="8" t="n"/>
      <c r="F3" s="8" t="n"/>
      <c r="G3" s="8" t="n"/>
      <c r="O3" s="7" t="n"/>
    </row>
    <row r="4">
      <c r="C4" s="9" t="n"/>
      <c r="D4" s="9" t="n"/>
      <c r="E4" s="8" t="n"/>
      <c r="F4" s="8" t="n"/>
      <c r="G4" s="8" t="n"/>
      <c r="O4" s="7" t="n"/>
    </row>
    <row r="5" ht="0.9" customHeight="1"/>
    <row r="6" ht="18" customHeight="1">
      <c r="A6" s="134" t="inlineStr">
        <is>
          <t>BẢNG KÊ THANH TOÁN DỊCH VỤ VẬN CHUYỂN THÁNG {MM}/{YYYY}</t>
        </is>
      </c>
    </row>
    <row r="7" ht="9.9" customHeight="1">
      <c r="B7" s="212" t="n"/>
      <c r="E7" s="1" t="n"/>
      <c r="F7" s="1" t="n"/>
      <c r="G7" s="1" t="n"/>
      <c r="H7" s="1" t="n"/>
      <c r="I7" s="24" t="n"/>
      <c r="J7" s="27" t="n"/>
      <c r="K7" s="213" t="n"/>
      <c r="L7" s="213" t="n"/>
      <c r="M7" s="1" t="n"/>
      <c r="N7" s="1" t="n"/>
    </row>
    <row r="8" hidden="1">
      <c r="A8" s="10" t="n"/>
      <c r="B8" s="214" t="n"/>
      <c r="C8" s="10" t="n"/>
      <c r="D8" s="10" t="n"/>
      <c r="E8" s="5" t="n"/>
      <c r="F8" s="5" t="n"/>
      <c r="G8" s="5" t="n"/>
      <c r="M8" s="5" t="n"/>
      <c r="O8" s="10" t="n"/>
    </row>
    <row r="9">
      <c r="A9" s="11" t="inlineStr">
        <is>
          <t>Họ tên người mua hàng (Customer): CÔNG TY TNHH DAINESE VIỆT NAM</t>
        </is>
      </c>
      <c r="B9" s="215" t="n"/>
      <c r="C9" s="2" t="n"/>
      <c r="D9" s="2" t="n"/>
      <c r="K9" s="216" t="n"/>
      <c r="L9" s="216" t="n"/>
      <c r="M9" s="12" t="n"/>
      <c r="N9" s="13" t="n"/>
      <c r="O9" s="12" t="n"/>
    </row>
    <row r="10">
      <c r="A10" s="11" t="inlineStr">
        <is>
          <t xml:space="preserve">Địa chỉ (Address): Lô CN13, Lô CN18, Khu Công nghiệp Yên Bình, Phường Vạn Xuân, Tỉnh Thái Nguyên, Việt Nam
</t>
        </is>
      </c>
      <c r="B10" s="215" t="n"/>
      <c r="C10" s="2" t="n"/>
      <c r="D10" s="2" t="n"/>
      <c r="K10" s="216" t="n"/>
      <c r="L10" s="216" t="n"/>
      <c r="M10" s="12" t="n"/>
      <c r="N10" s="14" t="n"/>
      <c r="O10" s="12" t="n"/>
    </row>
    <row r="11">
      <c r="A11" s="11" t="inlineStr">
        <is>
          <t>Mã số thuế (Tax- code): 4601576003</t>
        </is>
      </c>
      <c r="B11" s="215" t="n"/>
      <c r="C11" s="2" t="n"/>
      <c r="D11" s="2" t="n"/>
      <c r="K11" s="216" t="n"/>
      <c r="L11" s="216" t="n"/>
      <c r="M11" s="12" t="n"/>
      <c r="N11" s="13" t="n"/>
      <c r="O11" s="12" t="n"/>
    </row>
    <row r="12" ht="16" customHeight="1" thickBot="1">
      <c r="O12" s="7" t="inlineStr">
        <is>
          <t>Đơn vị tính: VNĐ</t>
        </is>
      </c>
    </row>
    <row r="13" ht="15.75" customHeight="1">
      <c r="A13" s="151" t="inlineStr">
        <is>
          <t>STT</t>
        </is>
      </c>
      <c r="B13" s="217" t="inlineStr">
        <is>
          <t>Ngày dịch vụ</t>
        </is>
      </c>
      <c r="C13" s="155" t="inlineStr">
        <is>
          <t>Điểm lấy hàng</t>
        </is>
      </c>
      <c r="D13" s="218" t="n"/>
      <c r="E13" s="163" t="inlineStr">
        <is>
          <t>Điểm trả hàng</t>
        </is>
      </c>
      <c r="F13" s="219" t="n"/>
      <c r="G13" s="163" t="inlineStr">
        <is>
          <t>BKS</t>
        </is>
      </c>
      <c r="H13" s="155" t="inlineStr">
        <is>
          <t>Đơn vị</t>
        </is>
      </c>
      <c r="I13" s="157" t="inlineStr">
        <is>
          <t>Số lượng</t>
        </is>
      </c>
      <c r="J13" s="159" t="inlineStr">
        <is>
          <t>Phát sinh</t>
        </is>
      </c>
      <c r="K13" s="220" t="inlineStr">
        <is>
          <t>Cước vận chuyển</t>
        </is>
      </c>
      <c r="L13" s="221" t="inlineStr">
        <is>
          <t>Phụ phí xăng dầu</t>
        </is>
      </c>
      <c r="M13" s="132" t="inlineStr">
        <is>
          <t>Thành tiền</t>
        </is>
      </c>
      <c r="N13" s="130" t="inlineStr">
        <is>
          <t>Tổng</t>
        </is>
      </c>
      <c r="O13" s="132" t="inlineStr">
        <is>
          <t>Note</t>
        </is>
      </c>
      <c r="P13" s="39" t="inlineStr">
        <is>
          <t>Yêu cầu</t>
        </is>
      </c>
      <c r="Q13" s="141" t="inlineStr">
        <is>
          <t>Số hóa đơn</t>
        </is>
      </c>
    </row>
    <row r="14" ht="16" customHeight="1" thickBot="1">
      <c r="A14" s="222" t="n"/>
      <c r="B14" s="223" t="n"/>
      <c r="C14" s="85" t="n"/>
      <c r="D14" s="156" t="n"/>
      <c r="E14" s="85" t="n"/>
      <c r="F14" s="164" t="n"/>
      <c r="G14" s="224" t="n"/>
      <c r="H14" s="223" t="n"/>
      <c r="I14" s="223" t="n"/>
      <c r="J14" s="223" t="n"/>
      <c r="K14" s="223" t="n"/>
      <c r="L14" s="224" t="n"/>
      <c r="M14" s="223" t="n"/>
      <c r="N14" s="223" t="n"/>
      <c r="O14" s="223" t="n"/>
      <c r="P14" s="102" t="n"/>
      <c r="Q14" s="225" t="n"/>
    </row>
    <row r="15" ht="18" customFormat="1" customHeight="1" s="83">
      <c r="A15" s="115" t="n">
        <v>1</v>
      </c>
      <c r="B15" s="128" t="n">
        <v>46084</v>
      </c>
      <c r="C15" s="226" t="inlineStr">
        <is>
          <t>KCN Đồng Văn 3</t>
        </is>
      </c>
      <c r="D15" s="226" t="inlineStr">
        <is>
          <t>Ninh Bình</t>
        </is>
      </c>
      <c r="E15" s="226" t="inlineStr">
        <is>
          <t>KCN Yên Bình</t>
        </is>
      </c>
      <c r="F15" s="226" t="inlineStr">
        <is>
          <t>Thái Nguyên</t>
        </is>
      </c>
      <c r="G15" s="117" t="inlineStr">
        <is>
          <t>29C-124.12</t>
        </is>
      </c>
      <c r="H15" s="118" t="inlineStr">
        <is>
          <t>1.25 T</t>
        </is>
      </c>
      <c r="I15" s="119" t="n">
        <v>1</v>
      </c>
      <c r="J15" s="120" t="n"/>
      <c r="K15" s="227" t="n">
        <v>1650000</v>
      </c>
      <c r="L15" s="227" t="n"/>
      <c r="M15" s="228">
        <f>K15*I15</f>
        <v/>
      </c>
      <c r="N15" s="123">
        <f>J15+L15+M15</f>
        <v/>
      </c>
      <c r="O15" s="118" t="n"/>
      <c r="P15" s="124" t="n"/>
      <c r="Q15" s="143" t="inlineStr">
        <is>
          <t>00000226</t>
        </is>
      </c>
    </row>
    <row r="16" ht="18" customFormat="1" customHeight="1" s="83">
      <c r="A16" s="125" t="n"/>
      <c r="B16" s="129" t="n"/>
      <c r="C16" s="229" t="n"/>
      <c r="D16" s="229" t="n"/>
      <c r="E16" s="229" t="n"/>
      <c r="F16" s="229" t="n"/>
      <c r="G16" s="108" t="n"/>
      <c r="H16" s="109" t="n"/>
      <c r="I16" s="105" t="n"/>
      <c r="J16" s="110">
        <f>SUM(J15:J15)</f>
        <v/>
      </c>
      <c r="K16" s="230">
        <f>SUM(K15:K15)</f>
        <v/>
      </c>
      <c r="L16" s="230">
        <f>SUM(L15:L15)</f>
        <v/>
      </c>
      <c r="M16" s="231">
        <f>SUM(M15:M15)</f>
        <v/>
      </c>
      <c r="N16" s="126">
        <f>SUM(N15:N15)</f>
        <v/>
      </c>
      <c r="O16" s="109" t="n"/>
      <c r="P16" s="112" t="n"/>
      <c r="Q16" s="232" t="n"/>
    </row>
    <row r="17" ht="18" customFormat="1" customHeight="1" s="83">
      <c r="A17" s="125" t="n"/>
      <c r="B17" s="129" t="n"/>
      <c r="C17" s="229" t="n"/>
      <c r="D17" s="229" t="n"/>
      <c r="E17" s="229" t="n"/>
      <c r="F17" s="229" t="n"/>
      <c r="G17" s="108" t="n"/>
      <c r="H17" s="109" t="n"/>
      <c r="I17" s="105" t="n"/>
      <c r="J17" s="110" t="n"/>
      <c r="K17" s="230" t="n"/>
      <c r="L17" s="230" t="n"/>
      <c r="M17" s="231" t="n"/>
      <c r="N17" s="126" t="n"/>
      <c r="O17" s="109" t="n"/>
      <c r="P17" s="112" t="n"/>
      <c r="Q17" s="232" t="n"/>
    </row>
    <row r="18" ht="18" customFormat="1" customHeight="1" s="83">
      <c r="A18" s="125" t="n"/>
      <c r="B18" s="129" t="n"/>
      <c r="C18" s="229" t="n"/>
      <c r="D18" s="229" t="n"/>
      <c r="E18" s="229" t="n"/>
      <c r="F18" s="229" t="n"/>
      <c r="G18" s="108" t="n"/>
      <c r="H18" s="109" t="n"/>
      <c r="I18" s="105" t="n"/>
      <c r="J18" s="110" t="n"/>
      <c r="K18" s="230" t="n"/>
      <c r="L18" s="230" t="n"/>
      <c r="M18" s="231" t="n"/>
      <c r="N18" s="126" t="n"/>
      <c r="O18" s="109" t="n"/>
      <c r="P18" s="112" t="n"/>
      <c r="Q18" s="232" t="n"/>
    </row>
    <row r="19" ht="18" customFormat="1" customHeight="1" s="83">
      <c r="A19" s="125" t="n"/>
      <c r="B19" s="129" t="n"/>
      <c r="C19" s="229" t="n"/>
      <c r="D19" s="229" t="n"/>
      <c r="E19" s="229" t="n"/>
      <c r="F19" s="229" t="n"/>
      <c r="G19" s="108" t="n"/>
      <c r="H19" s="109" t="n"/>
      <c r="I19" s="105" t="n"/>
      <c r="J19" s="110" t="n"/>
      <c r="K19" s="230" t="n"/>
      <c r="L19" s="230" t="n"/>
      <c r="M19" s="231" t="n"/>
      <c r="N19" s="126" t="n"/>
      <c r="O19" s="109" t="n"/>
      <c r="P19" s="112" t="n"/>
      <c r="Q19" s="232" t="n"/>
    </row>
    <row r="20" ht="18" customFormat="1" customHeight="1" s="83">
      <c r="A20" s="125" t="n"/>
      <c r="B20" s="129" t="n"/>
      <c r="C20" s="229" t="n"/>
      <c r="D20" s="229" t="n"/>
      <c r="E20" s="229" t="n"/>
      <c r="F20" s="229" t="n"/>
      <c r="G20" s="108" t="n"/>
      <c r="H20" s="109" t="n"/>
      <c r="I20" s="105" t="n"/>
      <c r="J20" s="110" t="n"/>
      <c r="K20" s="230" t="n"/>
      <c r="L20" s="230" t="n"/>
      <c r="M20" s="231" t="n"/>
      <c r="N20" s="126" t="n"/>
      <c r="O20" s="109" t="n"/>
      <c r="P20" s="112" t="n"/>
      <c r="Q20" s="232" t="n"/>
    </row>
    <row r="21" ht="18" customFormat="1" customHeight="1" s="83">
      <c r="A21" s="125" t="n"/>
      <c r="B21" s="129" t="n"/>
      <c r="C21" s="229" t="n"/>
      <c r="D21" s="229" t="n"/>
      <c r="E21" s="229" t="n"/>
      <c r="F21" s="229" t="n"/>
      <c r="G21" s="108" t="n"/>
      <c r="H21" s="109" t="n"/>
      <c r="I21" s="105" t="n"/>
      <c r="J21" s="110" t="n"/>
      <c r="K21" s="230" t="n"/>
      <c r="L21" s="230" t="n"/>
      <c r="M21" s="231" t="n"/>
      <c r="N21" s="126" t="n"/>
      <c r="O21" s="109" t="n"/>
      <c r="P21" s="112" t="n"/>
      <c r="Q21" s="232" t="n"/>
    </row>
    <row r="22" ht="18" customFormat="1" customHeight="1" s="83">
      <c r="A22" s="125" t="n"/>
      <c r="B22" s="129" t="n"/>
      <c r="C22" s="229" t="n"/>
      <c r="D22" s="229" t="n"/>
      <c r="E22" s="229" t="n"/>
      <c r="F22" s="229" t="n"/>
      <c r="G22" s="108" t="n"/>
      <c r="H22" s="109" t="n"/>
      <c r="I22" s="105" t="n"/>
      <c r="J22" s="110" t="n"/>
      <c r="K22" s="230" t="n"/>
      <c r="L22" s="230" t="n"/>
      <c r="M22" s="231" t="n"/>
      <c r="N22" s="126" t="n"/>
      <c r="O22" s="109" t="n"/>
      <c r="P22" s="112" t="n"/>
      <c r="Q22" s="232" t="n"/>
    </row>
    <row r="23" ht="18" customFormat="1" customHeight="1" s="83">
      <c r="A23" s="125" t="n"/>
      <c r="B23" s="129" t="n"/>
      <c r="C23" s="229" t="n"/>
      <c r="D23" s="229" t="n"/>
      <c r="E23" s="229" t="n"/>
      <c r="F23" s="229" t="n"/>
      <c r="G23" s="108" t="n"/>
      <c r="H23" s="109" t="n"/>
      <c r="I23" s="105" t="n"/>
      <c r="J23" s="110" t="n"/>
      <c r="K23" s="230" t="n"/>
      <c r="L23" s="230" t="n"/>
      <c r="M23" s="231" t="n"/>
      <c r="N23" s="126" t="n"/>
      <c r="O23" s="109" t="n"/>
      <c r="P23" s="112" t="n"/>
      <c r="Q23" s="232" t="n"/>
    </row>
    <row r="24" ht="18" customFormat="1" customHeight="1" s="83">
      <c r="A24" s="125" t="n"/>
      <c r="B24" s="106" t="n"/>
      <c r="C24" s="229" t="n"/>
      <c r="D24" s="229" t="n"/>
      <c r="E24" s="229" t="n"/>
      <c r="F24" s="229" t="n"/>
      <c r="G24" s="108" t="n"/>
      <c r="H24" s="109" t="n"/>
      <c r="I24" s="105" t="n"/>
      <c r="J24" s="110" t="n"/>
      <c r="K24" s="230" t="n"/>
      <c r="L24" s="230" t="n"/>
      <c r="M24" s="231" t="n"/>
      <c r="N24" s="126" t="n"/>
      <c r="O24" s="109" t="n"/>
      <c r="P24" s="112" t="n"/>
      <c r="Q24" s="225" t="n"/>
    </row>
    <row r="25" ht="18" customFormat="1" customHeight="1" s="83" thickBot="1">
      <c r="A25" s="92" t="n"/>
      <c r="B25" s="93" t="n"/>
      <c r="C25" s="233" t="n"/>
      <c r="D25" s="233" t="n"/>
      <c r="E25" s="233" t="n"/>
      <c r="F25" s="233" t="n"/>
      <c r="G25" s="95" t="n"/>
      <c r="H25" s="96" t="n"/>
      <c r="I25" s="84" t="n"/>
      <c r="J25" s="97" t="n"/>
      <c r="K25" s="234" t="n"/>
      <c r="L25" s="234" t="n"/>
      <c r="M25" s="235" t="n"/>
      <c r="N25" s="127" t="n"/>
      <c r="O25" s="96" t="n"/>
      <c r="P25" s="113" t="n"/>
      <c r="Q25" s="114" t="n"/>
      <c r="R25" s="101" t="n"/>
      <c r="S25" s="101" t="n"/>
      <c r="T25" s="101" t="n"/>
      <c r="U25" s="101" t="n"/>
    </row>
    <row r="26" ht="19" customFormat="1" customHeight="1" s="2">
      <c r="A26" s="148" t="n"/>
      <c r="B26" s="236" t="n"/>
      <c r="C26" s="236" t="n"/>
      <c r="D26" s="236" t="n"/>
      <c r="E26" s="236" t="n"/>
      <c r="F26" s="236" t="n"/>
      <c r="G26" s="236" t="n"/>
      <c r="H26" s="236" t="n"/>
      <c r="I26" s="236" t="n"/>
      <c r="J26" s="236" t="n"/>
      <c r="K26" s="237" t="n"/>
      <c r="L26" s="150" t="n"/>
      <c r="M26" s="89" t="n"/>
      <c r="N26" s="90" t="n"/>
      <c r="O26" s="238" t="n"/>
      <c r="P26" s="103" t="n"/>
      <c r="Q26" s="239" t="n"/>
    </row>
    <row r="27" ht="19" customFormat="1" customHeight="1" s="2">
      <c r="A27" s="135" t="n"/>
      <c r="B27" s="240" t="n"/>
      <c r="C27" s="240" t="n"/>
      <c r="D27" s="240" t="n"/>
      <c r="E27" s="240" t="n"/>
      <c r="F27" s="240" t="n"/>
      <c r="G27" s="240" t="n"/>
      <c r="H27" s="240" t="n"/>
      <c r="I27" s="240" t="n"/>
      <c r="J27" s="240" t="n"/>
      <c r="K27" s="241" t="n"/>
      <c r="L27" s="137" t="n"/>
      <c r="M27" s="242" t="n"/>
      <c r="N27" s="40" t="n"/>
      <c r="O27" s="243" t="n"/>
      <c r="P27" s="45" t="n"/>
      <c r="Q27" s="244" t="n"/>
    </row>
    <row r="28" ht="19" customFormat="1" customHeight="1" s="2" thickBot="1">
      <c r="A28" s="138" t="n"/>
      <c r="B28" s="245" t="n"/>
      <c r="C28" s="245" t="n"/>
      <c r="D28" s="245" t="n"/>
      <c r="E28" s="245" t="n"/>
      <c r="F28" s="245" t="n"/>
      <c r="G28" s="245" t="n"/>
      <c r="H28" s="245" t="n"/>
      <c r="I28" s="245" t="n"/>
      <c r="J28" s="245" t="n"/>
      <c r="K28" s="246" t="n"/>
      <c r="L28" s="140" t="n"/>
      <c r="M28" s="247" t="n"/>
      <c r="N28" s="42" t="n"/>
      <c r="O28" s="248" t="n"/>
      <c r="P28" s="49" t="n"/>
      <c r="Q28" s="249" t="n"/>
    </row>
    <row r="29" ht="24.75" customFormat="1" customHeight="1" s="17">
      <c r="A29" s="1" t="n"/>
      <c r="B29" s="210" t="n"/>
      <c r="C29" s="1" t="n"/>
      <c r="D29" s="1" t="n"/>
      <c r="E29" s="2" t="n"/>
      <c r="F29" s="2" t="n"/>
      <c r="G29" s="2" t="n"/>
      <c r="H29" s="5" t="n"/>
      <c r="I29" s="23" t="n"/>
      <c r="J29" s="26" t="n"/>
      <c r="K29" s="211" t="n"/>
      <c r="L29" s="211" t="n"/>
      <c r="M29" s="2" t="n"/>
      <c r="N29" s="6" t="n"/>
      <c r="O29" s="1" t="n"/>
      <c r="P29" s="1" t="n"/>
      <c r="Q29" s="1" t="n"/>
    </row>
    <row r="30" ht="13.25" customFormat="1" customHeight="1" s="17">
      <c r="A30" s="15" t="n"/>
      <c r="B30" s="250" t="n"/>
      <c r="E30" s="16" t="n"/>
      <c r="F30" s="16" t="n"/>
      <c r="G30" s="16" t="n"/>
      <c r="H30" s="18" t="n"/>
      <c r="I30" s="25" t="n"/>
      <c r="J30" s="28" t="n"/>
      <c r="K30" s="251" t="n"/>
      <c r="L30" s="251" t="n"/>
      <c r="M30" s="16" t="n"/>
      <c r="N30" s="19" t="n"/>
    </row>
    <row r="31" ht="21.65" customHeight="1">
      <c r="A31" s="20" t="n"/>
      <c r="B31" s="250" t="n"/>
      <c r="C31" s="17" t="n"/>
      <c r="D31" s="17" t="n"/>
      <c r="E31" s="16" t="n"/>
      <c r="F31" s="16" t="n"/>
      <c r="G31" s="16" t="n"/>
      <c r="H31" s="18" t="n"/>
      <c r="I31" s="25" t="n"/>
      <c r="J31" s="28" t="n"/>
      <c r="K31" s="251" t="n"/>
      <c r="L31" s="251" t="n"/>
      <c r="M31" s="16" t="n"/>
      <c r="N31" s="19" t="n"/>
      <c r="O31" s="17" t="n"/>
      <c r="P31" s="17" t="n"/>
      <c r="Q31" s="17" t="n"/>
    </row>
    <row r="32" ht="19.25" customHeight="1">
      <c r="A32" s="9" t="n"/>
      <c r="B32" s="252" t="n"/>
      <c r="C32" s="9" t="n"/>
      <c r="D32" s="9" t="n"/>
      <c r="M32" s="21" t="n"/>
    </row>
    <row r="33" ht="18.75" customHeight="1"/>
    <row r="34" ht="18.75" customHeight="1"/>
    <row r="35" ht="18.75" customHeight="1"/>
    <row r="36" ht="18.75" customHeight="1"/>
    <row r="37" ht="18.75" customHeight="1"/>
    <row r="38" ht="1.5" customHeight="1"/>
    <row r="40">
      <c r="A40" s="22" t="inlineStr">
        <is>
          <t>Thông tin chuyển khoản:</t>
        </is>
      </c>
    </row>
    <row r="41">
      <c r="A41" s="1" t="inlineStr">
        <is>
          <t>Tài khoản: Công Ty TNHH Thương mại và dịch vụ 5P Việt Nam</t>
        </is>
      </c>
    </row>
    <row r="42" ht="14" customHeight="1">
      <c r="A42" s="1" t="inlineStr">
        <is>
          <t>Số tài khoản: 346886</t>
        </is>
      </c>
      <c r="K42" s="211">
        <f>228*133*137*2</f>
        <v/>
      </c>
    </row>
    <row r="43">
      <c r="A43" s="147" t="inlineStr">
        <is>
          <t xml:space="preserve">Tại Ngân hàng: Ngân hàng TMCP Kỹ thương Việt Nam - Techcombank Chi nhánh Đông Đô
 </t>
        </is>
      </c>
      <c r="F43" s="147" t="n"/>
      <c r="G43" s="147" t="n"/>
    </row>
    <row r="52" ht="15" customHeight="1"/>
  </sheetData>
  <autoFilter ref="A13:O28"/>
  <mergeCells count="20">
    <mergeCell ref="J13:J14"/>
    <mergeCell ref="L13:L14"/>
    <mergeCell ref="G13:G14"/>
    <mergeCell ref="A6:Q6"/>
    <mergeCell ref="M13:M14"/>
    <mergeCell ref="B13:B14"/>
    <mergeCell ref="E13:F13"/>
    <mergeCell ref="A27:K27"/>
    <mergeCell ref="H13:H14"/>
    <mergeCell ref="N13:N14"/>
    <mergeCell ref="A26:K26"/>
    <mergeCell ref="A13:A14"/>
    <mergeCell ref="I13:I14"/>
    <mergeCell ref="K13:K14"/>
    <mergeCell ref="A43:E43"/>
    <mergeCell ref="O13:O14"/>
    <mergeCell ref="Q13:Q14"/>
    <mergeCell ref="Q15:Q24"/>
    <mergeCell ref="A28:K28"/>
    <mergeCell ref="C13:D13"/>
  </mergeCells>
  <pageMargins left="0.7" right="0.2" top="0.5" bottom="0.75" header="0.3" footer="0.3"/>
  <pageSetup orientation="landscape" paperSize="9" scale="6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48"/>
  <sheetViews>
    <sheetView showGridLines="0" tabSelected="1" view="pageBreakPreview" topLeftCell="A43" zoomScale="115" zoomScaleNormal="100" zoomScaleSheetLayoutView="115" workbookViewId="0">
      <selection activeCell="P49" sqref="P49"/>
    </sheetView>
  </sheetViews>
  <sheetFormatPr baseColWidth="8" defaultRowHeight="14.5"/>
  <cols>
    <col width="0.453125" customWidth="1" style="170" min="1" max="1"/>
    <col width="3.90625" customWidth="1" style="170" min="2" max="2"/>
    <col width="25.90625" customWidth="1" style="170" min="3" max="3"/>
    <col hidden="1" width="13" customWidth="1" style="170" min="4" max="4"/>
    <col width="12.36328125" customWidth="1" style="170" min="5" max="5"/>
    <col width="5.36328125" customWidth="1" style="170" min="6" max="6"/>
    <col width="2.453125" customWidth="1" style="170" min="7" max="7"/>
    <col width="2.36328125" customWidth="1" style="170" min="8" max="8"/>
    <col width="2.6328125" customWidth="1" style="170" min="9" max="9"/>
    <col width="0.6328125" customWidth="1" style="170" min="10" max="10"/>
    <col width="1.1796875" customWidth="1" style="170" min="11" max="11"/>
    <col width="8.08984375" customWidth="1" style="170" min="12" max="12"/>
    <col width="4.453125" customWidth="1" style="170" min="13" max="13"/>
    <col hidden="1" width="13" customWidth="1" style="170" min="14" max="14"/>
    <col width="5.08984375" customWidth="1" style="170" min="15" max="15"/>
    <col width="11.36328125" bestFit="1" customWidth="1" style="170" min="16" max="16"/>
    <col width="4.90625" customWidth="1" style="170" min="17" max="17"/>
    <col width="1.90625" customWidth="1" style="170" min="18" max="18"/>
    <col width="10.36328125" customWidth="1" style="51" min="19" max="19"/>
    <col width="3.453125" customWidth="1" style="170" min="20" max="20"/>
    <col width="1.08984375" customWidth="1" style="170" min="21" max="21"/>
    <col hidden="1" width="13" customWidth="1" style="170" min="22" max="23"/>
    <col width="1.90625" customWidth="1" style="170" min="24" max="24"/>
    <col width="8.7265625" customWidth="1" style="170" min="25" max="16384"/>
  </cols>
  <sheetData>
    <row r="1" ht="0.75" customHeight="1">
      <c r="B1" s="170" t="n"/>
    </row>
    <row r="2" ht="3.65" customHeight="1">
      <c r="J2" s="52" t="n"/>
      <c r="K2" s="184" t="n"/>
      <c r="L2" s="184" t="n"/>
      <c r="M2" s="184" t="n"/>
      <c r="N2" s="184" t="n"/>
      <c r="O2" s="184" t="n"/>
      <c r="P2" s="184" t="n"/>
      <c r="Q2" s="184" t="n"/>
      <c r="R2" s="184" t="n"/>
      <c r="S2" s="54" t="n"/>
      <c r="T2" s="184" t="n"/>
      <c r="U2" s="185" t="n"/>
    </row>
    <row r="3" ht="9" customHeight="1">
      <c r="J3" s="192" t="n"/>
      <c r="K3" s="182" t="n"/>
      <c r="U3" s="193" t="n"/>
    </row>
    <row r="4" ht="4.4" customHeight="1">
      <c r="J4" s="192" t="n"/>
      <c r="U4" s="193" t="n"/>
    </row>
    <row r="5" ht="9" customHeight="1">
      <c r="J5" s="192" t="n"/>
      <c r="K5" s="182" t="inlineStr">
        <is>
          <t>Messrs:</t>
        </is>
      </c>
      <c r="U5" s="193" t="n"/>
    </row>
    <row r="6" ht="0.9" customHeight="1">
      <c r="J6" s="192" t="n"/>
      <c r="U6" s="193" t="n"/>
    </row>
    <row r="7" ht="57" customHeight="1">
      <c r="J7" s="192" t="n"/>
      <c r="K7" s="182" t="inlineStr">
        <is>
          <t>CÔNG TY TNHH THƯƠNG MẠI VÀ DỊCH VỤ 5P VIỆT NAM
Tel: +
Số nhà 02, ngõ 1H, Phố Trần Quang Diệu, Phường Đống Đa, thành phố Hà Nội, Việt Nam.</t>
        </is>
      </c>
      <c r="U7" s="193" t="n"/>
    </row>
    <row r="8" ht="2.15" customHeight="1">
      <c r="J8" s="194" t="n"/>
      <c r="K8" s="188" t="n"/>
      <c r="L8" s="188" t="n"/>
      <c r="M8" s="188" t="n"/>
      <c r="N8" s="188" t="n"/>
      <c r="O8" s="188" t="n"/>
      <c r="P8" s="188" t="n"/>
      <c r="Q8" s="188" t="n"/>
      <c r="R8" s="188" t="n"/>
      <c r="S8" s="60" t="n"/>
      <c r="T8" s="188" t="n"/>
      <c r="U8" s="189" t="n"/>
    </row>
    <row r="9" ht="3.15" customHeight="1"/>
    <row r="10" ht="3.65" customHeight="1">
      <c r="J10" s="52" t="n"/>
      <c r="K10" s="184" t="n"/>
      <c r="L10" s="184" t="n"/>
      <c r="M10" s="184" t="n"/>
      <c r="N10" s="184" t="n"/>
      <c r="O10" s="184" t="n"/>
      <c r="P10" s="184" t="n"/>
      <c r="Q10" s="184" t="n"/>
      <c r="R10" s="184" t="n"/>
      <c r="S10" s="54" t="n"/>
      <c r="T10" s="184" t="n"/>
      <c r="U10" s="185" t="n"/>
    </row>
    <row r="11" ht="9" customHeight="1">
      <c r="J11" s="192" t="n"/>
      <c r="K11" s="182" t="inlineStr"/>
      <c r="U11" s="193" t="n"/>
    </row>
    <row r="12" ht="4.4" customHeight="1">
      <c r="J12" s="192" t="n"/>
      <c r="U12" s="193" t="n"/>
    </row>
    <row r="13" ht="9" customHeight="1">
      <c r="J13" s="192" t="n"/>
      <c r="K13" s="182" t="inlineStr">
        <is>
          <t>Ship to:</t>
        </is>
      </c>
      <c r="U13" s="193" t="n"/>
    </row>
    <row r="14" ht="47.15" customHeight="1">
      <c r="J14" s="192" t="n"/>
      <c r="K14" s="182" t="inlineStr">
        <is>
          <t>DAINESE VIETNAM CO., LTD.
Lot CN13-CN18, Yen Binh IZ, Dong Tien, Pho Yen
Thai Nguyen
Vietnam</t>
        </is>
      </c>
      <c r="U14" s="193" t="n"/>
    </row>
    <row r="15" ht="3.65" customHeight="1">
      <c r="J15" s="192" t="n"/>
      <c r="U15" s="193" t="n"/>
    </row>
    <row r="16" ht="3" customHeight="1">
      <c r="J16" s="194" t="n"/>
      <c r="K16" s="188" t="n"/>
      <c r="L16" s="188" t="n"/>
      <c r="M16" s="188" t="n"/>
      <c r="N16" s="188" t="n"/>
      <c r="O16" s="188" t="n"/>
      <c r="P16" s="188" t="n"/>
      <c r="Q16" s="188" t="n"/>
      <c r="R16" s="188" t="n"/>
      <c r="S16" s="60" t="n"/>
      <c r="T16" s="188" t="n"/>
      <c r="U16" s="189" t="n"/>
    </row>
    <row r="17" ht="6.65" customHeight="1"/>
    <row r="18" ht="9.75" customHeight="1">
      <c r="A18" s="253" t="inlineStr">
        <is>
          <t>Purchase order</t>
        </is>
      </c>
      <c r="B18" s="254" t="n"/>
      <c r="C18" s="255" t="n"/>
      <c r="E18" s="256" t="inlineStr">
        <is>
          <t>Order</t>
        </is>
      </c>
      <c r="F18" s="255" t="n"/>
      <c r="G18" s="256" t="inlineStr">
        <is>
          <t>Carrier</t>
        </is>
      </c>
      <c r="H18" s="254" t="n"/>
      <c r="I18" s="254" t="n"/>
      <c r="J18" s="254" t="n"/>
      <c r="K18" s="254" t="n"/>
      <c r="L18" s="254" t="n"/>
      <c r="M18" s="255" t="n"/>
      <c r="O18" s="256" t="inlineStr">
        <is>
          <t>Tax ID</t>
        </is>
      </c>
      <c r="P18" s="254" t="n"/>
      <c r="Q18" s="254" t="n"/>
      <c r="R18" s="255" t="n"/>
      <c r="S18" s="257" t="inlineStr">
        <is>
          <t>Page</t>
        </is>
      </c>
      <c r="T18" s="254" t="n"/>
      <c r="U18" s="255" t="n"/>
    </row>
    <row r="19" ht="0.9" customHeight="1">
      <c r="A19" s="258" t="n"/>
      <c r="C19" s="259" t="n"/>
      <c r="E19" s="258" t="n"/>
      <c r="F19" s="259" t="n"/>
      <c r="G19" s="192" t="n"/>
      <c r="M19" s="193" t="n"/>
      <c r="O19" s="258" t="n"/>
      <c r="R19" s="259" t="n"/>
      <c r="S19" s="258" t="n"/>
      <c r="U19" s="259" t="n"/>
    </row>
    <row r="20" ht="14.4" customHeight="1">
      <c r="A20" s="260" t="n"/>
      <c r="B20" s="261" t="n"/>
      <c r="C20" s="262" t="n"/>
      <c r="E20" s="263" t="inlineStr">
        <is>
          <t>PO20260302-006</t>
        </is>
      </c>
      <c r="F20" s="262" t="n"/>
      <c r="G20" s="263" t="inlineStr"/>
      <c r="H20" s="261" t="n"/>
      <c r="I20" s="261" t="n"/>
      <c r="J20" s="261" t="n"/>
      <c r="K20" s="261" t="n"/>
      <c r="L20" s="261" t="n"/>
      <c r="M20" s="262" t="n"/>
      <c r="O20" s="264" t="n"/>
      <c r="P20" s="261" t="n"/>
      <c r="Q20" s="261" t="n"/>
      <c r="R20" s="262" t="n"/>
      <c r="S20" s="265" t="inlineStr">
        <is>
          <t>1  of  1</t>
        </is>
      </c>
      <c r="T20" s="261" t="n"/>
      <c r="U20" s="262" t="n"/>
    </row>
    <row r="21" ht="10.65" customHeight="1">
      <c r="A21" s="183" t="inlineStr">
        <is>
          <t>Terms of delivery</t>
        </is>
      </c>
      <c r="B21" s="254" t="n"/>
      <c r="C21" s="254" t="n"/>
      <c r="D21" s="184" t="n"/>
      <c r="E21" s="256" t="inlineStr">
        <is>
          <t>Port</t>
        </is>
      </c>
      <c r="F21" s="255" t="n"/>
      <c r="G21" s="256" t="inlineStr">
        <is>
          <t>Terms of payment and total discount</t>
        </is>
      </c>
      <c r="H21" s="254" t="n"/>
      <c r="I21" s="254" t="n"/>
      <c r="J21" s="254" t="n"/>
      <c r="K21" s="254" t="n"/>
      <c r="L21" s="254" t="n"/>
      <c r="M21" s="254" t="n"/>
      <c r="N21" s="254" t="n"/>
      <c r="O21" s="254" t="n"/>
      <c r="P21" s="254" t="n"/>
      <c r="Q21" s="254" t="n"/>
      <c r="R21" s="255" t="n"/>
      <c r="S21" s="257" t="inlineStr">
        <is>
          <t>Date</t>
        </is>
      </c>
      <c r="T21" s="254" t="n"/>
      <c r="U21" s="255" t="n"/>
    </row>
    <row r="22" ht="14.4" customHeight="1">
      <c r="A22" s="187" t="inlineStr">
        <is>
          <t>DAP - Delivery at Place</t>
        </is>
      </c>
      <c r="B22" s="261" t="n"/>
      <c r="C22" s="261" t="n"/>
      <c r="D22" s="188" t="n"/>
      <c r="E22" s="263" t="inlineStr"/>
      <c r="F22" s="262" t="n"/>
      <c r="G22" s="263" t="inlineStr">
        <is>
          <t>TT 30 days</t>
        </is>
      </c>
      <c r="H22" s="261" t="n"/>
      <c r="I22" s="261" t="n"/>
      <c r="J22" s="261" t="n"/>
      <c r="K22" s="261" t="n"/>
      <c r="L22" s="261" t="n"/>
      <c r="M22" s="261" t="n"/>
      <c r="N22" s="261" t="n"/>
      <c r="O22" s="261" t="n"/>
      <c r="P22" s="261" t="n"/>
      <c r="Q22" s="261" t="n"/>
      <c r="R22" s="262" t="n"/>
      <c r="S22" s="266" t="inlineStr">
        <is>
          <t>2/3/2026</t>
        </is>
      </c>
      <c r="T22" s="261" t="n"/>
      <c r="U22" s="262" t="n"/>
    </row>
    <row r="23">
      <c r="A23" s="183" t="inlineStr">
        <is>
          <t>Order type</t>
        </is>
      </c>
      <c r="B23" s="254" t="n"/>
      <c r="C23" s="254" t="n"/>
      <c r="D23" s="254" t="n"/>
      <c r="E23" s="254" t="n"/>
      <c r="F23" s="254" t="n"/>
      <c r="G23" s="183" t="inlineStr">
        <is>
          <t>Purchase agreement reference</t>
        </is>
      </c>
      <c r="H23" s="254" t="n"/>
      <c r="I23" s="254" t="n"/>
      <c r="J23" s="254" t="n"/>
      <c r="K23" s="254" t="n"/>
      <c r="L23" s="254" t="n"/>
      <c r="M23" s="254" t="n"/>
      <c r="N23" s="254" t="n"/>
      <c r="O23" s="254" t="n"/>
      <c r="P23" s="254" t="n"/>
      <c r="Q23" s="254" t="n"/>
      <c r="R23" s="254" t="n"/>
      <c r="S23" s="254" t="n"/>
      <c r="T23" s="254" t="n"/>
      <c r="U23" s="185" t="n"/>
    </row>
    <row r="24" ht="5" customHeight="1">
      <c r="A24" s="198" t="inlineStr">
        <is>
          <t xml:space="preserve">Purchase Order for Consumable </t>
        </is>
      </c>
      <c r="G24" s="192" t="n"/>
      <c r="U24" s="193" t="n"/>
    </row>
    <row r="25" ht="6" customHeight="1">
      <c r="A25" s="258" t="n"/>
      <c r="G25" s="198" t="inlineStr"/>
      <c r="U25" s="193" t="n"/>
    </row>
    <row r="26" ht="8" customHeight="1">
      <c r="A26" s="194" t="n"/>
      <c r="B26" s="188" t="n"/>
      <c r="C26" s="188" t="n"/>
      <c r="D26" s="188" t="n"/>
      <c r="E26" s="188" t="n"/>
      <c r="F26" s="188" t="n"/>
      <c r="G26" s="194" t="n"/>
      <c r="H26" s="188" t="n"/>
      <c r="I26" s="188" t="n"/>
      <c r="J26" s="188" t="n"/>
      <c r="K26" s="188" t="n"/>
      <c r="L26" s="188" t="n"/>
      <c r="M26" s="188" t="n"/>
      <c r="N26" s="188" t="n"/>
      <c r="O26" s="188" t="n"/>
      <c r="P26" s="188" t="n"/>
      <c r="Q26" s="188" t="n"/>
      <c r="R26" s="188" t="n"/>
      <c r="S26" s="60" t="n"/>
      <c r="T26" s="188" t="n"/>
      <c r="U26" s="189" t="n"/>
    </row>
    <row r="27" ht="0.65" customHeight="1"/>
    <row r="28" ht="6.9" customHeight="1"/>
    <row r="29" ht="22.4" customHeight="1">
      <c r="A29" s="199" t="inlineStr">
        <is>
          <t>Row</t>
        </is>
      </c>
      <c r="B29" s="261" t="n"/>
      <c r="C29" s="199" t="inlineStr">
        <is>
          <t>Item</t>
        </is>
      </c>
      <c r="D29" s="261" t="n"/>
      <c r="E29" s="261" t="n"/>
      <c r="F29" s="199" t="inlineStr">
        <is>
          <t>Cavity</t>
        </is>
      </c>
      <c r="G29" s="261" t="n"/>
      <c r="H29" s="261" t="n"/>
      <c r="I29" s="197" t="inlineStr">
        <is>
          <t>Qty</t>
        </is>
      </c>
      <c r="J29" s="261" t="n"/>
      <c r="K29" s="261" t="n"/>
      <c r="L29" s="197" t="inlineStr">
        <is>
          <t>UOM</t>
        </is>
      </c>
      <c r="M29" s="197" t="inlineStr">
        <is>
          <t>Delivery date</t>
        </is>
      </c>
      <c r="N29" s="261" t="n"/>
      <c r="O29" s="261" t="n"/>
      <c r="P29" s="197" t="inlineStr">
        <is>
          <t>Price</t>
        </is>
      </c>
      <c r="Q29" s="197" t="inlineStr">
        <is>
          <t>Disc. %</t>
        </is>
      </c>
      <c r="R29" s="197" t="inlineStr">
        <is>
          <t>Amount</t>
        </is>
      </c>
      <c r="S29" s="261" t="n"/>
      <c r="T29" s="197" t="inlineStr">
        <is>
          <t>VAT</t>
        </is>
      </c>
      <c r="U29" s="261" t="n"/>
      <c r="V29" s="261" t="n"/>
      <c r="W29" s="261" t="n"/>
    </row>
    <row r="30" ht="4.5" customHeight="1">
      <c r="A30" s="171" t="inlineStr"/>
      <c r="C30" s="171" t="inlineStr"/>
      <c r="F30" s="171" t="inlineStr"/>
      <c r="I30" s="171" t="inlineStr"/>
      <c r="L30" s="171" t="inlineStr"/>
      <c r="M30" s="171" t="inlineStr"/>
      <c r="P30" s="171" t="inlineStr"/>
      <c r="Q30" s="171" t="inlineStr"/>
      <c r="R30" s="171" t="inlineStr"/>
      <c r="T30" s="171" t="inlineStr"/>
    </row>
    <row r="31" ht="17.5" customHeight="1">
      <c r="A31" s="169" t="n">
        <v>1</v>
      </c>
      <c r="C31" s="171" t="inlineStr">
        <is>
          <t xml:space="preserve">Cước vận chuyển KCN Đồng Văn 3, Ninh Bình - KCN Yên Bình </t>
        </is>
      </c>
      <c r="F31" s="200">
        <f>HĐ!H15</f>
        <v/>
      </c>
      <c r="I31" s="174" t="n">
        <v>1</v>
      </c>
      <c r="L31" s="181" t="inlineStr">
        <is>
          <t>Chuyến</t>
        </is>
      </c>
      <c r="M31" s="267">
        <f>HĐ!B15</f>
        <v/>
      </c>
      <c r="P31" s="65">
        <f>HĐ!N15</f>
        <v/>
      </c>
      <c r="Q31" s="65" t="n">
        <v>0</v>
      </c>
      <c r="R31" s="268">
        <f>P31*I31</f>
        <v/>
      </c>
      <c r="T31" s="179" t="n"/>
    </row>
    <row r="32" ht="17.5" customHeight="1">
      <c r="A32" s="171" t="inlineStr"/>
      <c r="C32" s="171" t="n"/>
      <c r="F32" s="169" t="n"/>
      <c r="P32" s="180" t="inlineStr">
        <is>
          <t>Price unit 1.00</t>
        </is>
      </c>
      <c r="T32" s="181" t="inlineStr"/>
    </row>
    <row r="33" ht="17.5" customHeight="1">
      <c r="A33" s="199" t="n"/>
      <c r="B33" s="261" t="n"/>
      <c r="C33" s="199" t="inlineStr">
        <is>
          <t>Currency</t>
        </is>
      </c>
      <c r="D33" s="261" t="n"/>
      <c r="E33" s="261" t="n"/>
      <c r="F33" s="199" t="inlineStr">
        <is>
          <t>Subtotal Amount</t>
        </is>
      </c>
      <c r="G33" s="261" t="n"/>
      <c r="H33" s="261" t="n"/>
      <c r="I33" s="197" t="inlineStr">
        <is>
          <t>Discount</t>
        </is>
      </c>
      <c r="J33" s="261" t="n"/>
      <c r="K33" s="261" t="n"/>
      <c r="L33" s="197" t="inlineStr">
        <is>
          <t>Charges</t>
        </is>
      </c>
      <c r="M33" s="197" t="inlineStr">
        <is>
          <t>Sales tax</t>
        </is>
      </c>
      <c r="N33" s="261" t="n"/>
      <c r="O33" s="261" t="n"/>
      <c r="P33" s="197" t="inlineStr">
        <is>
          <t>VAT</t>
        </is>
      </c>
      <c r="Q33" s="197" t="inlineStr">
        <is>
          <t>Round-off</t>
        </is>
      </c>
      <c r="R33" s="197" t="n"/>
      <c r="S33" s="261" t="n"/>
      <c r="T33" s="197" t="inlineStr">
        <is>
          <t>Total</t>
        </is>
      </c>
      <c r="U33" s="261" t="n"/>
      <c r="V33" s="261" t="n"/>
      <c r="W33" s="261" t="n"/>
    </row>
    <row r="34" ht="17.5" customHeight="1">
      <c r="A34" s="75" t="n"/>
      <c r="B34" s="75" t="n"/>
      <c r="C34" s="76" t="inlineStr">
        <is>
          <t>VND</t>
        </is>
      </c>
      <c r="D34" s="75" t="n"/>
      <c r="E34" s="75" t="n"/>
      <c r="F34" s="270">
        <f>R54</f>
        <v/>
      </c>
      <c r="G34" s="254" t="n"/>
      <c r="H34" s="254" t="n"/>
      <c r="I34" s="76" t="n">
        <v>0</v>
      </c>
      <c r="J34" s="76" t="n"/>
      <c r="K34" s="76" t="n"/>
      <c r="L34" s="76" t="n">
        <v>0</v>
      </c>
      <c r="M34" s="76" t="n">
        <v>0</v>
      </c>
      <c r="N34" s="76" t="n"/>
      <c r="O34" s="76" t="n"/>
      <c r="P34" s="271" t="n"/>
      <c r="Q34" s="76" t="n">
        <v>0</v>
      </c>
      <c r="R34" s="272">
        <f>R31+R33+R35+R37+R39+R41+R43+R49+R45+R47+R51</f>
        <v/>
      </c>
      <c r="S34" s="254" t="n"/>
      <c r="T34" s="254" t="n"/>
      <c r="U34" s="254" t="n"/>
      <c r="V34" s="75" t="n"/>
      <c r="W34" s="75" t="n"/>
    </row>
    <row r="35" ht="20.5" customHeight="1">
      <c r="B35" s="78" t="inlineStr">
        <is>
          <t>Other Conditions:</t>
        </is>
      </c>
      <c r="C35" s="78" t="n"/>
    </row>
    <row r="36" ht="17.5" customHeight="1">
      <c r="B36" s="78" t="n">
        <v>1</v>
      </c>
      <c r="C36" s="78" t="inlineStr">
        <is>
          <t>Purchase Condition: As mutual Purchase and Sales Agreement</t>
        </is>
      </c>
    </row>
    <row r="37" ht="22" customHeight="1">
      <c r="B37" s="78" t="n">
        <v>2</v>
      </c>
      <c r="C37" s="78" t="inlineStr">
        <is>
          <t>Inspection: As Dainese Vietnam QC team's requirement</t>
        </is>
      </c>
    </row>
    <row r="38" ht="17.5" customHeight="1">
      <c r="B38" s="78" t="n">
        <v>3</v>
      </c>
      <c r="C38" s="78" t="inlineStr">
        <is>
          <t>Packing: The Seller has responsibility to packs the goods properly and be in accordance with the Technical Specification</t>
        </is>
      </c>
    </row>
    <row r="39" ht="17.5" customHeight="1">
      <c r="B39" s="78" t="n">
        <v>4</v>
      </c>
      <c r="C39" s="78" t="inlineStr">
        <is>
          <t>Partial Shipment: Allowed</t>
        </is>
      </c>
    </row>
    <row r="40" ht="17.5" customHeight="1">
      <c r="B40" s="78" t="n">
        <v>5</v>
      </c>
      <c r="C40" s="78" t="inlineStr">
        <is>
          <t>The Price is VAT excluded</t>
        </is>
      </c>
    </row>
    <row r="41" ht="20.5" customHeight="1">
      <c r="B41" s="78" t="n">
        <v>6</v>
      </c>
      <c r="C41" s="78" t="inlineStr">
        <is>
          <t>Warranty term: As mutual Purchase and Sales Agreement</t>
        </is>
      </c>
    </row>
    <row r="42" ht="17.5" customHeight="1">
      <c r="B42" s="78" t="inlineStr">
        <is>
          <t>Maturities due in August and at the end of December will be extended to 10th of the following month.</t>
        </is>
      </c>
    </row>
    <row r="43" ht="17.5" customHeight="1">
      <c r="B43" s="78" t="inlineStr">
        <is>
          <t>Kindly check this order and send it back countersigned for approval.</t>
        </is>
      </c>
    </row>
    <row r="44" ht="17.5" customHeight="1">
      <c r="B44" s="78" t="inlineStr">
        <is>
          <t>Please let us know any error and omission you might find. Without your communication within 5 days from receipt of</t>
        </is>
      </c>
    </row>
    <row r="45" ht="17.5" customHeight="1">
      <c r="B45" s="78" t="inlineStr">
        <is>
          <t>this order, it will be considered as accepted and confirmed in all its parts. Delivery date is of primary importance to</t>
        </is>
      </c>
    </row>
    <row r="46" ht="17.5" customHeight="1">
      <c r="B46" s="78" t="inlineStr">
        <is>
          <t>DAINESE Vietnam. Please always indicate the order number and date on your invoice. Thank you and Best regards</t>
        </is>
      </c>
    </row>
    <row r="47" ht="17.5" customHeight="1">
      <c r="C47" s="79" t="inlineStr">
        <is>
          <t>CÔNG TY TNHH THƯƠNG MẠI VÀ DỊCH VỤ 5P VIỆT NAM</t>
        </is>
      </c>
      <c r="Q47" s="204" t="inlineStr">
        <is>
          <t>DAINESE VIETNAM</t>
        </is>
      </c>
    </row>
    <row r="48" ht="17.5" customHeight="1">
      <c r="Q48" s="204" t="inlineStr">
        <is>
          <t>Purchase Office</t>
        </is>
      </c>
    </row>
    <row r="49" ht="22.4" customHeight="1"/>
    <row r="50" customFormat="1" s="75"/>
    <row r="51" ht="22.4" customHeight="1"/>
    <row r="52" customFormat="1" s="75"/>
    <row r="53" ht="22" customHeight="1"/>
  </sheetData>
  <mergeCells count="172">
    <mergeCell ref="C44:E44"/>
    <mergeCell ref="F33:H33"/>
    <mergeCell ref="F45:H45"/>
    <mergeCell ref="C31:E31"/>
    <mergeCell ref="A51:B51"/>
    <mergeCell ref="C47:E47"/>
    <mergeCell ref="Q68:U68"/>
    <mergeCell ref="C40:E40"/>
    <mergeCell ref="G20:M20"/>
    <mergeCell ref="A21:C21"/>
    <mergeCell ref="P42:S42"/>
    <mergeCell ref="C51:E51"/>
    <mergeCell ref="F47:H47"/>
    <mergeCell ref="T36:W36"/>
    <mergeCell ref="R30:S30"/>
    <mergeCell ref="F31:H31"/>
    <mergeCell ref="A41:B41"/>
    <mergeCell ref="M41:O41"/>
    <mergeCell ref="K3:T3"/>
    <mergeCell ref="S18:U19"/>
    <mergeCell ref="T49:W49"/>
    <mergeCell ref="F39:H39"/>
    <mergeCell ref="E18:F19"/>
    <mergeCell ref="K5:T5"/>
    <mergeCell ref="P44:S44"/>
    <mergeCell ref="R51:S51"/>
    <mergeCell ref="T42:W42"/>
    <mergeCell ref="A33:B33"/>
    <mergeCell ref="A42:B42"/>
    <mergeCell ref="C49:E49"/>
    <mergeCell ref="M53:O53"/>
    <mergeCell ref="R41:S41"/>
    <mergeCell ref="K11:T11"/>
    <mergeCell ref="P46:S46"/>
    <mergeCell ref="C34:E34"/>
    <mergeCell ref="A53:B53"/>
    <mergeCell ref="T44:W44"/>
    <mergeCell ref="A35:B35"/>
    <mergeCell ref="C42:E42"/>
    <mergeCell ref="I49:K49"/>
    <mergeCell ref="R43:S43"/>
    <mergeCell ref="I45:K45"/>
    <mergeCell ref="P48:S48"/>
    <mergeCell ref="M39:O39"/>
    <mergeCell ref="E22:F22"/>
    <mergeCell ref="T51:W51"/>
    <mergeCell ref="R33:S33"/>
    <mergeCell ref="G25:T25"/>
    <mergeCell ref="P32:S32"/>
    <mergeCell ref="R54:U54"/>
    <mergeCell ref="A39:B39"/>
    <mergeCell ref="F51:H51"/>
    <mergeCell ref="I47:K47"/>
    <mergeCell ref="A30:B30"/>
    <mergeCell ref="T41:W41"/>
    <mergeCell ref="F41:H41"/>
    <mergeCell ref="I37:K37"/>
    <mergeCell ref="A45:B45"/>
    <mergeCell ref="F35:H35"/>
    <mergeCell ref="M31:O31"/>
    <mergeCell ref="K7:T7"/>
    <mergeCell ref="T43:W43"/>
    <mergeCell ref="M37:O37"/>
    <mergeCell ref="B1:G14"/>
    <mergeCell ref="Q67:U67"/>
    <mergeCell ref="C39:E39"/>
    <mergeCell ref="A37:B37"/>
    <mergeCell ref="Z35:AB35"/>
    <mergeCell ref="T33:W33"/>
    <mergeCell ref="R45:S45"/>
    <mergeCell ref="P50:S50"/>
    <mergeCell ref="I51:K51"/>
    <mergeCell ref="C38:E38"/>
    <mergeCell ref="C32:E32"/>
    <mergeCell ref="M29:O29"/>
    <mergeCell ref="T53:W53"/>
    <mergeCell ref="T35:W35"/>
    <mergeCell ref="F49:H49"/>
    <mergeCell ref="F40:O40"/>
    <mergeCell ref="R47:S47"/>
    <mergeCell ref="P52:S52"/>
    <mergeCell ref="M43:O43"/>
    <mergeCell ref="F29:H29"/>
    <mergeCell ref="C33:E33"/>
    <mergeCell ref="F32:O32"/>
    <mergeCell ref="C35:E35"/>
    <mergeCell ref="M35:O35"/>
    <mergeCell ref="F38:O38"/>
    <mergeCell ref="A34:B34"/>
    <mergeCell ref="T31:W31"/>
    <mergeCell ref="A49:B49"/>
    <mergeCell ref="I53:K53"/>
    <mergeCell ref="A36:B36"/>
    <mergeCell ref="T37:W37"/>
    <mergeCell ref="M30:O30"/>
    <mergeCell ref="R49:S49"/>
    <mergeCell ref="C36:E36"/>
    <mergeCell ref="E20:F20"/>
    <mergeCell ref="K13:T13"/>
    <mergeCell ref="M33:O33"/>
    <mergeCell ref="A18:C20"/>
    <mergeCell ref="I39:K39"/>
    <mergeCell ref="A22:C22"/>
    <mergeCell ref="F44:O44"/>
    <mergeCell ref="F43:H43"/>
    <mergeCell ref="A24:F25"/>
    <mergeCell ref="T29:W29"/>
    <mergeCell ref="F34:O34"/>
    <mergeCell ref="T38:W38"/>
    <mergeCell ref="F37:H37"/>
    <mergeCell ref="I29:K29"/>
    <mergeCell ref="S20:U20"/>
    <mergeCell ref="R35:S35"/>
    <mergeCell ref="C37:E37"/>
    <mergeCell ref="I31:K31"/>
    <mergeCell ref="P34:S34"/>
    <mergeCell ref="A32:B32"/>
    <mergeCell ref="S22:U22"/>
    <mergeCell ref="O20:R20"/>
    <mergeCell ref="F53:H53"/>
    <mergeCell ref="C30:E30"/>
    <mergeCell ref="R53:S53"/>
    <mergeCell ref="G21:R21"/>
    <mergeCell ref="F42:O42"/>
    <mergeCell ref="A38:B38"/>
    <mergeCell ref="S21:U21"/>
    <mergeCell ref="P36:S36"/>
    <mergeCell ref="A43:B43"/>
    <mergeCell ref="T40:W40"/>
    <mergeCell ref="A40:B40"/>
    <mergeCell ref="F30:H30"/>
    <mergeCell ref="M51:O51"/>
    <mergeCell ref="R39:S39"/>
    <mergeCell ref="I41:K41"/>
    <mergeCell ref="C41:E41"/>
    <mergeCell ref="R29:S29"/>
    <mergeCell ref="I43:K43"/>
    <mergeCell ref="T34:W34"/>
    <mergeCell ref="C43:E43"/>
    <mergeCell ref="R31:S31"/>
    <mergeCell ref="Y34:AA34"/>
    <mergeCell ref="G23:T23"/>
    <mergeCell ref="I33:K33"/>
    <mergeCell ref="T39:W39"/>
    <mergeCell ref="A23:F23"/>
    <mergeCell ref="M45:O45"/>
    <mergeCell ref="R37:S37"/>
    <mergeCell ref="T30:W30"/>
    <mergeCell ref="I35:K35"/>
    <mergeCell ref="P38:S38"/>
    <mergeCell ref="T32:W32"/>
    <mergeCell ref="T45:W45"/>
    <mergeCell ref="Y33:AA33"/>
    <mergeCell ref="M47:O47"/>
    <mergeCell ref="T47:W47"/>
    <mergeCell ref="C53:E53"/>
    <mergeCell ref="P40:S40"/>
    <mergeCell ref="K14:T15"/>
    <mergeCell ref="A47:B47"/>
    <mergeCell ref="G22:R22"/>
    <mergeCell ref="I30:K30"/>
    <mergeCell ref="F36:O36"/>
    <mergeCell ref="F54:H54"/>
    <mergeCell ref="A29:B29"/>
    <mergeCell ref="M49:O49"/>
    <mergeCell ref="G18:M18"/>
    <mergeCell ref="C45:E45"/>
    <mergeCell ref="A44:B44"/>
    <mergeCell ref="C29:E29"/>
    <mergeCell ref="A31:B31"/>
    <mergeCell ref="E21:F21"/>
    <mergeCell ref="O18:R19"/>
  </mergeCells>
  <pageMargins left="0.446850394" right="0.446850394" top="0.196850394" bottom="0.340877953" header="0.196850393700787" footer="0.196850393700787"/>
  <pageSetup orientation="portrait" paperSize="9" scale="86" fitToHeight="0"/>
  <headerFooter alignWithMargins="0">
    <oddHeader/>
    <oddFooter>&amp;L&amp;"Segoe UI,Bold"&amp;7  </oddFooter>
    <evenHeader/>
    <evenFooter/>
    <firstHeader/>
    <firstFooter/>
  </headerFooter>
  <colBreaks count="1" manualBreakCount="1">
    <brk id="23" min="0" max="1048575" man="1"/>
  </colBreaks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Admin</dc:creator>
  <dcterms:created xmlns:dcterms="http://purl.org/dc/terms/" xmlns:xsi="http://www.w3.org/2001/XMLSchema-instance" xsi:type="dcterms:W3CDTF">2020-09-01T02:01:20Z</dcterms:created>
  <dcterms:modified xmlns:dcterms="http://purl.org/dc/terms/" xmlns:xsi="http://www.w3.org/2001/XMLSchema-instance" xsi:type="dcterms:W3CDTF">2026-04-06T15:06:31Z</dcterms:modified>
  <cp:lastModifiedBy>Hi</cp:lastModifiedBy>
  <cp:lastPrinted>2026-04-02T03:18:48Z</cp:lastPrinted>
</cp:coreProperties>
</file>