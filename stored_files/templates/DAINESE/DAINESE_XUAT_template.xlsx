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80" windowWidth="19420" windowHeight="10300" tabRatio="600" firstSheet="0" activeTab="0" autoFilterDateGrouping="1"/>
  </bookViews>
  <sheets>
    <sheet xmlns:r="http://schemas.openxmlformats.org/officeDocument/2006/relationships" name="XUẤT" sheetId="1" state="visible" r:id="rId1"/>
    <sheet xmlns:r="http://schemas.openxmlformats.org/officeDocument/2006/relationships" name="KMTCVN01104033" sheetId="2" state="visible" r:id="rId2"/>
    <sheet xmlns:r="http://schemas.openxmlformats.org/officeDocument/2006/relationships" name="Sheet1" sheetId="3" state="hidden" r:id="rId3"/>
  </sheets>
  <definedNames>
    <definedName name="_xlnm._FilterDatabase" localSheetId="0" hidden="1">'XUẤT'!$A$12:$IN$48</definedName>
    <definedName name="_xlnm.Print_Titles" localSheetId="0">'XUẤT'!$11:$12</definedName>
    <definedName name="_xlnm.Print_Area" localSheetId="0">'XUẤT'!$A$1:$AF$59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.00_-;\-* #,##0.00_-;_-* &quot;-&quot;??_-;_-@_-"/>
    <numFmt numFmtId="166" formatCode="d/m/yyyy"/>
  </numFmts>
  <fonts count="4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Times New Roman"/>
      <family val="2"/>
      <color theme="1"/>
      <sz val="14"/>
    </font>
    <font>
      <name val="Cambria"/>
      <family val="1"/>
      <color indexed="8"/>
      <sz val="11"/>
    </font>
    <font>
      <name val="Calibri"/>
      <family val="2"/>
      <color indexed="8"/>
      <sz val="11"/>
    </font>
    <font>
      <name val="ＭＳ Ｐゴシック"/>
      <family val="2"/>
      <sz val="11"/>
    </font>
    <font>
      <name val="Times New Roman"/>
      <family val="1"/>
      <color indexed="8"/>
      <sz val="11"/>
    </font>
    <font>
      <name val="Times New Roman"/>
      <family val="1"/>
      <b val="1"/>
      <sz val="9"/>
    </font>
    <font>
      <name val="Arial"/>
      <family val="2"/>
      <color indexed="8"/>
      <sz val="10"/>
    </font>
    <font>
      <name val="Arial"/>
      <family val="2"/>
      <color theme="1"/>
      <sz val="10"/>
    </font>
    <font>
      <name val="Arial"/>
      <family val="2"/>
      <sz val="10"/>
    </font>
    <font>
      <name val="Times New Roman"/>
      <family val="1"/>
      <b val="1"/>
      <sz val="12"/>
    </font>
    <font>
      <name val="Times New Roman"/>
      <family val="1"/>
      <b val="1"/>
      <i val="1"/>
      <sz val="12"/>
    </font>
    <font>
      <name val="Arial"/>
      <family val="2"/>
      <b val="1"/>
      <sz val="12"/>
    </font>
    <font>
      <name val="Times New Roman"/>
      <charset val="163"/>
      <family val="1"/>
      <b val="1"/>
      <color theme="9" tint="-0.249977111117893"/>
      <sz val="12"/>
    </font>
    <font>
      <name val="Times New Roman"/>
      <charset val="163"/>
      <family val="1"/>
      <b val="1"/>
      <color theme="1"/>
      <sz val="12"/>
    </font>
    <font>
      <name val="Times New Roman"/>
      <charset val="163"/>
      <family val="1"/>
      <sz val="12"/>
    </font>
    <font>
      <name val="Times New Roman"/>
      <charset val="163"/>
      <family val="1"/>
      <color theme="1"/>
      <sz val="12"/>
    </font>
    <font>
      <name val="Times New Roman"/>
      <charset val="163"/>
      <family val="1"/>
      <b val="1"/>
      <sz val="12"/>
    </font>
    <font>
      <name val="Times New Roman"/>
      <charset val="163"/>
      <family val="1"/>
      <i val="1"/>
      <sz val="12"/>
    </font>
    <font>
      <name val="Times New Roman"/>
      <charset val="163"/>
      <family val="1"/>
      <b val="1"/>
      <i val="1"/>
      <sz val="12"/>
    </font>
    <font>
      <name val="Times New Roman"/>
      <charset val="163"/>
      <family val="1"/>
      <sz val="10"/>
    </font>
    <font>
      <name val="Times New Roman"/>
      <charset val="163"/>
      <family val="1"/>
      <b val="1"/>
      <sz val="18"/>
    </font>
    <font>
      <name val="Arial"/>
      <family val="2"/>
      <sz val="8"/>
    </font>
    <font>
      <name val="Times New Roman"/>
      <family val="1"/>
      <color theme="1"/>
      <sz val="11"/>
    </font>
    <font>
      <name val="Times New Roman"/>
      <family val="1"/>
      <b val="1"/>
      <sz val="14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4"/>
    </font>
    <font>
      <name val="Calibri"/>
      <family val="2"/>
      <b val="1"/>
      <color theme="1"/>
      <sz val="10"/>
      <scheme val="minor"/>
    </font>
    <font>
      <name val="TimesNewRomanPS-BoldMT"/>
      <b val="1"/>
      <color rgb="FF000000"/>
      <sz val="9"/>
    </font>
    <font>
      <name val="Calibri"/>
      <family val="2"/>
      <color theme="1"/>
      <sz val="16"/>
      <scheme val="minor"/>
    </font>
    <font>
      <name val="Calibri"/>
      <family val="2"/>
      <b val="1"/>
      <color rgb="FFC00000"/>
      <sz val="11"/>
      <scheme val="minor"/>
    </font>
    <font>
      <name val="Times New Roman"/>
      <charset val="163"/>
      <family val="1"/>
      <color theme="1"/>
      <sz val="11"/>
    </font>
    <font>
      <name val="Times New Roman"/>
      <family val="1"/>
      <b val="1"/>
      <color theme="1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b val="1"/>
      <color rgb="FF000000"/>
      <sz val="12"/>
    </font>
  </fonts>
  <fills count="1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rgb="FFFFFFFF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2">
    <xf numFmtId="0" fontId="0" fillId="0" borderId="0"/>
    <xf numFmtId="43" fontId="20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43" fontId="8" fillId="0" borderId="0"/>
    <xf numFmtId="43" fontId="14" fillId="0" borderId="0"/>
    <xf numFmtId="0" fontId="13" fillId="0" borderId="0"/>
    <xf numFmtId="0" fontId="8" fillId="2" borderId="3"/>
    <xf numFmtId="0" fontId="15" fillId="0" borderId="0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43" fontId="20" fillId="0" borderId="0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0" fontId="18" fillId="0" borderId="0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0" fontId="8" fillId="0" borderId="0"/>
    <xf numFmtId="43" fontId="8" fillId="0" borderId="0"/>
    <xf numFmtId="0" fontId="8" fillId="2" borderId="3"/>
    <xf numFmtId="165" fontId="20" fillId="0" borderId="0"/>
    <xf numFmtId="0" fontId="19" fillId="0" borderId="0"/>
    <xf numFmtId="43" fontId="20" fillId="0" borderId="0"/>
    <xf numFmtId="0" fontId="8" fillId="0" borderId="0"/>
    <xf numFmtId="165" fontId="8" fillId="0" borderId="0"/>
    <xf numFmtId="0" fontId="8" fillId="0" borderId="0"/>
    <xf numFmtId="165" fontId="8" fillId="0" borderId="0"/>
  </cellStyleXfs>
  <cellXfs count="317">
    <xf numFmtId="0" fontId="0" fillId="0" borderId="0" pivotButton="0" quotePrefix="0" xfId="0"/>
    <xf numFmtId="3" fontId="11" fillId="3" borderId="1" applyAlignment="1" pivotButton="0" quotePrefix="0" xfId="0">
      <alignment vertical="center"/>
    </xf>
    <xf numFmtId="43" fontId="17" fillId="4" borderId="1" applyAlignment="1" pivotButton="0" quotePrefix="0" xfId="21">
      <alignment vertical="center" wrapText="1"/>
    </xf>
    <xf numFmtId="49" fontId="17" fillId="6" borderId="1" applyAlignment="1" pivotButton="0" quotePrefix="0" xfId="2">
      <alignment horizontal="center" vertical="center" wrapText="1"/>
    </xf>
    <xf numFmtId="49" fontId="16" fillId="6" borderId="1" applyAlignment="1" pivotButton="0" quotePrefix="0" xfId="20">
      <alignment horizontal="center" vertical="center"/>
    </xf>
    <xf numFmtId="0" fontId="17" fillId="7" borderId="1" applyAlignment="1" pivotButton="0" quotePrefix="0" xfId="2">
      <alignment horizontal="center" vertical="center" wrapText="1"/>
    </xf>
    <xf numFmtId="0" fontId="16" fillId="0" borderId="1" applyAlignment="1" pivotButton="0" quotePrefix="0" xfId="20">
      <alignment vertical="center" wrapText="1"/>
    </xf>
    <xf numFmtId="3" fontId="16" fillId="0" borderId="1" applyAlignment="1" pivotButton="0" quotePrefix="0" xfId="20">
      <alignment horizontal="right" vertical="center" wrapText="1"/>
    </xf>
    <xf numFmtId="3" fontId="17" fillId="9" borderId="2" applyAlignment="1" pivotButton="0" quotePrefix="0" xfId="20">
      <alignment vertical="center" wrapText="1"/>
    </xf>
    <xf numFmtId="2" fontId="17" fillId="6" borderId="1" applyAlignment="1" pivotButton="0" quotePrefix="0" xfId="2">
      <alignment horizontal="center" vertical="center" wrapText="1"/>
    </xf>
    <xf numFmtId="2" fontId="17" fillId="7" borderId="1" applyAlignment="1" pivotButton="0" quotePrefix="0" xfId="2">
      <alignment horizontal="center" vertical="center" wrapText="1"/>
    </xf>
    <xf numFmtId="2" fontId="16" fillId="0" borderId="1" applyAlignment="1" pivotButton="0" quotePrefix="0" xfId="20">
      <alignment vertical="center" wrapText="1"/>
    </xf>
    <xf numFmtId="0" fontId="16" fillId="0" borderId="1" applyAlignment="1" pivotButton="0" quotePrefix="1" xfId="20">
      <alignment vertical="center" wrapText="1"/>
    </xf>
    <xf numFmtId="3" fontId="21" fillId="0" borderId="11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/>
    </xf>
    <xf numFmtId="0" fontId="26" fillId="0" borderId="0" pivotButton="0" quotePrefix="0" xfId="0"/>
    <xf numFmtId="0" fontId="27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right"/>
    </xf>
    <xf numFmtId="3" fontId="26" fillId="0" borderId="0" pivotButton="0" quotePrefix="0" xfId="0"/>
    <xf numFmtId="0" fontId="26" fillId="0" borderId="0" applyAlignment="1" pivotButton="0" quotePrefix="0" xfId="0">
      <alignment wrapText="1"/>
    </xf>
    <xf numFmtId="0" fontId="27" fillId="0" borderId="0" applyAlignment="1" pivotButton="0" quotePrefix="0" xfId="0">
      <alignment vertical="center" wrapText="1"/>
    </xf>
    <xf numFmtId="0" fontId="25" fillId="0" borderId="0" pivotButton="0" quotePrefix="0" xfId="0"/>
    <xf numFmtId="0" fontId="28" fillId="0" borderId="0" pivotButton="0" quotePrefix="0" xfId="0"/>
    <xf numFmtId="0" fontId="28" fillId="0" borderId="0" applyAlignment="1" pivotButton="0" quotePrefix="1" xfId="2">
      <alignment horizontal="center"/>
    </xf>
    <xf numFmtId="0" fontId="26" fillId="0" borderId="0" applyAlignment="1" pivotButton="0" quotePrefix="0" xfId="0">
      <alignment horizontal="center" wrapText="1"/>
    </xf>
    <xf numFmtId="0" fontId="29" fillId="0" borderId="0" pivotButton="0" quotePrefix="0" xfId="0"/>
    <xf numFmtId="0" fontId="30" fillId="0" borderId="0" pivotButton="0" quotePrefix="0" xfId="2"/>
    <xf numFmtId="0" fontId="28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2">
      <alignment horizontal="center" wrapText="1"/>
    </xf>
    <xf numFmtId="0" fontId="28" fillId="0" borderId="0" pivotButton="0" quotePrefix="0" xfId="2"/>
    <xf numFmtId="0" fontId="28" fillId="0" borderId="0" applyAlignment="1" pivotButton="0" quotePrefix="0" xfId="0">
      <alignment horizontal="right" vertical="top"/>
    </xf>
    <xf numFmtId="3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8" fillId="0" borderId="0" applyAlignment="1" pivotButton="0" quotePrefix="0" xfId="0">
      <alignment horizontal="center" vertical="top" wrapText="1"/>
    </xf>
    <xf numFmtId="0" fontId="28" fillId="0" borderId="0" applyAlignment="1" pivotButton="0" quotePrefix="0" xfId="2">
      <alignment horizontal="right"/>
    </xf>
    <xf numFmtId="164" fontId="28" fillId="0" borderId="0" pivotButton="0" quotePrefix="0" xfId="1"/>
    <xf numFmtId="0" fontId="28" fillId="0" borderId="0" applyAlignment="1" pivotButton="0" quotePrefix="0" xfId="2">
      <alignment horizontal="left"/>
    </xf>
    <xf numFmtId="43" fontId="28" fillId="0" borderId="0" applyAlignment="1" pivotButton="0" quotePrefix="0" xfId="0">
      <alignment vertical="top"/>
    </xf>
    <xf numFmtId="0" fontId="26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left"/>
    </xf>
    <xf numFmtId="3" fontId="28" fillId="0" borderId="0" applyAlignment="1" pivotButton="0" quotePrefix="0" xfId="2">
      <alignment horizontal="right"/>
    </xf>
    <xf numFmtId="3" fontId="28" fillId="0" borderId="0" applyAlignment="1" pivotButton="0" quotePrefix="0" xfId="0">
      <alignment horizontal="right" vertical="top"/>
    </xf>
    <xf numFmtId="0" fontId="31" fillId="0" borderId="0" applyAlignment="1" pivotButton="0" quotePrefix="0" xfId="0">
      <alignment wrapText="1"/>
    </xf>
    <xf numFmtId="0" fontId="21" fillId="0" borderId="0" pivotButton="0" quotePrefix="0" xfId="0"/>
    <xf numFmtId="0" fontId="23" fillId="0" borderId="0" pivotButton="0" quotePrefix="0" xfId="0"/>
    <xf numFmtId="0" fontId="28" fillId="0" borderId="0" applyAlignment="1" pivotButton="0" quotePrefix="0" xfId="0">
      <alignment horizontal="center" vertical="top"/>
    </xf>
    <xf numFmtId="0" fontId="28" fillId="11" borderId="0" applyAlignment="1" pivotButton="0" quotePrefix="0" xfId="0">
      <alignment vertical="top"/>
    </xf>
    <xf numFmtId="0" fontId="11" fillId="11" borderId="0" pivotButton="0" quotePrefix="0" xfId="0"/>
    <xf numFmtId="0" fontId="9" fillId="11" borderId="0" pivotButton="0" quotePrefix="0" xfId="0"/>
    <xf numFmtId="0" fontId="35" fillId="0" borderId="0" pivotButton="0" quotePrefix="0" xfId="2"/>
    <xf numFmtId="0" fontId="35" fillId="0" borderId="0" applyAlignment="1" pivotButton="0" quotePrefix="0" xfId="0">
      <alignment vertical="top"/>
    </xf>
    <xf numFmtId="0" fontId="35" fillId="0" borderId="0" pivotButton="0" quotePrefix="0" xfId="0"/>
    <xf numFmtId="0" fontId="35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10" borderId="0" applyAlignment="1" pivotButton="0" quotePrefix="0" xfId="0">
      <alignment vertical="top"/>
    </xf>
    <xf numFmtId="0" fontId="11" fillId="10" borderId="0" pivotButton="0" quotePrefix="0" xfId="0"/>
    <xf numFmtId="0" fontId="9" fillId="10" borderId="0" pivotButton="0" quotePrefix="0" xfId="0"/>
    <xf numFmtId="0" fontId="28" fillId="12" borderId="0" applyAlignment="1" pivotButton="0" quotePrefix="0" xfId="0">
      <alignment vertical="top"/>
    </xf>
    <xf numFmtId="0" fontId="11" fillId="12" borderId="0" pivotButton="0" quotePrefix="0" xfId="0"/>
    <xf numFmtId="0" fontId="9" fillId="12" borderId="0" pivotButton="0" quotePrefix="0" xfId="0"/>
    <xf numFmtId="0" fontId="32" fillId="0" borderId="0" pivotButton="0" quotePrefix="0" xfId="0"/>
    <xf numFmtId="3" fontId="21" fillId="0" borderId="13" applyAlignment="1" pivotButton="0" quotePrefix="0" xfId="0">
      <alignment vertical="center" wrapText="1"/>
    </xf>
    <xf numFmtId="3" fontId="21" fillId="0" borderId="7" applyAlignment="1" pivotButton="0" quotePrefix="0" xfId="0">
      <alignment vertical="center" wrapText="1"/>
    </xf>
    <xf numFmtId="0" fontId="34" fillId="0" borderId="0" pivotButton="0" quotePrefix="0" xfId="60"/>
    <xf numFmtId="0" fontId="34" fillId="0" borderId="0" applyAlignment="1" pivotButton="0" quotePrefix="0" xfId="60">
      <alignment vertical="center"/>
    </xf>
    <xf numFmtId="0" fontId="38" fillId="0" borderId="0" applyAlignment="1" pivotButton="0" quotePrefix="0" xfId="60">
      <alignment horizontal="left" vertical="center"/>
    </xf>
    <xf numFmtId="0" fontId="38" fillId="0" borderId="0" applyAlignment="1" pivotButton="0" quotePrefix="0" xfId="60">
      <alignment horizontal="left"/>
    </xf>
    <xf numFmtId="0" fontId="34" fillId="0" borderId="0" applyAlignment="1" pivotButton="0" quotePrefix="0" xfId="60">
      <alignment horizontal="center" vertical="center"/>
    </xf>
    <xf numFmtId="0" fontId="34" fillId="0" borderId="0" applyAlignment="1" pivotButton="0" quotePrefix="0" xfId="60">
      <alignment horizontal="right" vertical="center"/>
    </xf>
    <xf numFmtId="3" fontId="34" fillId="0" borderId="0" applyAlignment="1" pivotButton="0" quotePrefix="0" xfId="60">
      <alignment horizontal="right" vertical="center"/>
    </xf>
    <xf numFmtId="0" fontId="2" fillId="0" borderId="0" pivotButton="0" quotePrefix="0" xfId="60"/>
    <xf numFmtId="0" fontId="38" fillId="0" borderId="0" applyAlignment="1" pivotButton="0" quotePrefix="0" xfId="60">
      <alignment vertical="center"/>
    </xf>
    <xf numFmtId="0" fontId="38" fillId="0" borderId="0" pivotButton="0" quotePrefix="0" xfId="60"/>
    <xf numFmtId="0" fontId="34" fillId="0" borderId="0" applyAlignment="1" pivotButton="0" quotePrefix="0" xfId="60">
      <alignment horizontal="right"/>
    </xf>
    <xf numFmtId="0" fontId="34" fillId="0" borderId="0" applyAlignment="1" pivotButton="0" quotePrefix="0" xfId="60">
      <alignment horizontal="center"/>
    </xf>
    <xf numFmtId="0" fontId="34" fillId="0" borderId="0" applyAlignment="1" pivotButton="0" quotePrefix="0" xfId="60">
      <alignment horizontal="left" vertical="center"/>
    </xf>
    <xf numFmtId="0" fontId="34" fillId="0" borderId="0" applyAlignment="1" pivotButton="0" quotePrefix="0" xfId="60">
      <alignment horizontal="right" vertical="center" wrapText="1"/>
    </xf>
    <xf numFmtId="0" fontId="34" fillId="0" borderId="0" applyAlignment="1" pivotButton="0" quotePrefix="0" xfId="60">
      <alignment vertical="center" wrapText="1"/>
    </xf>
    <xf numFmtId="3" fontId="34" fillId="0" borderId="0" applyAlignment="1" pivotButton="0" quotePrefix="0" xfId="60">
      <alignment horizontal="right" vertical="center" wrapText="1"/>
    </xf>
    <xf numFmtId="0" fontId="36" fillId="0" borderId="23" applyAlignment="1" pivotButton="0" quotePrefix="0" xfId="60">
      <alignment vertical="center"/>
    </xf>
    <xf numFmtId="0" fontId="2" fillId="0" borderId="26" applyAlignment="1" pivotButton="0" quotePrefix="0" xfId="60">
      <alignment vertical="center"/>
    </xf>
    <xf numFmtId="0" fontId="36" fillId="0" borderId="26" applyAlignment="1" pivotButton="0" quotePrefix="0" xfId="60">
      <alignment vertical="center"/>
    </xf>
    <xf numFmtId="0" fontId="2" fillId="0" borderId="26" pivotButton="0" quotePrefix="0" xfId="60"/>
    <xf numFmtId="0" fontId="36" fillId="0" borderId="28" pivotButton="0" quotePrefix="0" xfId="60"/>
    <xf numFmtId="0" fontId="41" fillId="0" borderId="0" pivotButton="0" quotePrefix="0" xfId="60"/>
    <xf numFmtId="0" fontId="36" fillId="0" borderId="0" pivotButton="0" quotePrefix="0" xfId="60"/>
    <xf numFmtId="0" fontId="36" fillId="0" borderId="28" applyAlignment="1" pivotButton="0" quotePrefix="0" xfId="60">
      <alignment vertical="center"/>
    </xf>
    <xf numFmtId="0" fontId="2" fillId="0" borderId="0" applyAlignment="1" pivotButton="0" quotePrefix="0" xfId="60">
      <alignment vertical="center"/>
    </xf>
    <xf numFmtId="0" fontId="36" fillId="0" borderId="0" applyAlignment="1" pivotButton="0" quotePrefix="0" xfId="60">
      <alignment vertical="center"/>
    </xf>
    <xf numFmtId="0" fontId="2" fillId="0" borderId="28" applyAlignment="1" pivotButton="0" quotePrefix="0" xfId="60">
      <alignment vertical="center"/>
    </xf>
    <xf numFmtId="0" fontId="2" fillId="0" borderId="0" applyAlignment="1" pivotButton="0" quotePrefix="1" xfId="60">
      <alignment horizontal="center" vertical="center"/>
    </xf>
    <xf numFmtId="0" fontId="2" fillId="0" borderId="0" applyAlignment="1" pivotButton="0" quotePrefix="0" xfId="60">
      <alignment horizontal="center" vertical="center"/>
    </xf>
    <xf numFmtId="0" fontId="36" fillId="0" borderId="0" applyAlignment="1" pivotButton="0" quotePrefix="0" xfId="60">
      <alignment horizontal="left" vertical="center"/>
    </xf>
    <xf numFmtId="0" fontId="2" fillId="0" borderId="0" applyAlignment="1" pivotButton="0" quotePrefix="0" xfId="60">
      <alignment horizontal="right" vertical="center"/>
    </xf>
    <xf numFmtId="0" fontId="2" fillId="0" borderId="0" applyAlignment="1" pivotButton="0" quotePrefix="0" xfId="60">
      <alignment horizontal="left" vertical="center"/>
    </xf>
    <xf numFmtId="0" fontId="36" fillId="0" borderId="0" applyAlignment="1" pivotButton="0" quotePrefix="0" xfId="60">
      <alignment horizontal="center" vertical="center"/>
    </xf>
    <xf numFmtId="1" fontId="37" fillId="0" borderId="0" applyAlignment="1" pivotButton="0" quotePrefix="1" xfId="60">
      <alignment horizontal="center" vertical="center" wrapText="1"/>
    </xf>
    <xf numFmtId="0" fontId="2" fillId="0" borderId="29" applyAlignment="1" pivotButton="0" quotePrefix="0" xfId="60">
      <alignment horizontal="center" vertical="center"/>
    </xf>
    <xf numFmtId="0" fontId="2" fillId="0" borderId="30" pivotButton="0" quotePrefix="0" xfId="60"/>
    <xf numFmtId="0" fontId="2" fillId="0" borderId="31" applyAlignment="1" pivotButton="0" quotePrefix="0" xfId="60">
      <alignment horizontal="center" vertical="center"/>
    </xf>
    <xf numFmtId="0" fontId="36" fillId="0" borderId="31" applyAlignment="1" pivotButton="0" quotePrefix="0" xfId="60">
      <alignment horizontal="left" vertical="center"/>
    </xf>
    <xf numFmtId="0" fontId="36" fillId="0" borderId="31" applyAlignment="1" pivotButton="0" quotePrefix="0" xfId="60">
      <alignment horizontal="center" vertical="center"/>
    </xf>
    <xf numFmtId="165" fontId="36" fillId="0" borderId="31" applyAlignment="1" pivotButton="0" quotePrefix="0" xfId="61">
      <alignment horizontal="right" vertical="center"/>
    </xf>
    <xf numFmtId="0" fontId="2" fillId="0" borderId="32" applyAlignment="1" pivotButton="0" quotePrefix="0" xfId="60">
      <alignment horizontal="center" vertical="center"/>
    </xf>
    <xf numFmtId="0" fontId="38" fillId="14" borderId="1" applyAlignment="1" pivotButton="0" quotePrefix="0" xfId="60">
      <alignment horizontal="center" vertical="center"/>
    </xf>
    <xf numFmtId="0" fontId="38" fillId="14" borderId="1" applyAlignment="1" pivotButton="0" quotePrefix="0" xfId="60">
      <alignment horizontal="center" vertical="center" wrapText="1"/>
    </xf>
    <xf numFmtId="0" fontId="38" fillId="14" borderId="34" applyAlignment="1" pivotButton="0" quotePrefix="0" xfId="60">
      <alignment horizontal="center" vertical="center" wrapText="1"/>
    </xf>
    <xf numFmtId="0" fontId="38" fillId="0" borderId="1" applyAlignment="1" pivotButton="0" quotePrefix="0" xfId="60">
      <alignment horizontal="center" vertical="center"/>
    </xf>
    <xf numFmtId="0" fontId="38" fillId="0" borderId="1" applyAlignment="1" pivotButton="0" quotePrefix="0" xfId="60">
      <alignment vertical="center"/>
    </xf>
    <xf numFmtId="0" fontId="34" fillId="0" borderId="2" applyAlignment="1" pivotButton="0" quotePrefix="0" xfId="60">
      <alignment horizontal="center" vertical="center"/>
    </xf>
    <xf numFmtId="0" fontId="34" fillId="0" borderId="31" applyAlignment="1" pivotButton="0" quotePrefix="0" xfId="60">
      <alignment horizontal="left" vertical="center" wrapText="1"/>
    </xf>
    <xf numFmtId="0" fontId="34" fillId="0" borderId="26" applyAlignment="1" pivotButton="0" quotePrefix="0" xfId="60">
      <alignment horizontal="center" vertical="center"/>
    </xf>
    <xf numFmtId="4" fontId="31" fillId="0" borderId="1" applyAlignment="1" pivotButton="0" quotePrefix="0" xfId="60">
      <alignment vertical="center"/>
    </xf>
    <xf numFmtId="164" fontId="34" fillId="0" borderId="4" applyAlignment="1" pivotButton="0" quotePrefix="0" xfId="61">
      <alignment horizontal="center" vertical="center"/>
    </xf>
    <xf numFmtId="164" fontId="34" fillId="0" borderId="1" applyAlignment="1" pivotButton="0" quotePrefix="0" xfId="61">
      <alignment horizontal="right" vertical="center"/>
    </xf>
    <xf numFmtId="43" fontId="34" fillId="0" borderId="1" applyAlignment="1" pivotButton="0" quotePrefix="0" xfId="61">
      <alignment vertical="center"/>
    </xf>
    <xf numFmtId="164" fontId="34" fillId="0" borderId="4" applyAlignment="1" pivotButton="0" quotePrefix="0" xfId="60">
      <alignment vertical="center"/>
    </xf>
    <xf numFmtId="164" fontId="34" fillId="0" borderId="1" applyAlignment="1" pivotButton="0" quotePrefix="0" xfId="60">
      <alignment vertical="center"/>
    </xf>
    <xf numFmtId="0" fontId="34" fillId="0" borderId="2" applyAlignment="1" pivotButton="0" quotePrefix="1" xfId="60">
      <alignment horizontal="center" vertical="center" wrapText="1"/>
    </xf>
    <xf numFmtId="43" fontId="2" fillId="0" borderId="1" pivotButton="0" quotePrefix="0" xfId="60"/>
    <xf numFmtId="0" fontId="38" fillId="0" borderId="33" applyAlignment="1" pivotButton="0" quotePrefix="0" xfId="60">
      <alignment horizontal="right" vertical="center"/>
    </xf>
    <xf numFmtId="43" fontId="38" fillId="0" borderId="1" applyAlignment="1" pivotButton="0" quotePrefix="0" xfId="60">
      <alignment horizontal="right" vertical="center"/>
    </xf>
    <xf numFmtId="164" fontId="38" fillId="0" borderId="1" applyAlignment="1" pivotButton="0" quotePrefix="0" xfId="60">
      <alignment horizontal="right" vertical="center"/>
    </xf>
    <xf numFmtId="0" fontId="34" fillId="0" borderId="1" applyAlignment="1" pivotButton="0" quotePrefix="1" xfId="60">
      <alignment vertical="center"/>
    </xf>
    <xf numFmtId="0" fontId="34" fillId="0" borderId="4" applyAlignment="1" pivotButton="0" quotePrefix="0" xfId="60">
      <alignment horizontal="center" vertical="center"/>
    </xf>
    <xf numFmtId="43" fontId="34" fillId="0" borderId="4" applyAlignment="1" pivotButton="0" quotePrefix="0" xfId="61">
      <alignment vertical="center"/>
    </xf>
    <xf numFmtId="164" fontId="34" fillId="0" borderId="4" applyAlignment="1" pivotButton="0" quotePrefix="0" xfId="61">
      <alignment vertical="center"/>
    </xf>
    <xf numFmtId="0" fontId="34" fillId="0" borderId="1" applyAlignment="1" pivotButton="0" quotePrefix="0" xfId="60">
      <alignment horizontal="center" vertical="center"/>
    </xf>
    <xf numFmtId="43" fontId="34" fillId="0" borderId="1" applyAlignment="1" pivotButton="0" quotePrefix="0" xfId="61">
      <alignment horizontal="center" vertical="center"/>
    </xf>
    <xf numFmtId="164" fontId="34" fillId="0" borderId="1" applyAlignment="1" pivotButton="0" quotePrefix="0" xfId="61">
      <alignment horizontal="center" vertical="center"/>
    </xf>
    <xf numFmtId="164" fontId="34" fillId="0" borderId="1" applyAlignment="1" pivotButton="0" quotePrefix="0" xfId="60">
      <alignment horizontal="center" vertical="center"/>
    </xf>
    <xf numFmtId="0" fontId="43" fillId="0" borderId="0" pivotButton="0" quotePrefix="0" xfId="60"/>
    <xf numFmtId="164" fontId="38" fillId="0" borderId="15" applyAlignment="1" pivotButton="0" quotePrefix="0" xfId="60">
      <alignment horizontal="right" vertical="center"/>
    </xf>
    <xf numFmtId="0" fontId="38" fillId="0" borderId="1" applyAlignment="1" pivotButton="0" quotePrefix="0" xfId="60">
      <alignment horizontal="left" vertical="center"/>
    </xf>
    <xf numFmtId="0" fontId="34" fillId="0" borderId="1" applyAlignment="1" pivotButton="0" quotePrefix="0" xfId="60">
      <alignment horizontal="left" vertical="center"/>
    </xf>
    <xf numFmtId="0" fontId="34" fillId="0" borderId="1" applyAlignment="1" pivotButton="0" quotePrefix="0" xfId="60">
      <alignment horizontal="left" vertical="center" wrapText="1"/>
    </xf>
    <xf numFmtId="3" fontId="34" fillId="0" borderId="1" applyAlignment="1" pivotButton="0" quotePrefix="0" xfId="60">
      <alignment horizontal="right" vertical="center"/>
    </xf>
    <xf numFmtId="164" fontId="34" fillId="0" borderId="1" applyAlignment="1" pivotButton="0" quotePrefix="0" xfId="60">
      <alignment horizontal="right" vertical="center"/>
    </xf>
    <xf numFmtId="164" fontId="34" fillId="0" borderId="1" applyAlignment="1" pivotButton="0" quotePrefix="0" xfId="61">
      <alignment vertical="center"/>
    </xf>
    <xf numFmtId="49" fontId="34" fillId="0" borderId="1" applyAlignment="1" pivotButton="0" quotePrefix="1" xfId="60">
      <alignment horizontal="center" vertical="center"/>
    </xf>
    <xf numFmtId="0" fontId="38" fillId="0" borderId="31" applyAlignment="1" pivotButton="0" quotePrefix="0" xfId="60">
      <alignment horizontal="right" vertical="center"/>
    </xf>
    <xf numFmtId="0" fontId="34" fillId="0" borderId="2" applyAlignment="1" pivotButton="0" quotePrefix="1" xfId="60">
      <alignment vertical="center"/>
    </xf>
    <xf numFmtId="0" fontId="44" fillId="0" borderId="1" applyAlignment="1" pivotButton="0" quotePrefix="0" xfId="60">
      <alignment horizontal="center" vertical="center"/>
    </xf>
    <xf numFmtId="0" fontId="44" fillId="0" borderId="1" applyAlignment="1" pivotButton="0" quotePrefix="0" xfId="60">
      <alignment horizontal="left" vertical="center"/>
    </xf>
    <xf numFmtId="49" fontId="34" fillId="0" borderId="2" applyAlignment="1" pivotButton="0" quotePrefix="1" xfId="60">
      <alignment horizontal="center" vertical="center"/>
    </xf>
    <xf numFmtId="0" fontId="38" fillId="0" borderId="0" applyAlignment="1" pivotButton="0" quotePrefix="0" xfId="60">
      <alignment horizontal="right" vertical="center"/>
    </xf>
    <xf numFmtId="164" fontId="34" fillId="0" borderId="23" applyAlignment="1" pivotButton="0" quotePrefix="0" xfId="60">
      <alignment horizontal="right" vertical="center"/>
    </xf>
    <xf numFmtId="9" fontId="34" fillId="0" borderId="27" applyAlignment="1" pivotButton="0" quotePrefix="0" xfId="60">
      <alignment horizontal="right" vertical="center"/>
    </xf>
    <xf numFmtId="164" fontId="38" fillId="0" borderId="31" applyAlignment="1" pivotButton="0" quotePrefix="0" xfId="60">
      <alignment horizontal="right" vertical="center"/>
    </xf>
    <xf numFmtId="0" fontId="34" fillId="0" borderId="2" applyAlignment="1" pivotButton="0" quotePrefix="1" xfId="60">
      <alignment horizontal="center" vertical="center"/>
    </xf>
    <xf numFmtId="164" fontId="38" fillId="0" borderId="15" applyAlignment="1" pivotButton="0" quotePrefix="0" xfId="60">
      <alignment vertical="center"/>
    </xf>
    <xf numFmtId="164" fontId="38" fillId="0" borderId="34" applyAlignment="1" pivotButton="0" quotePrefix="0" xfId="60">
      <alignment vertical="center"/>
    </xf>
    <xf numFmtId="164" fontId="45" fillId="0" borderId="33" applyAlignment="1" pivotButton="0" quotePrefix="0" xfId="60">
      <alignment vertical="center"/>
    </xf>
    <xf numFmtId="0" fontId="34" fillId="0" borderId="2" pivotButton="0" quotePrefix="0" xfId="60"/>
    <xf numFmtId="164" fontId="2" fillId="0" borderId="0" pivotButton="0" quotePrefix="0" xfId="60"/>
    <xf numFmtId="3" fontId="45" fillId="10" borderId="1" applyAlignment="1" pivotButton="0" quotePrefix="0" xfId="0">
      <alignment vertical="center"/>
    </xf>
    <xf numFmtId="43" fontId="21" fillId="0" borderId="19" applyAlignment="1" pivotButton="0" quotePrefix="0" xfId="0">
      <alignment horizontal="center" vertical="center" wrapText="1"/>
    </xf>
    <xf numFmtId="3" fontId="21" fillId="0" borderId="1" applyAlignment="1" pivotButton="0" quotePrefix="0" xfId="0">
      <alignment vertical="center" wrapText="1"/>
    </xf>
    <xf numFmtId="3" fontId="21" fillId="0" borderId="9" applyAlignment="1" pivotButton="0" quotePrefix="0" xfId="0">
      <alignment vertical="center" wrapText="1"/>
    </xf>
    <xf numFmtId="49" fontId="21" fillId="0" borderId="18" applyAlignment="1" pivotButton="0" quotePrefix="0" xfId="0">
      <alignment horizontal="center" vertical="center" wrapText="1"/>
    </xf>
    <xf numFmtId="43" fontId="21" fillId="0" borderId="4" applyAlignment="1" pivotButton="0" quotePrefix="0" xfId="0">
      <alignment horizontal="center" vertical="center" wrapText="1"/>
    </xf>
    <xf numFmtId="49" fontId="21" fillId="0" borderId="4" applyAlignment="1" pivotButton="0" quotePrefix="0" xfId="0">
      <alignment horizontal="center" vertical="center" wrapText="1"/>
    </xf>
    <xf numFmtId="43" fontId="21" fillId="0" borderId="18" applyAlignment="1" pivotButton="0" quotePrefix="0" xfId="0">
      <alignment horizontal="center" vertical="center" wrapText="1"/>
    </xf>
    <xf numFmtId="3" fontId="21" fillId="10" borderId="8" applyAlignment="1" pivotButton="0" quotePrefix="0" xfId="0">
      <alignment horizontal="right" vertical="center"/>
    </xf>
    <xf numFmtId="0" fontId="21" fillId="10" borderId="1" applyAlignment="1" pivotButton="0" quotePrefix="0" xfId="0">
      <alignment vertical="center" wrapText="1"/>
    </xf>
    <xf numFmtId="0" fontId="21" fillId="10" borderId="1" applyAlignment="1" pivotButton="0" quotePrefix="0" xfId="0">
      <alignment horizontal="center" vertical="center"/>
    </xf>
    <xf numFmtId="3" fontId="21" fillId="10" borderId="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center" vertical="center"/>
    </xf>
    <xf numFmtId="3" fontId="21" fillId="10" borderId="1" applyAlignment="1" pivotButton="0" quotePrefix="0" xfId="0">
      <alignment vertical="center"/>
    </xf>
    <xf numFmtId="3" fontId="21" fillId="10" borderId="1" applyAlignment="1" pivotButton="0" quotePrefix="0" xfId="0">
      <alignment horizontal="right" vertical="center"/>
    </xf>
    <xf numFmtId="41" fontId="21" fillId="10" borderId="1" applyAlignment="1" pivotButton="0" quotePrefix="0" xfId="0">
      <alignment vertical="center"/>
    </xf>
    <xf numFmtId="3" fontId="21" fillId="10" borderId="1" applyAlignment="1" pivotButton="0" quotePrefix="1" xfId="0">
      <alignment vertical="center"/>
    </xf>
    <xf numFmtId="3" fontId="21" fillId="10" borderId="15" applyAlignment="1" pivotButton="0" quotePrefix="0" xfId="0">
      <alignment vertical="center" wrapText="1"/>
    </xf>
    <xf numFmtId="0" fontId="21" fillId="10" borderId="1" pivotButton="0" quotePrefix="0" xfId="0"/>
    <xf numFmtId="0" fontId="21" fillId="10" borderId="1" applyAlignment="1" pivotButton="0" quotePrefix="1" xfId="0">
      <alignment vertical="center" wrapText="1"/>
    </xf>
    <xf numFmtId="3" fontId="21" fillId="10" borderId="1" applyAlignment="1" pivotButton="0" quotePrefix="1" xfId="0">
      <alignment vertical="center" wrapText="1"/>
    </xf>
    <xf numFmtId="0" fontId="21" fillId="15" borderId="1" applyAlignment="1" pivotButton="0" quotePrefix="0" xfId="0">
      <alignment horizontal="center" vertical="center"/>
    </xf>
    <xf numFmtId="3" fontId="21" fillId="15" borderId="1" applyAlignment="1" pivotButton="0" quotePrefix="0" xfId="0">
      <alignment horizontal="center" vertical="center"/>
    </xf>
    <xf numFmtId="3" fontId="21" fillId="10" borderId="6" applyAlignment="1" pivotButton="0" quotePrefix="0" xfId="0">
      <alignment horizontal="right" vertical="center"/>
    </xf>
    <xf numFmtId="0" fontId="21" fillId="10" borderId="7" applyAlignment="1" pivotButton="0" quotePrefix="0" xfId="0">
      <alignment vertical="center" wrapText="1"/>
    </xf>
    <xf numFmtId="0" fontId="21" fillId="10" borderId="7" applyAlignment="1" pivotButton="0" quotePrefix="0" xfId="0">
      <alignment horizontal="center" vertical="center"/>
    </xf>
    <xf numFmtId="3" fontId="21" fillId="10" borderId="7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3" fontId="45" fillId="10" borderId="7" applyAlignment="1" pivotButton="0" quotePrefix="0" xfId="0">
      <alignment vertical="center"/>
    </xf>
    <xf numFmtId="3" fontId="21" fillId="10" borderId="7" applyAlignment="1" pivotButton="0" quotePrefix="0" xfId="0">
      <alignment vertical="center"/>
    </xf>
    <xf numFmtId="3" fontId="21" fillId="10" borderId="7" applyAlignment="1" pivotButton="0" quotePrefix="0" xfId="0">
      <alignment horizontal="right" vertical="center"/>
    </xf>
    <xf numFmtId="41" fontId="21" fillId="10" borderId="7" applyAlignment="1" pivotButton="0" quotePrefix="0" xfId="0">
      <alignment vertical="center"/>
    </xf>
    <xf numFmtId="3" fontId="21" fillId="10" borderId="7" applyAlignment="1" pivotButton="0" quotePrefix="1" xfId="0">
      <alignment vertical="center"/>
    </xf>
    <xf numFmtId="3" fontId="21" fillId="10" borderId="22" applyAlignment="1" pivotButton="0" quotePrefix="0" xfId="0">
      <alignment vertical="center" wrapText="1"/>
    </xf>
    <xf numFmtId="3" fontId="21" fillId="10" borderId="10" applyAlignment="1" pivotButton="0" quotePrefix="0" xfId="0">
      <alignment horizontal="right" vertical="center"/>
    </xf>
    <xf numFmtId="0" fontId="21" fillId="10" borderId="11" applyAlignment="1" pivotButton="0" quotePrefix="0" xfId="0">
      <alignment vertical="center" wrapText="1"/>
    </xf>
    <xf numFmtId="0" fontId="21" fillId="10" borderId="11" applyAlignment="1" pivotButton="0" quotePrefix="0" xfId="0">
      <alignment horizontal="center" vertical="center"/>
    </xf>
    <xf numFmtId="3" fontId="21" fillId="10" borderId="11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3" fontId="45" fillId="10" borderId="11" applyAlignment="1" pivotButton="0" quotePrefix="0" xfId="0">
      <alignment vertical="center"/>
    </xf>
    <xf numFmtId="3" fontId="21" fillId="10" borderId="11" applyAlignment="1" pivotButton="0" quotePrefix="0" xfId="0">
      <alignment vertical="center"/>
    </xf>
    <xf numFmtId="41" fontId="21" fillId="10" borderId="11" applyAlignment="1" pivotButton="0" quotePrefix="0" xfId="0">
      <alignment vertical="center"/>
    </xf>
    <xf numFmtId="3" fontId="21" fillId="10" borderId="16" applyAlignment="1" pivotButton="0" quotePrefix="0" xfId="0">
      <alignment vertical="center" wrapText="1"/>
    </xf>
    <xf numFmtId="0" fontId="21" fillId="10" borderId="7" applyAlignment="1" pivotButton="0" quotePrefix="0" xfId="0">
      <alignment horizontal="center" vertical="center" wrapText="1"/>
    </xf>
    <xf numFmtId="0" fontId="1" fillId="0" borderId="0" pivotButton="0" quotePrefix="1" xfId="60"/>
    <xf numFmtId="3" fontId="21" fillId="10" borderId="1" applyAlignment="1" pivotButton="0" quotePrefix="0" xfId="0">
      <alignment vertical="center" wrapText="1"/>
    </xf>
    <xf numFmtId="1" fontId="45" fillId="13" borderId="35" applyAlignment="1" pivotButton="0" quotePrefix="0" xfId="0">
      <alignment vertical="center"/>
    </xf>
    <xf numFmtId="0" fontId="48" fillId="13" borderId="35" applyAlignment="1" pivotButton="0" quotePrefix="0" xfId="0">
      <alignment horizontal="left" vertical="center"/>
    </xf>
    <xf numFmtId="166" fontId="45" fillId="13" borderId="35" applyAlignment="1" pivotButton="0" quotePrefix="0" xfId="0">
      <alignment horizontal="center" vertical="center"/>
    </xf>
    <xf numFmtId="1" fontId="45" fillId="13" borderId="21" applyAlignment="1" pivotButton="0" quotePrefix="0" xfId="0">
      <alignment vertical="center"/>
    </xf>
    <xf numFmtId="0" fontId="48" fillId="13" borderId="21" applyAlignment="1" pivotButton="0" quotePrefix="0" xfId="0">
      <alignment horizontal="left" vertical="center"/>
    </xf>
    <xf numFmtId="166" fontId="45" fillId="13" borderId="21" applyAlignment="1" pivotButton="0" quotePrefix="0" xfId="0">
      <alignment horizontal="center" vertical="center"/>
    </xf>
    <xf numFmtId="1" fontId="45" fillId="13" borderId="36" applyAlignment="1" pivotButton="0" quotePrefix="0" xfId="0">
      <alignment vertical="center"/>
    </xf>
    <xf numFmtId="0" fontId="48" fillId="13" borderId="36" applyAlignment="1" pivotButton="0" quotePrefix="0" xfId="0">
      <alignment horizontal="left" vertical="center"/>
    </xf>
    <xf numFmtId="166" fontId="45" fillId="13" borderId="36" applyAlignment="1" pivotButton="0" quotePrefix="0" xfId="0">
      <alignment horizontal="center" vertical="center"/>
    </xf>
    <xf numFmtId="1" fontId="45" fillId="16" borderId="21" applyAlignment="1" pivotButton="0" quotePrefix="0" xfId="0">
      <alignment vertical="center"/>
    </xf>
    <xf numFmtId="0" fontId="45" fillId="16" borderId="21" applyAlignment="1" pivotButton="0" quotePrefix="0" xfId="0">
      <alignment horizontal="center" vertical="center"/>
    </xf>
    <xf numFmtId="0" fontId="48" fillId="16" borderId="21" applyAlignment="1" pivotButton="0" quotePrefix="0" xfId="0">
      <alignment horizontal="left" vertical="center"/>
    </xf>
    <xf numFmtId="166" fontId="45" fillId="16" borderId="2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/>
    </xf>
    <xf numFmtId="0" fontId="28" fillId="0" borderId="17" applyAlignment="1" pivotButton="0" quotePrefix="0" xfId="0">
      <alignment horizontal="center" vertical="center" wrapText="1"/>
    </xf>
    <xf numFmtId="0" fontId="28" fillId="0" borderId="20" applyAlignment="1" pivotButton="0" quotePrefix="0" xfId="0">
      <alignment horizontal="center" vertical="center" wrapText="1"/>
    </xf>
    <xf numFmtId="3" fontId="22" fillId="0" borderId="6" applyAlignment="1" pivotButton="0" quotePrefix="0" xfId="0">
      <alignment horizontal="center" vertical="center" wrapText="1"/>
    </xf>
    <xf numFmtId="3" fontId="22" fillId="0" borderId="7" applyAlignment="1" pivotButton="0" quotePrefix="0" xfId="0">
      <alignment horizontal="center" vertical="center" wrapText="1"/>
    </xf>
    <xf numFmtId="3" fontId="22" fillId="0" borderId="8" applyAlignment="1" pivotButton="0" quotePrefix="0" xfId="0">
      <alignment horizontal="center" vertical="center" wrapText="1"/>
    </xf>
    <xf numFmtId="3" fontId="22" fillId="0" borderId="1" applyAlignment="1" pivotButton="0" quotePrefix="0" xfId="0">
      <alignment horizontal="center" vertical="center" wrapText="1"/>
    </xf>
    <xf numFmtId="43" fontId="22" fillId="0" borderId="7" applyAlignment="1" pivotButton="0" quotePrefix="0" xfId="0">
      <alignment horizontal="center" vertical="center"/>
    </xf>
    <xf numFmtId="43" fontId="21" fillId="0" borderId="7" applyAlignment="1" pivotButton="0" quotePrefix="0" xfId="0">
      <alignment horizontal="center" vertical="center"/>
    </xf>
    <xf numFmtId="43" fontId="21" fillId="0" borderId="4" applyAlignment="1" pivotButton="0" quotePrefix="0" xfId="0">
      <alignment horizontal="center" vertical="center"/>
    </xf>
    <xf numFmtId="43" fontId="21" fillId="0" borderId="13" applyAlignment="1" pivotButton="0" quotePrefix="0" xfId="0">
      <alignment horizontal="center" vertical="center" wrapText="1"/>
    </xf>
    <xf numFmtId="43" fontId="21" fillId="0" borderId="19" applyAlignment="1" pivotButton="0" quotePrefix="0" xfId="0">
      <alignment horizontal="center" vertical="center" wrapText="1"/>
    </xf>
    <xf numFmtId="43" fontId="21" fillId="0" borderId="14" applyAlignment="1" pivotButton="0" quotePrefix="0" xfId="0">
      <alignment horizontal="center" vertical="center" wrapText="1"/>
    </xf>
    <xf numFmtId="43" fontId="21" fillId="0" borderId="17" applyAlignment="1" pivotButton="0" quotePrefix="0" xfId="0">
      <alignment horizontal="center" vertical="center" wrapText="1"/>
    </xf>
    <xf numFmtId="0" fontId="35" fillId="10" borderId="24" applyAlignment="1" pivotButton="0" quotePrefix="1" xfId="0">
      <alignment horizontal="center" vertical="center"/>
    </xf>
    <xf numFmtId="0" fontId="35" fillId="10" borderId="25" applyAlignment="1" pivotButton="0" quotePrefix="1" xfId="0">
      <alignment horizontal="center" vertical="center"/>
    </xf>
    <xf numFmtId="0" fontId="35" fillId="10" borderId="37" applyAlignment="1" pivotButton="0" quotePrefix="1" xfId="0">
      <alignment horizontal="center" vertical="center"/>
    </xf>
    <xf numFmtId="0" fontId="26" fillId="0" borderId="0" applyAlignment="1" pivotButton="0" quotePrefix="0" xfId="0">
      <alignment horizontal="left" wrapText="1"/>
    </xf>
    <xf numFmtId="43" fontId="22" fillId="0" borderId="6" applyAlignment="1" pivotButton="0" quotePrefix="0" xfId="0">
      <alignment horizontal="center" vertical="center"/>
    </xf>
    <xf numFmtId="43" fontId="21" fillId="0" borderId="7" applyAlignment="1" pivotButton="0" quotePrefix="0" xfId="0">
      <alignment horizontal="center" vertical="center" wrapText="1"/>
    </xf>
    <xf numFmtId="3" fontId="22" fillId="0" borderId="10" applyAlignment="1" pivotButton="0" quotePrefix="0" xfId="0">
      <alignment horizontal="center" vertical="center" wrapText="1"/>
    </xf>
    <xf numFmtId="3" fontId="22" fillId="0" borderId="11" applyAlignment="1" pivotButton="0" quotePrefix="0" xfId="0">
      <alignment horizontal="center" vertical="center" wrapText="1"/>
    </xf>
    <xf numFmtId="3" fontId="21" fillId="0" borderId="11" applyAlignment="1" pivotButton="0" quotePrefix="0" xfId="0">
      <alignment horizontal="center" vertical="center" wrapText="1"/>
    </xf>
    <xf numFmtId="3" fontId="21" fillId="0" borderId="12" applyAlignment="1" pivotButton="0" quotePrefix="0" xfId="0">
      <alignment horizontal="center" vertical="center" wrapText="1"/>
    </xf>
    <xf numFmtId="0" fontId="34" fillId="0" borderId="15" applyAlignment="1" pivotButton="0" quotePrefix="0" xfId="60">
      <alignment horizontal="left"/>
    </xf>
    <xf numFmtId="0" fontId="34" fillId="0" borderId="33" applyAlignment="1" pivotButton="0" quotePrefix="0" xfId="60">
      <alignment horizontal="left"/>
    </xf>
    <xf numFmtId="0" fontId="34" fillId="0" borderId="34" applyAlignment="1" pivotButton="0" quotePrefix="0" xfId="60">
      <alignment horizontal="left"/>
    </xf>
    <xf numFmtId="0" fontId="39" fillId="0" borderId="0" applyAlignment="1" pivotButton="0" quotePrefix="0" xfId="60">
      <alignment horizontal="center"/>
    </xf>
    <xf numFmtId="0" fontId="40" fillId="0" borderId="26" applyAlignment="1" pivotButton="0" quotePrefix="0" xfId="60">
      <alignment horizontal="left" vertical="center" wrapText="1"/>
    </xf>
    <xf numFmtId="0" fontId="37" fillId="0" borderId="26" applyAlignment="1" pivotButton="0" quotePrefix="0" xfId="60">
      <alignment horizontal="left" vertical="center" wrapText="1"/>
    </xf>
    <xf numFmtId="0" fontId="37" fillId="0" borderId="27" applyAlignment="1" pivotButton="0" quotePrefix="0" xfId="60">
      <alignment horizontal="left" vertical="center" wrapText="1"/>
    </xf>
    <xf numFmtId="0" fontId="37" fillId="0" borderId="0" applyAlignment="1" pivotButton="0" quotePrefix="0" xfId="60">
      <alignment horizontal="left" vertical="center" wrapText="1"/>
    </xf>
    <xf numFmtId="0" fontId="37" fillId="0" borderId="29" applyAlignment="1" pivotButton="0" quotePrefix="0" xfId="60">
      <alignment horizontal="left" vertical="center" wrapText="1"/>
    </xf>
    <xf numFmtId="0" fontId="42" fillId="0" borderId="33" applyAlignment="1" pivotButton="0" quotePrefix="0" xfId="60">
      <alignment horizontal="center" vertical="center" wrapText="1"/>
    </xf>
    <xf numFmtId="0" fontId="38" fillId="0" borderId="15" applyAlignment="1" pivotButton="0" quotePrefix="0" xfId="60">
      <alignment horizontal="right" vertical="center"/>
    </xf>
    <xf numFmtId="0" fontId="38" fillId="0" borderId="33" applyAlignment="1" pivotButton="0" quotePrefix="0" xfId="60">
      <alignment horizontal="right" vertical="center"/>
    </xf>
    <xf numFmtId="0" fontId="34" fillId="0" borderId="4" applyAlignment="1" pivotButton="0" quotePrefix="1" xfId="60">
      <alignment horizontal="center" vertical="center" wrapText="1"/>
    </xf>
    <xf numFmtId="0" fontId="34" fillId="0" borderId="5" applyAlignment="1" pivotButton="0" quotePrefix="1" xfId="60">
      <alignment horizontal="center" vertical="center" wrapText="1"/>
    </xf>
    <xf numFmtId="0" fontId="34" fillId="0" borderId="1" applyAlignment="1" pivotButton="0" quotePrefix="0" xfId="60">
      <alignment horizontal="left" vertical="center"/>
    </xf>
    <xf numFmtId="0" fontId="38" fillId="0" borderId="30" applyAlignment="1" pivotButton="0" quotePrefix="0" xfId="60">
      <alignment horizontal="right" vertical="center"/>
    </xf>
    <xf numFmtId="0" fontId="38" fillId="0" borderId="31" applyAlignment="1" pivotButton="0" quotePrefix="0" xfId="60">
      <alignment horizontal="right" vertical="center"/>
    </xf>
    <xf numFmtId="0" fontId="17" fillId="5" borderId="4" applyAlignment="1" pivotButton="0" quotePrefix="0" xfId="2">
      <alignment horizontal="center" vertical="center" wrapText="1"/>
    </xf>
    <xf numFmtId="0" fontId="17" fillId="5" borderId="5" applyAlignment="1" pivotButton="0" quotePrefix="0" xfId="2">
      <alignment horizontal="center" vertical="center" wrapText="1"/>
    </xf>
    <xf numFmtId="0" fontId="17" fillId="5" borderId="2" applyAlignment="1" pivotButton="0" quotePrefix="0" xfId="2">
      <alignment horizontal="center" vertical="center" wrapText="1"/>
    </xf>
    <xf numFmtId="43" fontId="17" fillId="9" borderId="4" applyAlignment="1" pivotButton="0" quotePrefix="0" xfId="21">
      <alignment horizontal="center" vertical="center" wrapText="1"/>
    </xf>
    <xf numFmtId="43" fontId="17" fillId="9" borderId="2" applyAlignment="1" pivotButton="0" quotePrefix="0" xfId="21">
      <alignment horizontal="center" vertical="center" wrapText="1"/>
    </xf>
    <xf numFmtId="43" fontId="17" fillId="4" borderId="4" applyAlignment="1" pivotButton="0" quotePrefix="0" xfId="21">
      <alignment horizontal="center" vertical="center" wrapText="1"/>
    </xf>
    <xf numFmtId="43" fontId="17" fillId="4" borderId="2" applyAlignment="1" pivotButton="0" quotePrefix="0" xfId="21">
      <alignment horizontal="center" vertical="center" wrapText="1"/>
    </xf>
    <xf numFmtId="164" fontId="17" fillId="4" borderId="4" applyAlignment="1" pivotButton="0" quotePrefix="0" xfId="21">
      <alignment horizontal="center" vertical="center" wrapText="1"/>
    </xf>
    <xf numFmtId="164" fontId="17" fillId="4" borderId="2" applyAlignment="1" pivotButton="0" quotePrefix="0" xfId="21">
      <alignment horizontal="center" vertical="center" wrapText="1"/>
    </xf>
    <xf numFmtId="2" fontId="17" fillId="8" borderId="4" applyAlignment="1" pivotButton="0" quotePrefix="0" xfId="2">
      <alignment horizontal="center" vertical="center" wrapText="1"/>
    </xf>
    <xf numFmtId="2" fontId="17" fillId="8" borderId="5" applyAlignment="1" pivotButton="0" quotePrefix="0" xfId="2">
      <alignment horizontal="center" vertical="center" wrapText="1"/>
    </xf>
    <xf numFmtId="2" fontId="17" fillId="8" borderId="2" applyAlignment="1" pivotButton="0" quotePrefix="0" xfId="2">
      <alignment horizontal="center" vertical="center" wrapText="1"/>
    </xf>
    <xf numFmtId="0" fontId="21" fillId="10" borderId="0" applyAlignment="1" pivotButton="0" quotePrefix="0" xfId="0">
      <alignment vertical="center"/>
    </xf>
    <xf numFmtId="0" fontId="21" fillId="10" borderId="0" pivotButton="0" quotePrefix="0" xfId="0"/>
    <xf numFmtId="0" fontId="9" fillId="10" borderId="0" pivotButton="0" quotePrefix="0" xfId="0"/>
    <xf numFmtId="0" fontId="0" fillId="0" borderId="40" pivotButton="0" quotePrefix="0" xfId="0"/>
    <xf numFmtId="0" fontId="0" fillId="0" borderId="41" pivotButton="0" quotePrefix="0" xfId="0"/>
    <xf numFmtId="43" fontId="21" fillId="0" borderId="48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" pivotButton="0" quotePrefix="0" xfId="0"/>
    <xf numFmtId="0" fontId="0" fillId="0" borderId="47" pivotButton="0" quotePrefix="0" xfId="0"/>
    <xf numFmtId="0" fontId="0" fillId="0" borderId="45" pivotButton="0" quotePrefix="0" xfId="0"/>
    <xf numFmtId="0" fontId="35" fillId="10" borderId="50" applyAlignment="1" pivotButton="0" quotePrefix="1" xfId="0">
      <alignment horizontal="center" vertical="center"/>
    </xf>
    <xf numFmtId="0" fontId="0" fillId="0" borderId="25" pivotButton="0" quotePrefix="0" xfId="0"/>
    <xf numFmtId="0" fontId="0" fillId="0" borderId="37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2" pivotButton="0" quotePrefix="0" xfId="0"/>
    <xf numFmtId="0" fontId="0" fillId="0" borderId="43" pivotButton="0" quotePrefix="0" xfId="0"/>
    <xf numFmtId="164" fontId="28" fillId="0" borderId="0" pivotButton="0" quotePrefix="0" xfId="1"/>
    <xf numFmtId="0" fontId="40" fillId="0" borderId="27" applyAlignment="1" pivotButton="0" quotePrefix="0" xfId="6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165" fontId="36" fillId="0" borderId="31" applyAlignment="1" pivotButton="0" quotePrefix="0" xfId="61">
      <alignment horizontal="right" vertical="center"/>
    </xf>
    <xf numFmtId="0" fontId="34" fillId="0" borderId="1" applyAlignment="1" pivotButton="0" quotePrefix="0" xfId="60">
      <alignment horizontal="left"/>
    </xf>
    <xf numFmtId="164" fontId="34" fillId="0" borderId="4" applyAlignment="1" pivotButton="0" quotePrefix="0" xfId="61">
      <alignment horizontal="center" vertical="center"/>
    </xf>
    <xf numFmtId="164" fontId="34" fillId="0" borderId="1" applyAlignment="1" pivotButton="0" quotePrefix="0" xfId="61">
      <alignment horizontal="right" vertical="center"/>
    </xf>
    <xf numFmtId="164" fontId="34" fillId="0" borderId="4" applyAlignment="1" pivotButton="0" quotePrefix="0" xfId="60">
      <alignment vertical="center"/>
    </xf>
    <xf numFmtId="164" fontId="34" fillId="0" borderId="1" applyAlignment="1" pivotButton="0" quotePrefix="0" xfId="60">
      <alignment vertical="center"/>
    </xf>
    <xf numFmtId="164" fontId="38" fillId="0" borderId="1" applyAlignment="1" pivotButton="0" quotePrefix="0" xfId="60">
      <alignment horizontal="right" vertical="center"/>
    </xf>
    <xf numFmtId="164" fontId="34" fillId="0" borderId="4" applyAlignment="1" pivotButton="0" quotePrefix="0" xfId="61">
      <alignment vertical="center"/>
    </xf>
    <xf numFmtId="0" fontId="0" fillId="0" borderId="5" pivotButton="0" quotePrefix="0" xfId="0"/>
    <xf numFmtId="164" fontId="34" fillId="0" borderId="1" applyAlignment="1" pivotButton="0" quotePrefix="0" xfId="61">
      <alignment horizontal="center" vertical="center"/>
    </xf>
    <xf numFmtId="164" fontId="34" fillId="0" borderId="1" applyAlignment="1" pivotButton="0" quotePrefix="0" xfId="60">
      <alignment horizontal="center" vertical="center"/>
    </xf>
    <xf numFmtId="164" fontId="38" fillId="0" borderId="15" applyAlignment="1" pivotButton="0" quotePrefix="0" xfId="60">
      <alignment horizontal="right" vertical="center"/>
    </xf>
    <xf numFmtId="164" fontId="34" fillId="0" borderId="1" applyAlignment="1" pivotButton="0" quotePrefix="0" xfId="60">
      <alignment horizontal="right" vertical="center"/>
    </xf>
    <xf numFmtId="164" fontId="34" fillId="0" borderId="1" applyAlignment="1" pivotButton="0" quotePrefix="0" xfId="61">
      <alignment vertical="center"/>
    </xf>
    <xf numFmtId="0" fontId="0" fillId="0" borderId="31" pivotButton="0" quotePrefix="0" xfId="0"/>
    <xf numFmtId="164" fontId="34" fillId="0" borderId="23" applyAlignment="1" pivotButton="0" quotePrefix="0" xfId="60">
      <alignment horizontal="right" vertical="center"/>
    </xf>
    <xf numFmtId="164" fontId="38" fillId="0" borderId="31" applyAlignment="1" pivotButton="0" quotePrefix="0" xfId="60">
      <alignment horizontal="right" vertical="center"/>
    </xf>
    <xf numFmtId="164" fontId="38" fillId="0" borderId="15" applyAlignment="1" pivotButton="0" quotePrefix="0" xfId="60">
      <alignment vertical="center"/>
    </xf>
    <xf numFmtId="164" fontId="38" fillId="0" borderId="34" applyAlignment="1" pivotButton="0" quotePrefix="0" xfId="60">
      <alignment vertical="center"/>
    </xf>
    <xf numFmtId="164" fontId="45" fillId="0" borderId="33" applyAlignment="1" pivotButton="0" quotePrefix="0" xfId="60">
      <alignment vertical="center"/>
    </xf>
    <xf numFmtId="164" fontId="2" fillId="0" borderId="0" pivotButton="0" quotePrefix="0" xfId="60"/>
    <xf numFmtId="0" fontId="17" fillId="5" borderId="1" applyAlignment="1" pivotButton="0" quotePrefix="0" xfId="2">
      <alignment horizontal="center" vertical="center" wrapText="1"/>
    </xf>
    <xf numFmtId="2" fontId="17" fillId="8" borderId="1" applyAlignment="1" pivotButton="0" quotePrefix="0" xfId="2">
      <alignment horizontal="center" vertical="center" wrapText="1"/>
    </xf>
    <xf numFmtId="43" fontId="17" fillId="4" borderId="1" applyAlignment="1" pivotButton="0" quotePrefix="0" xfId="21">
      <alignment horizontal="center" vertical="center" wrapText="1"/>
    </xf>
    <xf numFmtId="164" fontId="17" fillId="4" borderId="1" applyAlignment="1" pivotButton="0" quotePrefix="0" xfId="21">
      <alignment horizontal="center" vertical="center" wrapText="1"/>
    </xf>
    <xf numFmtId="43" fontId="17" fillId="9" borderId="1" applyAlignment="1" pivotButton="0" quotePrefix="0" xfId="21">
      <alignment horizontal="center" vertical="center" wrapText="1"/>
    </xf>
  </cellXfs>
  <cellStyles count="62">
    <cellStyle name="Normal" xfId="0" builtinId="0"/>
    <cellStyle name="Comma" xfId="1" builtinId="3"/>
    <cellStyle name="Normal 2" xfId="2"/>
    <cellStyle name="Normal 120" xfId="3"/>
    <cellStyle name="Normal 134" xfId="4"/>
    <cellStyle name="Normal 138" xfId="5"/>
    <cellStyle name="Normal 143" xfId="6"/>
    <cellStyle name="Normal 146" xfId="7"/>
    <cellStyle name="Normal 3" xfId="8"/>
    <cellStyle name="Comma 2" xfId="9"/>
    <cellStyle name="Comma 6" xfId="10"/>
    <cellStyle name="Normal 4" xfId="11"/>
    <cellStyle name="Note 2" xfId="12"/>
    <cellStyle name="標準_NOV 09" xfId="13"/>
    <cellStyle name="Normal 5" xfId="14"/>
    <cellStyle name="Comma 3" xfId="15"/>
    <cellStyle name="Note 3" xfId="16"/>
    <cellStyle name="Normal 6" xfId="17"/>
    <cellStyle name="Comma 4" xfId="18"/>
    <cellStyle name="Note 4" xfId="19"/>
    <cellStyle name="Normal 7" xfId="20"/>
    <cellStyle name="Comma 7" xfId="21"/>
    <cellStyle name="Note 5" xfId="22"/>
    <cellStyle name="Comma 5" xfId="23"/>
    <cellStyle name="Normal 3 2" xfId="24"/>
    <cellStyle name="Comma 2 2" xfId="25"/>
    <cellStyle name="Note 2 2" xfId="26"/>
    <cellStyle name="Normal 5 2" xfId="27"/>
    <cellStyle name="Comma 3 2" xfId="28"/>
    <cellStyle name="Note 3 2" xfId="29"/>
    <cellStyle name="Normal 6 2" xfId="30"/>
    <cellStyle name="Comma 4 2" xfId="31"/>
    <cellStyle name="Note 4 2" xfId="32"/>
    <cellStyle name="Normal 8" xfId="33"/>
    <cellStyle name="Normal 3 3" xfId="34"/>
    <cellStyle name="Comma 2 3" xfId="35"/>
    <cellStyle name="Note 2 3" xfId="36"/>
    <cellStyle name="Normal 5 3" xfId="37"/>
    <cellStyle name="Comma 3 3" xfId="38"/>
    <cellStyle name="Note 3 3" xfId="39"/>
    <cellStyle name="Normal 6 3" xfId="40"/>
    <cellStyle name="Comma 4 3" xfId="41"/>
    <cellStyle name="Note 4 3" xfId="42"/>
    <cellStyle name="Normal 7 2" xfId="43"/>
    <cellStyle name="Comma 7 2" xfId="44"/>
    <cellStyle name="Note 5 2" xfId="45"/>
    <cellStyle name="Normal 3 2 2" xfId="46"/>
    <cellStyle name="Comma 2 2 2" xfId="47"/>
    <cellStyle name="Note 2 2 2" xfId="48"/>
    <cellStyle name="Normal 5 2 2" xfId="49"/>
    <cellStyle name="Comma 3 2 2" xfId="50"/>
    <cellStyle name="Note 3 2 2" xfId="51"/>
    <cellStyle name="Normal 6 2 2" xfId="52"/>
    <cellStyle name="Comma 4 2 2" xfId="53"/>
    <cellStyle name="Note 4 2 2" xfId="54"/>
    <cellStyle name="Comma 8" xfId="55"/>
    <cellStyle name="Normal 9" xfId="56"/>
    <cellStyle name="Comma 9" xfId="57"/>
    <cellStyle name="Normal 10" xfId="58"/>
    <cellStyle name="Comma 10" xfId="59"/>
    <cellStyle name="Normal 10 2" xfId="60"/>
    <cellStyle name="Comma 10 2" xfId="6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228600</colOff>
      <row>0</row>
      <rowOff>54429</rowOff>
    </from>
    <to>
      <col>1</col>
      <colOff>812689</colOff>
      <row>2</row>
      <rowOff>257175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8600" y="54429"/>
          <a:ext cx="954203" cy="790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133350</colOff>
      <row>0</row>
      <rowOff>28575</rowOff>
    </from>
    <to>
      <col>1</col>
      <colOff>150293</colOff>
      <row>4</row>
      <rowOff>87630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3350" y="28575"/>
          <a:ext cx="969443" cy="7956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133350</colOff>
      <row>0</row>
      <rowOff>28575</rowOff>
    </from>
    <to>
      <col>1</col>
      <colOff>150293</colOff>
      <row>4</row>
      <rowOff>87630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3350" y="28575"/>
          <a:ext cx="969443" cy="7956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B197"/>
  <sheetViews>
    <sheetView tabSelected="1" topLeftCell="A21" zoomScale="70" zoomScaleNormal="70" zoomScaleSheetLayoutView="40" zoomScalePageLayoutView="40" workbookViewId="0">
      <selection activeCell="A18" sqref="A18"/>
    </sheetView>
  </sheetViews>
  <sheetFormatPr baseColWidth="8" defaultColWidth="9.08984375" defaultRowHeight="15.5"/>
  <cols>
    <col width="5.36328125" customWidth="1" style="16" min="1" max="1"/>
    <col width="16" customWidth="1" style="16" min="2" max="2"/>
    <col width="21.1796875" customWidth="1" style="25" min="3" max="3"/>
    <col width="32.54296875" customWidth="1" style="25" min="4" max="4"/>
    <col width="13.7265625" customWidth="1" style="40" min="5" max="5"/>
    <col width="27.7265625" customWidth="1" style="16" min="6" max="6"/>
    <col width="11.36328125" customWidth="1" style="16" min="7" max="7"/>
    <col hidden="1" width="13.54296875" customWidth="1" style="16" min="8" max="8"/>
    <col hidden="1" width="13.36328125" customWidth="1" style="16" min="9" max="9"/>
    <col width="12.81640625" customWidth="1" style="16" min="10" max="10"/>
    <col width="16.1796875" customWidth="1" style="18" min="11" max="11"/>
    <col width="14" bestFit="1" customWidth="1" style="18" min="12" max="12"/>
    <col width="15.36328125" customWidth="1" style="18" min="13" max="13"/>
    <col hidden="1" width="11" customWidth="1" style="16" min="14" max="14"/>
    <col width="11" customWidth="1" style="16" min="15" max="15"/>
    <col hidden="1" width="11" customWidth="1" style="16" min="16" max="22"/>
    <col width="11" customWidth="1" style="16" min="23" max="23"/>
    <col width="12.08984375" bestFit="1" customWidth="1" style="16" min="24" max="24"/>
    <col hidden="1" width="11.453125" customWidth="1" style="16" min="25" max="28"/>
    <col width="18.453125" bestFit="1" customWidth="1" style="16" min="29" max="29"/>
    <col width="16.7265625" customWidth="1" style="16" min="30" max="30"/>
    <col width="17.6328125" customWidth="1" style="20" min="31" max="31"/>
    <col width="16.90625" customWidth="1" style="16" min="32" max="32"/>
    <col width="15.81640625" customWidth="1" style="16" min="33" max="33"/>
    <col width="15.6328125" customWidth="1" style="16" min="34" max="34"/>
    <col width="9.08984375" customWidth="1" style="16" min="35" max="35"/>
    <col width="13.90625" bestFit="1" customWidth="1" style="16" min="36" max="36"/>
    <col width="9.08984375" customWidth="1" style="16" min="37" max="248"/>
    <col width="9.08984375" customWidth="1" style="16" min="249" max="16384"/>
  </cols>
  <sheetData>
    <row r="1" ht="23.4" customHeight="1">
      <c r="A1" s="14" t="n"/>
      <c r="B1" s="14" t="n"/>
      <c r="C1" s="15" t="inlineStr">
        <is>
          <t>CÔNG TY TNHH THƯƠNG MẠI VÀ DỊCH VỤ 5P VIỆT NAM</t>
        </is>
      </c>
      <c r="D1" s="15" t="n"/>
      <c r="F1" s="14" t="n"/>
      <c r="G1" s="17" t="n"/>
      <c r="AB1" s="19" t="n"/>
    </row>
    <row r="2" ht="23.4" customHeight="1">
      <c r="A2" s="21" t="n"/>
      <c r="B2" s="21" t="n"/>
      <c r="C2" s="15" t="inlineStr">
        <is>
          <t>Số nhà 02 Ngõ 1H Phố Trần Quang Diệu, Phường Đống Đa, Thành phố Hà Nội, Việt Nam</t>
        </is>
      </c>
      <c r="D2" s="15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AB2" s="19" t="n"/>
    </row>
    <row r="3" ht="23.4" customHeight="1">
      <c r="A3" s="22" t="n"/>
      <c r="C3" s="22" t="inlineStr">
        <is>
          <t>MST: 0110523309</t>
        </is>
      </c>
      <c r="D3" s="22" t="n"/>
      <c r="AB3" s="19" t="n"/>
    </row>
    <row r="4" ht="23.4" customHeight="1">
      <c r="A4" s="22" t="n"/>
      <c r="C4" s="22" t="n"/>
      <c r="D4" s="22" t="n"/>
      <c r="AB4" s="19" t="n"/>
    </row>
    <row r="5" ht="22.5" customHeight="1">
      <c r="A5" s="216" t="inlineStr">
        <is>
          <t>BẢNG KÊ CHI TIẾT DỊCH VỤ HÀNG XUẤT THÁNG {MM} NĂM 2026</t>
        </is>
      </c>
      <c r="AG5" s="62" t="n"/>
    </row>
    <row r="6">
      <c r="A6" s="23" t="n"/>
      <c r="B6" s="23" t="n"/>
      <c r="C6" s="23" t="n"/>
      <c r="D6" s="23" t="n"/>
      <c r="E6" s="41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</row>
    <row r="7">
      <c r="B7" s="23" t="inlineStr">
        <is>
          <t>KÍNH GỬI :  CÔNG TY TNHH DAINESE VIỆT NAM</t>
        </is>
      </c>
      <c r="C7" s="24" t="n"/>
      <c r="D7" s="24" t="n"/>
      <c r="AB7" s="19" t="n"/>
    </row>
    <row r="8">
      <c r="B8" s="23" t="inlineStr">
        <is>
          <t>Địa chỉ : Lô CN13, Lô CN18, Khu Công nghiệp Yên Bình, Phường Vạn Xuân, Tỉnh Thái Nguyên, Việt Nam</t>
        </is>
      </c>
      <c r="V8" s="26" t="n"/>
      <c r="W8" s="26" t="n"/>
    </row>
    <row r="9">
      <c r="B9" s="23" t="inlineStr">
        <is>
          <t>Attn:   Ms. Huyền</t>
        </is>
      </c>
      <c r="V9" s="26" t="n"/>
      <c r="W9" s="26" t="n"/>
      <c r="AG9" s="19" t="n"/>
    </row>
    <row r="10" ht="16" customHeight="1" thickBot="1">
      <c r="O10" s="19" t="n"/>
      <c r="P10" s="19" t="n"/>
      <c r="T10" s="19" t="n"/>
      <c r="X10" s="19" t="n"/>
      <c r="AC10" s="19" t="n"/>
    </row>
    <row r="11" ht="30.5" customHeight="1">
      <c r="A11" s="234" t="inlineStr">
        <is>
          <t>Thông tin chung</t>
        </is>
      </c>
      <c r="B11" s="272" t="n"/>
      <c r="C11" s="272" t="n"/>
      <c r="D11" s="272" t="n"/>
      <c r="E11" s="272" t="n"/>
      <c r="F11" s="272" t="n"/>
      <c r="G11" s="273" t="n"/>
      <c r="H11" s="223" t="inlineStr">
        <is>
          <t>Khổi lượng</t>
        </is>
      </c>
      <c r="I11" s="273" t="n"/>
      <c r="J11" s="224" t="inlineStr">
        <is>
          <t>Luồng</t>
        </is>
      </c>
      <c r="K11" s="223" t="inlineStr">
        <is>
          <t xml:space="preserve">Phí dịch vụ làm hàng  ( VND) </t>
        </is>
      </c>
      <c r="L11" s="272" t="n"/>
      <c r="M11" s="272" t="n"/>
      <c r="N11" s="272" t="n"/>
      <c r="O11" s="272" t="n"/>
      <c r="P11" s="272" t="n"/>
      <c r="Q11" s="272" t="n"/>
      <c r="R11" s="272" t="n"/>
      <c r="S11" s="272" t="n"/>
      <c r="T11" s="272" t="n"/>
      <c r="U11" s="272" t="n"/>
      <c r="V11" s="272" t="n"/>
      <c r="W11" s="272" t="n"/>
      <c r="X11" s="273" t="n"/>
      <c r="Y11" s="235" t="inlineStr">
        <is>
          <t>Phí trả hộ</t>
        </is>
      </c>
      <c r="Z11" s="272" t="n"/>
      <c r="AA11" s="272" t="n"/>
      <c r="AB11" s="273" t="n"/>
      <c r="AC11" s="226" t="inlineStr">
        <is>
          <t xml:space="preserve">Tổng tiền phải trả </t>
        </is>
      </c>
      <c r="AD11" s="274" t="inlineStr">
        <is>
          <t>Thu chi hộ</t>
        </is>
      </c>
      <c r="AE11" s="275" t="n"/>
      <c r="AF11" s="217" t="inlineStr">
        <is>
          <t>Số hóa đơn của forwarder</t>
        </is>
      </c>
      <c r="AG11" s="45" t="n"/>
    </row>
    <row r="12" ht="36" customFormat="1" customHeight="1" s="44" thickBot="1">
      <c r="A12" s="161" t="inlineStr">
        <is>
          <t>No.</t>
        </is>
      </c>
      <c r="B12" s="162" t="inlineStr">
        <is>
          <t>Tờ khai</t>
        </is>
      </c>
      <c r="C12" s="162" t="inlineStr">
        <is>
          <t>Hóa đơn thương mại</t>
        </is>
      </c>
      <c r="D12" s="162" t="inlineStr">
        <is>
          <t>Note</t>
        </is>
      </c>
      <c r="E12" s="163" t="inlineStr">
        <is>
          <t>Ngày tờ khai</t>
        </is>
      </c>
      <c r="F12" s="162" t="inlineStr">
        <is>
          <t>Tuyến đường</t>
        </is>
      </c>
      <c r="G12" s="162" t="inlineStr">
        <is>
          <t>Loại hình</t>
        </is>
      </c>
      <c r="H12" s="162" t="inlineStr">
        <is>
          <t>Kgs</t>
        </is>
      </c>
      <c r="I12" s="162" t="inlineStr">
        <is>
          <t>No. Cont</t>
        </is>
      </c>
      <c r="J12" s="276" t="n"/>
      <c r="K12" s="162" t="inlineStr">
        <is>
          <t>Phí mở tờ khai hải quan</t>
        </is>
      </c>
      <c r="L12" s="162" t="inlineStr">
        <is>
          <t>Phí kiểm hóa</t>
        </is>
      </c>
      <c r="M12" s="162" t="inlineStr">
        <is>
          <t>Phí vận chuyển</t>
        </is>
      </c>
      <c r="N12" s="162" t="inlineStr">
        <is>
          <t>Phí làm hàng</t>
        </is>
      </c>
      <c r="O12" s="162" t="inlineStr">
        <is>
          <t>Phí phát sinh khác</t>
        </is>
      </c>
      <c r="P12" s="162" t="inlineStr">
        <is>
          <t>Phí phục vụ kiểm hóa tại cảng</t>
        </is>
      </c>
      <c r="Q12" s="162" t="inlineStr">
        <is>
          <t>Phí đầu nước ngoài</t>
        </is>
      </c>
      <c r="R12" s="162" t="inlineStr">
        <is>
          <t>Cước vận tải quốc tế</t>
        </is>
      </c>
      <c r="S12" s="162" t="inlineStr">
        <is>
          <t>Phí xếp dỡ (THC)</t>
        </is>
      </c>
      <c r="T12" s="162" t="inlineStr">
        <is>
          <t>Phí gom hàng lẻ (CFS)/
CIC/ LSS</t>
        </is>
      </c>
      <c r="U12" s="162" t="inlineStr">
        <is>
          <t>Phí lấy lệnh  (DO)</t>
        </is>
      </c>
      <c r="V12" s="162" t="inlineStr">
        <is>
          <t>Phí  đại lý,</t>
        </is>
      </c>
      <c r="W12" s="162" t="inlineStr">
        <is>
          <t>Phụ phí xăng dầu</t>
        </is>
      </c>
      <c r="X12" s="162" t="inlineStr">
        <is>
          <t>Tổng</t>
        </is>
      </c>
      <c r="Y12" s="162" t="inlineStr">
        <is>
          <t>Local charge</t>
        </is>
      </c>
      <c r="Z12" s="162" t="inlineStr">
        <is>
          <t>CSHT, thuế</t>
        </is>
      </c>
      <c r="AA12" s="162" t="inlineStr">
        <is>
          <t>Lưu kho giao nhận bốc xếp, nâng hạ</t>
        </is>
      </c>
      <c r="AB12" s="162" t="inlineStr">
        <is>
          <t>Tổng phí trả hộ</t>
        </is>
      </c>
      <c r="AC12" s="277" t="n"/>
      <c r="AD12" s="164" t="inlineStr">
        <is>
          <t>HĐ TCH</t>
        </is>
      </c>
      <c r="AE12" s="227" t="inlineStr">
        <is>
          <t>Total</t>
        </is>
      </c>
      <c r="AF12" s="278" t="n"/>
      <c r="AG12" s="16" t="n"/>
    </row>
    <row r="13" ht="33" customFormat="1" customHeight="1" s="50">
      <c r="A13" s="180" t="n">
        <v>1</v>
      </c>
      <c r="B13" s="203" t="n">
        <v>308272507560</v>
      </c>
      <c r="C13" s="184" t="inlineStr">
        <is>
          <t xml:space="preserve">V126000006  </t>
        </is>
      </c>
      <c r="D13" s="204" t="inlineStr">
        <is>
          <t>MAVETS.R.L.</t>
        </is>
      </c>
      <c r="E13" s="205" t="n">
        <v>46079</v>
      </c>
      <c r="F13" s="181" t="n"/>
      <c r="G13" s="184" t="inlineStr">
        <is>
          <t>DHL</t>
        </is>
      </c>
      <c r="H13" s="182" t="inlineStr">
        <is>
          <t>17</t>
        </is>
      </c>
      <c r="I13" s="183" t="n"/>
      <c r="J13" s="184" t="inlineStr">
        <is>
          <t>Xanh</t>
        </is>
      </c>
      <c r="K13" s="185" t="n">
        <v>600000</v>
      </c>
      <c r="L13" s="185" t="n"/>
      <c r="M13" s="186" t="n"/>
      <c r="N13" s="187" t="n"/>
      <c r="O13" s="187" t="n"/>
      <c r="P13" s="186" t="n"/>
      <c r="Q13" s="186" t="n"/>
      <c r="R13" s="186" t="n"/>
      <c r="S13" s="186" t="n"/>
      <c r="T13" s="186" t="n"/>
      <c r="U13" s="186" t="n"/>
      <c r="V13" s="186" t="n"/>
      <c r="W13" s="188">
        <f>M13*0.145</f>
        <v/>
      </c>
      <c r="X13" s="186">
        <f>SUM(K13:W13)</f>
        <v/>
      </c>
      <c r="Y13" s="186" t="n"/>
      <c r="Z13" s="186" t="n"/>
      <c r="AA13" s="186" t="n"/>
      <c r="AB13" s="186">
        <f>SUM(Y13:AA13)</f>
        <v/>
      </c>
      <c r="AC13" s="186">
        <f>+X13+AB13</f>
        <v/>
      </c>
      <c r="AD13" s="189" t="n"/>
      <c r="AE13" s="190" t="n"/>
      <c r="AF13" s="279" t="inlineStr">
        <is>
          <t>00000227</t>
        </is>
      </c>
      <c r="AG13" s="48" t="n"/>
      <c r="AH13" s="49" t="n"/>
      <c r="AI13" s="49" t="n"/>
      <c r="AJ13" s="49" t="n"/>
      <c r="AK13" s="49" t="n"/>
      <c r="AL13" s="49" t="n"/>
      <c r="AM13" s="49" t="n"/>
      <c r="AN13" s="49" t="n"/>
      <c r="AO13" s="49" t="n"/>
      <c r="AP13" s="49" t="n"/>
      <c r="AQ13" s="49" t="n"/>
      <c r="AR13" s="49" t="n"/>
      <c r="AS13" s="49" t="n"/>
      <c r="AT13" s="49" t="n"/>
      <c r="AU13" s="49" t="n"/>
      <c r="AV13" s="49" t="n"/>
      <c r="AW13" s="49" t="n"/>
      <c r="AX13" s="49" t="n"/>
      <c r="AY13" s="49" t="n"/>
      <c r="AZ13" s="49" t="n"/>
      <c r="BA13" s="49" t="n"/>
      <c r="BB13" s="49" t="n"/>
      <c r="BC13" s="49" t="n"/>
      <c r="BD13" s="49" t="n"/>
      <c r="BE13" s="49" t="n"/>
      <c r="BF13" s="49" t="n"/>
      <c r="BG13" s="49" t="n"/>
      <c r="BH13" s="49" t="n"/>
      <c r="BI13" s="49" t="n"/>
      <c r="BJ13" s="49" t="n"/>
      <c r="BK13" s="49" t="n"/>
      <c r="BL13" s="49" t="n"/>
      <c r="BM13" s="49" t="n"/>
      <c r="BN13" s="49" t="n"/>
      <c r="BO13" s="49" t="n"/>
      <c r="BP13" s="49" t="n"/>
      <c r="BQ13" s="49" t="n"/>
      <c r="BR13" s="49" t="n"/>
      <c r="BS13" s="49" t="n"/>
      <c r="BT13" s="49" t="n"/>
      <c r="BU13" s="49" t="n"/>
      <c r="BV13" s="49" t="n"/>
      <c r="BW13" s="49" t="n"/>
      <c r="BX13" s="49" t="n"/>
      <c r="BY13" s="49" t="n"/>
      <c r="BZ13" s="49" t="n"/>
      <c r="CA13" s="49" t="n"/>
      <c r="CB13" s="49" t="n"/>
      <c r="CC13" s="49" t="n"/>
      <c r="CD13" s="49" t="n"/>
      <c r="CE13" s="49" t="n"/>
      <c r="CF13" s="49" t="n"/>
      <c r="CG13" s="49" t="n"/>
      <c r="CH13" s="49" t="n"/>
      <c r="CI13" s="49" t="n"/>
      <c r="CJ13" s="49" t="n"/>
      <c r="CK13" s="49" t="n"/>
      <c r="CL13" s="49" t="n"/>
      <c r="CM13" s="49" t="n"/>
      <c r="CN13" s="49" t="n"/>
      <c r="CO13" s="49" t="n"/>
      <c r="CP13" s="49" t="n"/>
      <c r="CQ13" s="49" t="n"/>
      <c r="CR13" s="49" t="n"/>
      <c r="CS13" s="49" t="n"/>
      <c r="CT13" s="49" t="n"/>
      <c r="CU13" s="49" t="n"/>
      <c r="CV13" s="49" t="n"/>
      <c r="CW13" s="49" t="n"/>
      <c r="CX13" s="49" t="n"/>
      <c r="CY13" s="49" t="n"/>
      <c r="CZ13" s="49" t="n"/>
      <c r="DA13" s="49" t="n"/>
      <c r="DB13" s="49" t="n"/>
      <c r="DC13" s="49" t="n"/>
      <c r="DD13" s="49" t="n"/>
      <c r="DE13" s="49" t="n"/>
      <c r="DF13" s="49" t="n"/>
      <c r="DG13" s="49" t="n"/>
      <c r="DH13" s="49" t="n"/>
      <c r="DI13" s="49" t="n"/>
      <c r="DJ13" s="49" t="n"/>
      <c r="DK13" s="49" t="n"/>
      <c r="DL13" s="49" t="n"/>
      <c r="DM13" s="49" t="n"/>
      <c r="DN13" s="49" t="n"/>
      <c r="DO13" s="49" t="n"/>
      <c r="DP13" s="49" t="n"/>
      <c r="DQ13" s="49" t="n"/>
      <c r="DR13" s="49" t="n"/>
      <c r="DS13" s="49" t="n"/>
      <c r="DT13" s="49" t="n"/>
      <c r="DU13" s="49" t="n"/>
      <c r="DV13" s="49" t="n"/>
      <c r="DW13" s="49" t="n"/>
      <c r="DX13" s="49" t="n"/>
      <c r="DY13" s="49" t="n"/>
      <c r="DZ13" s="49" t="n"/>
      <c r="EA13" s="49" t="n"/>
      <c r="EB13" s="49" t="n"/>
      <c r="EC13" s="49" t="n"/>
      <c r="ED13" s="49" t="n"/>
      <c r="EE13" s="49" t="n"/>
      <c r="EF13" s="49" t="n"/>
      <c r="EG13" s="49" t="n"/>
      <c r="EH13" s="49" t="n"/>
      <c r="EI13" s="49" t="n"/>
      <c r="EJ13" s="49" t="n"/>
      <c r="EK13" s="49" t="n"/>
      <c r="EL13" s="49" t="n"/>
      <c r="EM13" s="49" t="n"/>
      <c r="EN13" s="49" t="n"/>
      <c r="EO13" s="49" t="n"/>
      <c r="EP13" s="49" t="n"/>
      <c r="EQ13" s="49" t="n"/>
      <c r="ER13" s="49" t="n"/>
      <c r="ES13" s="49" t="n"/>
      <c r="ET13" s="49" t="n"/>
      <c r="EU13" s="49" t="n"/>
      <c r="EV13" s="49" t="n"/>
      <c r="EW13" s="49" t="n"/>
      <c r="EX13" s="49" t="n"/>
      <c r="EY13" s="49" t="n"/>
      <c r="EZ13" s="49" t="n"/>
      <c r="FA13" s="49" t="n"/>
      <c r="FB13" s="49" t="n"/>
      <c r="FC13" s="49" t="n"/>
      <c r="FD13" s="49" t="n"/>
      <c r="FE13" s="49" t="n"/>
      <c r="FF13" s="49" t="n"/>
      <c r="FG13" s="49" t="n"/>
      <c r="FH13" s="49" t="n"/>
      <c r="FI13" s="49" t="n"/>
      <c r="FJ13" s="49" t="n"/>
      <c r="FK13" s="49" t="n"/>
      <c r="FL13" s="49" t="n"/>
      <c r="FM13" s="49" t="n"/>
      <c r="FN13" s="49" t="n"/>
      <c r="FO13" s="49" t="n"/>
      <c r="FP13" s="49" t="n"/>
      <c r="FQ13" s="49" t="n"/>
      <c r="FR13" s="49" t="n"/>
      <c r="FS13" s="49" t="n"/>
      <c r="FT13" s="49" t="n"/>
      <c r="FU13" s="49" t="n"/>
      <c r="FV13" s="49" t="n"/>
      <c r="FW13" s="49" t="n"/>
      <c r="FX13" s="49" t="n"/>
      <c r="FY13" s="49" t="n"/>
      <c r="FZ13" s="49" t="n"/>
      <c r="GA13" s="49" t="n"/>
      <c r="GB13" s="49" t="n"/>
      <c r="GC13" s="49" t="n"/>
      <c r="GD13" s="49" t="n"/>
      <c r="GE13" s="49" t="n"/>
      <c r="GF13" s="49" t="n"/>
      <c r="GG13" s="49" t="n"/>
      <c r="GH13" s="49" t="n"/>
      <c r="GI13" s="49" t="n"/>
      <c r="GJ13" s="49" t="n"/>
      <c r="GK13" s="49" t="n"/>
      <c r="GL13" s="49" t="n"/>
      <c r="GM13" s="49" t="n"/>
      <c r="GN13" s="49" t="n"/>
      <c r="GO13" s="49" t="n"/>
      <c r="GP13" s="49" t="n"/>
      <c r="GQ13" s="49" t="n"/>
      <c r="GR13" s="49" t="n"/>
      <c r="GS13" s="49" t="n"/>
      <c r="GT13" s="49" t="n"/>
      <c r="GU13" s="49" t="n"/>
      <c r="GV13" s="49" t="n"/>
      <c r="GW13" s="49" t="n"/>
      <c r="GX13" s="49" t="n"/>
      <c r="GY13" s="49" t="n"/>
      <c r="GZ13" s="49" t="n"/>
      <c r="HA13" s="49" t="n"/>
      <c r="HB13" s="49" t="n"/>
      <c r="HC13" s="49" t="n"/>
      <c r="HD13" s="49" t="n"/>
      <c r="HE13" s="49" t="n"/>
      <c r="HF13" s="49" t="n"/>
      <c r="HG13" s="49" t="n"/>
      <c r="HH13" s="49" t="n"/>
      <c r="HI13" s="49" t="n"/>
      <c r="HJ13" s="49" t="n"/>
      <c r="HK13" s="49" t="n"/>
      <c r="HL13" s="49" t="n"/>
      <c r="HM13" s="49" t="n"/>
      <c r="HN13" s="49" t="n"/>
      <c r="HO13" s="49" t="n"/>
      <c r="HP13" s="49" t="n"/>
      <c r="HQ13" s="49" t="n"/>
      <c r="HR13" s="49" t="n"/>
      <c r="HS13" s="49" t="n"/>
      <c r="HT13" s="49" t="n"/>
      <c r="HU13" s="49" t="n"/>
      <c r="HV13" s="49" t="n"/>
      <c r="HW13" s="49" t="n"/>
      <c r="HX13" s="49" t="n"/>
    </row>
    <row r="14" ht="33" customFormat="1" customHeight="1" s="271">
      <c r="A14" s="165" t="n"/>
      <c r="B14" s="206" t="n"/>
      <c r="C14" s="169" t="n"/>
      <c r="D14" s="207" t="n"/>
      <c r="E14" s="208" t="n"/>
      <c r="F14" s="166" t="n"/>
      <c r="G14" s="169" t="n"/>
      <c r="H14" s="167" t="n"/>
      <c r="I14" s="168" t="n"/>
      <c r="J14" s="169" t="n"/>
      <c r="K14" s="157">
        <f>SUM(K13:K13)</f>
        <v/>
      </c>
      <c r="L14" s="157">
        <f>SUM(L13:L13)</f>
        <v/>
      </c>
      <c r="M14" s="170">
        <f>SUM(M13:M13)</f>
        <v/>
      </c>
      <c r="N14" s="171">
        <f>SUM(N13:N13)</f>
        <v/>
      </c>
      <c r="O14" s="171">
        <f>SUM(O13:O13)</f>
        <v/>
      </c>
      <c r="P14" s="170">
        <f>SUM(P13:P13)</f>
        <v/>
      </c>
      <c r="Q14" s="170">
        <f>SUM(Q13:Q13)</f>
        <v/>
      </c>
      <c r="R14" s="170">
        <f>SUM(R13:R13)</f>
        <v/>
      </c>
      <c r="S14" s="170">
        <f>SUM(S13:S13)</f>
        <v/>
      </c>
      <c r="T14" s="170">
        <f>SUM(T13:T13)</f>
        <v/>
      </c>
      <c r="U14" s="170">
        <f>SUM(U13:U13)</f>
        <v/>
      </c>
      <c r="V14" s="170">
        <f>SUM(V13:V13)</f>
        <v/>
      </c>
      <c r="W14" s="172">
        <f>SUM(W13:W13)</f>
        <v/>
      </c>
      <c r="X14" s="170">
        <f>SUM(X13:X13)</f>
        <v/>
      </c>
      <c r="Y14" s="170">
        <f>SUM(Y13:Y13)</f>
        <v/>
      </c>
      <c r="Z14" s="170">
        <f>SUM(Z13:Z13)</f>
        <v/>
      </c>
      <c r="AA14" s="170">
        <f>SUM(AA13:AA13)</f>
        <v/>
      </c>
      <c r="AB14" s="170">
        <f>SUM(AB13:AB13)</f>
        <v/>
      </c>
      <c r="AC14" s="170">
        <f>SUM(AC13:AC13)</f>
        <v/>
      </c>
      <c r="AD14" s="173" t="n"/>
      <c r="AE14" s="174" t="n"/>
      <c r="AF14" s="280" t="n"/>
      <c r="AG14" s="48" t="n"/>
      <c r="AH14" s="49" t="n"/>
      <c r="AI14" s="49" t="n"/>
      <c r="AJ14" s="49" t="n"/>
      <c r="AK14" s="49" t="n"/>
      <c r="AL14" s="49" t="n"/>
      <c r="AM14" s="49" t="n"/>
      <c r="AN14" s="49" t="n"/>
      <c r="AO14" s="49" t="n"/>
      <c r="AP14" s="49" t="n"/>
      <c r="AQ14" s="49" t="n"/>
      <c r="AR14" s="49" t="n"/>
      <c r="AS14" s="49" t="n"/>
      <c r="AT14" s="49" t="n"/>
      <c r="AU14" s="49" t="n"/>
      <c r="AV14" s="49" t="n"/>
      <c r="AW14" s="49" t="n"/>
      <c r="AX14" s="49" t="n"/>
      <c r="AY14" s="49" t="n"/>
      <c r="AZ14" s="49" t="n"/>
      <c r="BA14" s="49" t="n"/>
      <c r="BB14" s="49" t="n"/>
      <c r="BC14" s="49" t="n"/>
      <c r="BD14" s="49" t="n"/>
      <c r="BE14" s="49" t="n"/>
      <c r="BF14" s="49" t="n"/>
      <c r="BG14" s="49" t="n"/>
      <c r="BH14" s="49" t="n"/>
      <c r="BI14" s="49" t="n"/>
      <c r="BJ14" s="49" t="n"/>
      <c r="BK14" s="49" t="n"/>
      <c r="BL14" s="49" t="n"/>
      <c r="BM14" s="49" t="n"/>
      <c r="BN14" s="49" t="n"/>
      <c r="BO14" s="49" t="n"/>
      <c r="BP14" s="49" t="n"/>
      <c r="BQ14" s="49" t="n"/>
      <c r="BR14" s="49" t="n"/>
      <c r="BS14" s="49" t="n"/>
      <c r="BT14" s="49" t="n"/>
      <c r="BU14" s="49" t="n"/>
      <c r="BV14" s="49" t="n"/>
      <c r="BW14" s="49" t="n"/>
      <c r="BX14" s="49" t="n"/>
      <c r="BY14" s="49" t="n"/>
      <c r="BZ14" s="49" t="n"/>
      <c r="CA14" s="49" t="n"/>
      <c r="CB14" s="49" t="n"/>
      <c r="CC14" s="49" t="n"/>
      <c r="CD14" s="49" t="n"/>
      <c r="CE14" s="49" t="n"/>
      <c r="CF14" s="49" t="n"/>
      <c r="CG14" s="49" t="n"/>
      <c r="CH14" s="49" t="n"/>
      <c r="CI14" s="49" t="n"/>
      <c r="CJ14" s="49" t="n"/>
      <c r="CK14" s="49" t="n"/>
      <c r="CL14" s="49" t="n"/>
      <c r="CM14" s="49" t="n"/>
      <c r="CN14" s="49" t="n"/>
      <c r="CO14" s="49" t="n"/>
      <c r="CP14" s="49" t="n"/>
      <c r="CQ14" s="49" t="n"/>
      <c r="CR14" s="49" t="n"/>
      <c r="CS14" s="49" t="n"/>
      <c r="CT14" s="49" t="n"/>
      <c r="CU14" s="49" t="n"/>
      <c r="CV14" s="49" t="n"/>
      <c r="CW14" s="49" t="n"/>
      <c r="CX14" s="49" t="n"/>
      <c r="CY14" s="49" t="n"/>
      <c r="CZ14" s="49" t="n"/>
      <c r="DA14" s="49" t="n"/>
      <c r="DB14" s="49" t="n"/>
      <c r="DC14" s="49" t="n"/>
      <c r="DD14" s="49" t="n"/>
      <c r="DE14" s="49" t="n"/>
      <c r="DF14" s="49" t="n"/>
      <c r="DG14" s="49" t="n"/>
      <c r="DH14" s="49" t="n"/>
      <c r="DI14" s="49" t="n"/>
      <c r="DJ14" s="49" t="n"/>
      <c r="DK14" s="49" t="n"/>
      <c r="DL14" s="49" t="n"/>
      <c r="DM14" s="49" t="n"/>
      <c r="DN14" s="49" t="n"/>
      <c r="DO14" s="49" t="n"/>
      <c r="DP14" s="49" t="n"/>
      <c r="DQ14" s="49" t="n"/>
      <c r="DR14" s="49" t="n"/>
      <c r="DS14" s="49" t="n"/>
      <c r="DT14" s="49" t="n"/>
      <c r="DU14" s="49" t="n"/>
      <c r="DV14" s="49" t="n"/>
      <c r="DW14" s="49" t="n"/>
      <c r="DX14" s="49" t="n"/>
      <c r="DY14" s="49" t="n"/>
      <c r="DZ14" s="49" t="n"/>
      <c r="EA14" s="49" t="n"/>
      <c r="EB14" s="49" t="n"/>
      <c r="EC14" s="49" t="n"/>
      <c r="ED14" s="49" t="n"/>
      <c r="EE14" s="49" t="n"/>
      <c r="EF14" s="49" t="n"/>
      <c r="EG14" s="49" t="n"/>
      <c r="EH14" s="49" t="n"/>
      <c r="EI14" s="49" t="n"/>
      <c r="EJ14" s="49" t="n"/>
      <c r="EK14" s="49" t="n"/>
      <c r="EL14" s="49" t="n"/>
      <c r="EM14" s="49" t="n"/>
      <c r="EN14" s="49" t="n"/>
      <c r="EO14" s="49" t="n"/>
      <c r="EP14" s="49" t="n"/>
      <c r="EQ14" s="49" t="n"/>
      <c r="ER14" s="49" t="n"/>
      <c r="ES14" s="49" t="n"/>
      <c r="ET14" s="49" t="n"/>
      <c r="EU14" s="49" t="n"/>
      <c r="EV14" s="49" t="n"/>
      <c r="EW14" s="49" t="n"/>
      <c r="EX14" s="49" t="n"/>
      <c r="EY14" s="49" t="n"/>
      <c r="EZ14" s="49" t="n"/>
      <c r="FA14" s="49" t="n"/>
      <c r="FB14" s="49" t="n"/>
      <c r="FC14" s="49" t="n"/>
      <c r="FD14" s="49" t="n"/>
      <c r="FE14" s="49" t="n"/>
      <c r="FF14" s="49" t="n"/>
      <c r="FG14" s="49" t="n"/>
      <c r="FH14" s="49" t="n"/>
      <c r="FI14" s="49" t="n"/>
      <c r="FJ14" s="49" t="n"/>
      <c r="FK14" s="49" t="n"/>
      <c r="FL14" s="49" t="n"/>
      <c r="FM14" s="49" t="n"/>
      <c r="FN14" s="49" t="n"/>
      <c r="FO14" s="49" t="n"/>
      <c r="FP14" s="49" t="n"/>
      <c r="FQ14" s="49" t="n"/>
      <c r="FR14" s="49" t="n"/>
      <c r="FS14" s="49" t="n"/>
      <c r="FT14" s="49" t="n"/>
      <c r="FU14" s="49" t="n"/>
      <c r="FV14" s="49" t="n"/>
      <c r="FW14" s="49" t="n"/>
      <c r="FX14" s="49" t="n"/>
      <c r="FY14" s="49" t="n"/>
      <c r="FZ14" s="49" t="n"/>
      <c r="GA14" s="49" t="n"/>
      <c r="GB14" s="49" t="n"/>
      <c r="GC14" s="49" t="n"/>
      <c r="GD14" s="49" t="n"/>
      <c r="GE14" s="49" t="n"/>
      <c r="GF14" s="49" t="n"/>
      <c r="GG14" s="49" t="n"/>
      <c r="GH14" s="49" t="n"/>
      <c r="GI14" s="49" t="n"/>
      <c r="GJ14" s="49" t="n"/>
      <c r="GK14" s="49" t="n"/>
      <c r="GL14" s="49" t="n"/>
      <c r="GM14" s="49" t="n"/>
      <c r="GN14" s="49" t="n"/>
      <c r="GO14" s="49" t="n"/>
      <c r="GP14" s="49" t="n"/>
      <c r="GQ14" s="49" t="n"/>
      <c r="GR14" s="49" t="n"/>
      <c r="GS14" s="49" t="n"/>
      <c r="GT14" s="49" t="n"/>
      <c r="GU14" s="49" t="n"/>
      <c r="GV14" s="49" t="n"/>
      <c r="GW14" s="49" t="n"/>
      <c r="GX14" s="49" t="n"/>
      <c r="GY14" s="49" t="n"/>
      <c r="GZ14" s="49" t="n"/>
      <c r="HA14" s="49" t="n"/>
      <c r="HB14" s="49" t="n"/>
      <c r="HC14" s="49" t="n"/>
      <c r="HD14" s="49" t="n"/>
      <c r="HE14" s="49" t="n"/>
      <c r="HF14" s="49" t="n"/>
      <c r="HG14" s="49" t="n"/>
      <c r="HH14" s="49" t="n"/>
      <c r="HI14" s="49" t="n"/>
      <c r="HJ14" s="49" t="n"/>
      <c r="HK14" s="49" t="n"/>
      <c r="HL14" s="49" t="n"/>
      <c r="HM14" s="49" t="n"/>
      <c r="HN14" s="49" t="n"/>
      <c r="HO14" s="49" t="n"/>
      <c r="HP14" s="49" t="n"/>
      <c r="HQ14" s="49" t="n"/>
      <c r="HR14" s="49" t="n"/>
      <c r="HS14" s="49" t="n"/>
      <c r="HT14" s="49" t="n"/>
      <c r="HU14" s="49" t="n"/>
      <c r="HV14" s="49" t="n"/>
      <c r="HW14" s="49" t="n"/>
      <c r="HX14" s="49" t="n"/>
    </row>
    <row r="15" ht="45.5" customFormat="1" customHeight="1" s="50">
      <c r="A15" s="165" t="n"/>
      <c r="B15" s="206" t="n"/>
      <c r="C15" s="169" t="n"/>
      <c r="D15" s="207" t="n"/>
      <c r="E15" s="208" t="n"/>
      <c r="F15" s="166" t="n"/>
      <c r="G15" s="169" t="n"/>
      <c r="H15" s="167" t="n"/>
      <c r="I15" s="168" t="n"/>
      <c r="J15" s="169" t="n"/>
      <c r="K15" s="157" t="n"/>
      <c r="L15" s="157" t="n"/>
      <c r="M15" s="170" t="n"/>
      <c r="N15" s="171" t="n"/>
      <c r="O15" s="171" t="n"/>
      <c r="P15" s="170" t="n"/>
      <c r="Q15" s="170" t="n"/>
      <c r="R15" s="170" t="n"/>
      <c r="S15" s="170" t="n"/>
      <c r="T15" s="170" t="n"/>
      <c r="U15" s="170" t="n"/>
      <c r="V15" s="170" t="n"/>
      <c r="W15" s="172">
        <f>M36*0.145</f>
        <v/>
      </c>
      <c r="X15" s="170">
        <f>SUM(K36:W36)</f>
        <v/>
      </c>
      <c r="Y15" s="170" t="n"/>
      <c r="Z15" s="170" t="n"/>
      <c r="AA15" s="170" t="n"/>
      <c r="AB15" s="170">
        <f>SUM(Y36:AA36)</f>
        <v/>
      </c>
      <c r="AC15" s="170">
        <f>+X36+AB36</f>
        <v/>
      </c>
      <c r="AD15" s="173" t="n"/>
      <c r="AE15" s="174" t="n"/>
      <c r="AF15" s="280" t="n"/>
      <c r="AG15" s="48" t="n"/>
      <c r="AH15" s="49" t="n"/>
      <c r="AI15" s="49" t="n"/>
      <c r="AJ15" s="49" t="n"/>
      <c r="AK15" s="49" t="n"/>
      <c r="AL15" s="49" t="n"/>
      <c r="AM15" s="49" t="n"/>
      <c r="AN15" s="49" t="n"/>
      <c r="AO15" s="49" t="n"/>
      <c r="AP15" s="49" t="n"/>
      <c r="AQ15" s="49" t="n"/>
      <c r="AR15" s="49" t="n"/>
      <c r="AS15" s="49" t="n"/>
      <c r="AT15" s="49" t="n"/>
      <c r="AU15" s="49" t="n"/>
      <c r="AV15" s="49" t="n"/>
      <c r="AW15" s="49" t="n"/>
      <c r="AX15" s="49" t="n"/>
      <c r="AY15" s="49" t="n"/>
      <c r="AZ15" s="49" t="n"/>
      <c r="BA15" s="49" t="n"/>
      <c r="BB15" s="49" t="n"/>
      <c r="BC15" s="49" t="n"/>
      <c r="BD15" s="49" t="n"/>
      <c r="BE15" s="49" t="n"/>
      <c r="BF15" s="49" t="n"/>
      <c r="BG15" s="49" t="n"/>
      <c r="BH15" s="49" t="n"/>
      <c r="BI15" s="49" t="n"/>
      <c r="BJ15" s="49" t="n"/>
      <c r="BK15" s="49" t="n"/>
      <c r="BL15" s="49" t="n"/>
      <c r="BM15" s="49" t="n"/>
      <c r="BN15" s="49" t="n"/>
      <c r="BO15" s="49" t="n"/>
      <c r="BP15" s="49" t="n"/>
      <c r="BQ15" s="49" t="n"/>
      <c r="BR15" s="49" t="n"/>
      <c r="BS15" s="49" t="n"/>
      <c r="BT15" s="49" t="n"/>
      <c r="BU15" s="49" t="n"/>
      <c r="BV15" s="49" t="n"/>
      <c r="BW15" s="49" t="n"/>
      <c r="BX15" s="49" t="n"/>
      <c r="BY15" s="49" t="n"/>
      <c r="BZ15" s="49" t="n"/>
      <c r="CA15" s="49" t="n"/>
      <c r="CB15" s="49" t="n"/>
      <c r="CC15" s="49" t="n"/>
      <c r="CD15" s="49" t="n"/>
      <c r="CE15" s="49" t="n"/>
      <c r="CF15" s="49" t="n"/>
      <c r="CG15" s="49" t="n"/>
      <c r="CH15" s="49" t="n"/>
      <c r="CI15" s="49" t="n"/>
      <c r="CJ15" s="49" t="n"/>
      <c r="CK15" s="49" t="n"/>
      <c r="CL15" s="49" t="n"/>
      <c r="CM15" s="49" t="n"/>
      <c r="CN15" s="49" t="n"/>
      <c r="CO15" s="49" t="n"/>
      <c r="CP15" s="49" t="n"/>
      <c r="CQ15" s="49" t="n"/>
      <c r="CR15" s="49" t="n"/>
      <c r="CS15" s="49" t="n"/>
      <c r="CT15" s="49" t="n"/>
      <c r="CU15" s="49" t="n"/>
      <c r="CV15" s="49" t="n"/>
      <c r="CW15" s="49" t="n"/>
      <c r="CX15" s="49" t="n"/>
      <c r="CY15" s="49" t="n"/>
      <c r="CZ15" s="49" t="n"/>
      <c r="DA15" s="49" t="n"/>
      <c r="DB15" s="49" t="n"/>
      <c r="DC15" s="49" t="n"/>
      <c r="DD15" s="49" t="n"/>
      <c r="DE15" s="49" t="n"/>
      <c r="DF15" s="49" t="n"/>
      <c r="DG15" s="49" t="n"/>
      <c r="DH15" s="49" t="n"/>
      <c r="DI15" s="49" t="n"/>
      <c r="DJ15" s="49" t="n"/>
      <c r="DK15" s="49" t="n"/>
      <c r="DL15" s="49" t="n"/>
      <c r="DM15" s="49" t="n"/>
      <c r="DN15" s="49" t="n"/>
      <c r="DO15" s="49" t="n"/>
      <c r="DP15" s="49" t="n"/>
      <c r="DQ15" s="49" t="n"/>
      <c r="DR15" s="49" t="n"/>
      <c r="DS15" s="49" t="n"/>
      <c r="DT15" s="49" t="n"/>
      <c r="DU15" s="49" t="n"/>
      <c r="DV15" s="49" t="n"/>
      <c r="DW15" s="49" t="n"/>
      <c r="DX15" s="49" t="n"/>
      <c r="DY15" s="49" t="n"/>
      <c r="DZ15" s="49" t="n"/>
      <c r="EA15" s="49" t="n"/>
      <c r="EB15" s="49" t="n"/>
      <c r="EC15" s="49" t="n"/>
      <c r="ED15" s="49" t="n"/>
      <c r="EE15" s="49" t="n"/>
      <c r="EF15" s="49" t="n"/>
      <c r="EG15" s="49" t="n"/>
      <c r="EH15" s="49" t="n"/>
      <c r="EI15" s="49" t="n"/>
      <c r="EJ15" s="49" t="n"/>
      <c r="EK15" s="49" t="n"/>
      <c r="EL15" s="49" t="n"/>
      <c r="EM15" s="49" t="n"/>
      <c r="EN15" s="49" t="n"/>
      <c r="EO15" s="49" t="n"/>
      <c r="EP15" s="49" t="n"/>
      <c r="EQ15" s="49" t="n"/>
      <c r="ER15" s="49" t="n"/>
      <c r="ES15" s="49" t="n"/>
      <c r="ET15" s="49" t="n"/>
      <c r="EU15" s="49" t="n"/>
      <c r="EV15" s="49" t="n"/>
      <c r="EW15" s="49" t="n"/>
      <c r="EX15" s="49" t="n"/>
      <c r="EY15" s="49" t="n"/>
      <c r="EZ15" s="49" t="n"/>
      <c r="FA15" s="49" t="n"/>
      <c r="FB15" s="49" t="n"/>
      <c r="FC15" s="49" t="n"/>
      <c r="FD15" s="49" t="n"/>
      <c r="FE15" s="49" t="n"/>
      <c r="FF15" s="49" t="n"/>
      <c r="FG15" s="49" t="n"/>
      <c r="FH15" s="49" t="n"/>
      <c r="FI15" s="49" t="n"/>
      <c r="FJ15" s="49" t="n"/>
      <c r="FK15" s="49" t="n"/>
      <c r="FL15" s="49" t="n"/>
      <c r="FM15" s="49" t="n"/>
      <c r="FN15" s="49" t="n"/>
      <c r="FO15" s="49" t="n"/>
      <c r="FP15" s="49" t="n"/>
      <c r="FQ15" s="49" t="n"/>
      <c r="FR15" s="49" t="n"/>
      <c r="FS15" s="49" t="n"/>
      <c r="FT15" s="49" t="n"/>
      <c r="FU15" s="49" t="n"/>
      <c r="FV15" s="49" t="n"/>
      <c r="FW15" s="49" t="n"/>
      <c r="FX15" s="49" t="n"/>
      <c r="FY15" s="49" t="n"/>
      <c r="FZ15" s="49" t="n"/>
      <c r="GA15" s="49" t="n"/>
      <c r="GB15" s="49" t="n"/>
      <c r="GC15" s="49" t="n"/>
      <c r="GD15" s="49" t="n"/>
      <c r="GE15" s="49" t="n"/>
      <c r="GF15" s="49" t="n"/>
      <c r="GG15" s="49" t="n"/>
      <c r="GH15" s="49" t="n"/>
      <c r="GI15" s="49" t="n"/>
      <c r="GJ15" s="49" t="n"/>
      <c r="GK15" s="49" t="n"/>
      <c r="GL15" s="49" t="n"/>
      <c r="GM15" s="49" t="n"/>
      <c r="GN15" s="49" t="n"/>
      <c r="GO15" s="49" t="n"/>
      <c r="GP15" s="49" t="n"/>
      <c r="GQ15" s="49" t="n"/>
      <c r="GR15" s="49" t="n"/>
      <c r="GS15" s="49" t="n"/>
      <c r="GT15" s="49" t="n"/>
      <c r="GU15" s="49" t="n"/>
      <c r="GV15" s="49" t="n"/>
      <c r="GW15" s="49" t="n"/>
      <c r="GX15" s="49" t="n"/>
      <c r="GY15" s="49" t="n"/>
      <c r="GZ15" s="49" t="n"/>
      <c r="HA15" s="49" t="n"/>
      <c r="HB15" s="49" t="n"/>
      <c r="HC15" s="49" t="n"/>
      <c r="HD15" s="49" t="n"/>
      <c r="HE15" s="49" t="n"/>
      <c r="HF15" s="49" t="n"/>
      <c r="HG15" s="49" t="n"/>
      <c r="HH15" s="49" t="n"/>
      <c r="HI15" s="49" t="n"/>
      <c r="HJ15" s="49" t="n"/>
      <c r="HK15" s="49" t="n"/>
      <c r="HL15" s="49" t="n"/>
      <c r="HM15" s="49" t="n"/>
      <c r="HN15" s="49" t="n"/>
      <c r="HO15" s="49" t="n"/>
      <c r="HP15" s="49" t="n"/>
      <c r="HQ15" s="49" t="n"/>
      <c r="HR15" s="49" t="n"/>
      <c r="HS15" s="49" t="n"/>
      <c r="HT15" s="49" t="n"/>
      <c r="HU15" s="49" t="n"/>
      <c r="HV15" s="49" t="n"/>
      <c r="HW15" s="49" t="n"/>
      <c r="HX15" s="49" t="n"/>
    </row>
    <row r="16" ht="33" customFormat="1" customHeight="1" s="61">
      <c r="A16" s="165" t="n"/>
      <c r="B16" s="206" t="n"/>
      <c r="C16" s="169" t="n"/>
      <c r="D16" s="207" t="n"/>
      <c r="E16" s="208" t="n"/>
      <c r="F16" s="166" t="n"/>
      <c r="G16" s="169" t="n"/>
      <c r="H16" s="167" t="n"/>
      <c r="I16" s="168" t="n"/>
      <c r="J16" s="169" t="n"/>
      <c r="K16" s="157" t="n"/>
      <c r="L16" s="157" t="n"/>
      <c r="M16" s="170" t="n"/>
      <c r="N16" s="170" t="n"/>
      <c r="O16" s="170" t="n"/>
      <c r="P16" s="170" t="n"/>
      <c r="Q16" s="170" t="n"/>
      <c r="R16" s="170" t="n"/>
      <c r="S16" s="170" t="n"/>
      <c r="T16" s="170" t="n"/>
      <c r="U16" s="170" t="n"/>
      <c r="V16" s="170" t="n"/>
      <c r="W16" s="172">
        <f>M37*0.145</f>
        <v/>
      </c>
      <c r="X16" s="170">
        <f>SUM(K37:W37)</f>
        <v/>
      </c>
      <c r="Y16" s="170" t="n"/>
      <c r="Z16" s="170" t="n"/>
      <c r="AA16" s="170" t="n"/>
      <c r="AB16" s="170">
        <f>SUM(Y37:AA37)</f>
        <v/>
      </c>
      <c r="AC16" s="170">
        <f>+X37+AB37</f>
        <v/>
      </c>
      <c r="AD16" s="170" t="n"/>
      <c r="AE16" s="174" t="n"/>
      <c r="AF16" s="280" t="n"/>
      <c r="AG16" s="48" t="n"/>
      <c r="AH16" s="49" t="n"/>
      <c r="AI16" s="49" t="n"/>
      <c r="AJ16" s="49" t="n"/>
      <c r="AK16" s="49" t="n"/>
      <c r="AL16" s="49" t="n"/>
      <c r="AM16" s="49" t="n"/>
      <c r="AN16" s="49" t="n"/>
      <c r="AO16" s="49" t="n"/>
      <c r="AP16" s="49" t="n"/>
      <c r="AQ16" s="49" t="n"/>
      <c r="AR16" s="49" t="n"/>
      <c r="AS16" s="49" t="n"/>
      <c r="AT16" s="49" t="n"/>
      <c r="AU16" s="49" t="n"/>
      <c r="AV16" s="49" t="n"/>
      <c r="AW16" s="49" t="n"/>
      <c r="AX16" s="49" t="n"/>
      <c r="AY16" s="49" t="n"/>
      <c r="AZ16" s="49" t="n"/>
      <c r="BA16" s="49" t="n"/>
      <c r="BB16" s="49" t="n"/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  <c r="BL16" s="49" t="n"/>
      <c r="BM16" s="49" t="n"/>
      <c r="BN16" s="49" t="n"/>
      <c r="BO16" s="49" t="n"/>
      <c r="BP16" s="49" t="n"/>
      <c r="BQ16" s="49" t="n"/>
      <c r="BR16" s="49" t="n"/>
      <c r="BS16" s="49" t="n"/>
      <c r="BT16" s="49" t="n"/>
      <c r="BU16" s="49" t="n"/>
      <c r="BV16" s="49" t="n"/>
      <c r="BW16" s="49" t="n"/>
      <c r="BX16" s="49" t="n"/>
      <c r="BY16" s="49" t="n"/>
      <c r="BZ16" s="49" t="n"/>
      <c r="CA16" s="49" t="n"/>
      <c r="CB16" s="49" t="n"/>
      <c r="CC16" s="49" t="n"/>
      <c r="CD16" s="49" t="n"/>
      <c r="CE16" s="49" t="n"/>
      <c r="CF16" s="49" t="n"/>
      <c r="CG16" s="49" t="n"/>
      <c r="CH16" s="49" t="n"/>
      <c r="CI16" s="49" t="n"/>
      <c r="CJ16" s="49" t="n"/>
      <c r="CK16" s="49" t="n"/>
      <c r="CL16" s="49" t="n"/>
      <c r="CM16" s="49" t="n"/>
      <c r="CN16" s="49" t="n"/>
      <c r="CO16" s="49" t="n"/>
      <c r="CP16" s="49" t="n"/>
      <c r="CQ16" s="49" t="n"/>
      <c r="CR16" s="49" t="n"/>
      <c r="CS16" s="49" t="n"/>
      <c r="CT16" s="49" t="n"/>
      <c r="CU16" s="49" t="n"/>
      <c r="CV16" s="49" t="n"/>
      <c r="CW16" s="49" t="n"/>
      <c r="CX16" s="49" t="n"/>
      <c r="CY16" s="49" t="n"/>
      <c r="CZ16" s="49" t="n"/>
      <c r="DA16" s="49" t="n"/>
      <c r="DB16" s="49" t="n"/>
      <c r="DC16" s="49" t="n"/>
      <c r="DD16" s="49" t="n"/>
      <c r="DE16" s="49" t="n"/>
      <c r="DF16" s="49" t="n"/>
      <c r="DG16" s="49" t="n"/>
      <c r="DH16" s="49" t="n"/>
      <c r="DI16" s="49" t="n"/>
      <c r="DJ16" s="49" t="n"/>
      <c r="DK16" s="49" t="n"/>
      <c r="DL16" s="49" t="n"/>
      <c r="DM16" s="49" t="n"/>
      <c r="DN16" s="49" t="n"/>
      <c r="DO16" s="49" t="n"/>
      <c r="DP16" s="49" t="n"/>
      <c r="DQ16" s="49" t="n"/>
      <c r="DR16" s="49" t="n"/>
      <c r="DS16" s="49" t="n"/>
      <c r="DT16" s="49" t="n"/>
      <c r="DU16" s="49" t="n"/>
      <c r="DV16" s="49" t="n"/>
      <c r="DW16" s="49" t="n"/>
      <c r="DX16" s="49" t="n"/>
      <c r="DY16" s="49" t="n"/>
      <c r="DZ16" s="49" t="n"/>
      <c r="EA16" s="49" t="n"/>
      <c r="EB16" s="49" t="n"/>
      <c r="EC16" s="49" t="n"/>
      <c r="ED16" s="49" t="n"/>
      <c r="EE16" s="49" t="n"/>
      <c r="EF16" s="49" t="n"/>
      <c r="EG16" s="49" t="n"/>
      <c r="EH16" s="49" t="n"/>
      <c r="EI16" s="49" t="n"/>
      <c r="EJ16" s="49" t="n"/>
      <c r="EK16" s="49" t="n"/>
      <c r="EL16" s="49" t="n"/>
      <c r="EM16" s="49" t="n"/>
      <c r="EN16" s="49" t="n"/>
      <c r="EO16" s="49" t="n"/>
      <c r="EP16" s="49" t="n"/>
      <c r="EQ16" s="49" t="n"/>
      <c r="ER16" s="49" t="n"/>
      <c r="ES16" s="49" t="n"/>
      <c r="ET16" s="49" t="n"/>
      <c r="EU16" s="49" t="n"/>
      <c r="EV16" s="49" t="n"/>
      <c r="EW16" s="49" t="n"/>
      <c r="EX16" s="49" t="n"/>
      <c r="EY16" s="49" t="n"/>
      <c r="EZ16" s="49" t="n"/>
      <c r="FA16" s="49" t="n"/>
      <c r="FB16" s="49" t="n"/>
      <c r="FC16" s="49" t="n"/>
      <c r="FD16" s="49" t="n"/>
      <c r="FE16" s="49" t="n"/>
      <c r="FF16" s="49" t="n"/>
      <c r="FG16" s="49" t="n"/>
      <c r="FH16" s="49" t="n"/>
      <c r="FI16" s="49" t="n"/>
      <c r="FJ16" s="49" t="n"/>
      <c r="FK16" s="49" t="n"/>
      <c r="FL16" s="49" t="n"/>
      <c r="FM16" s="49" t="n"/>
      <c r="FN16" s="49" t="n"/>
      <c r="FO16" s="49" t="n"/>
      <c r="FP16" s="49" t="n"/>
      <c r="FQ16" s="49" t="n"/>
      <c r="FR16" s="49" t="n"/>
      <c r="FS16" s="49" t="n"/>
      <c r="FT16" s="49" t="n"/>
      <c r="FU16" s="49" t="n"/>
      <c r="FV16" s="49" t="n"/>
      <c r="FW16" s="49" t="n"/>
      <c r="FX16" s="49" t="n"/>
      <c r="FY16" s="49" t="n"/>
      <c r="FZ16" s="49" t="n"/>
      <c r="GA16" s="49" t="n"/>
      <c r="GB16" s="49" t="n"/>
      <c r="GC16" s="49" t="n"/>
      <c r="GD16" s="49" t="n"/>
      <c r="GE16" s="49" t="n"/>
      <c r="GF16" s="49" t="n"/>
      <c r="GG16" s="49" t="n"/>
      <c r="GH16" s="49" t="n"/>
      <c r="GI16" s="49" t="n"/>
      <c r="GJ16" s="49" t="n"/>
      <c r="GK16" s="49" t="n"/>
      <c r="GL16" s="49" t="n"/>
      <c r="GM16" s="49" t="n"/>
      <c r="GN16" s="49" t="n"/>
      <c r="GO16" s="49" t="n"/>
      <c r="GP16" s="49" t="n"/>
      <c r="GQ16" s="49" t="n"/>
      <c r="GR16" s="49" t="n"/>
      <c r="GS16" s="49" t="n"/>
      <c r="GT16" s="49" t="n"/>
      <c r="GU16" s="49" t="n"/>
      <c r="GV16" s="49" t="n"/>
      <c r="GW16" s="49" t="n"/>
      <c r="GX16" s="49" t="n"/>
      <c r="GY16" s="49" t="n"/>
      <c r="GZ16" s="49" t="n"/>
      <c r="HA16" s="49" t="n"/>
      <c r="HB16" s="49" t="n"/>
      <c r="HC16" s="49" t="n"/>
      <c r="HD16" s="49" t="n"/>
      <c r="HE16" s="49" t="n"/>
      <c r="HF16" s="49" t="n"/>
      <c r="HG16" s="49" t="n"/>
      <c r="HH16" s="49" t="n"/>
      <c r="HI16" s="49" t="n"/>
      <c r="HJ16" s="49" t="n"/>
      <c r="HK16" s="49" t="n"/>
      <c r="HL16" s="49" t="n"/>
      <c r="HM16" s="49" t="n"/>
      <c r="HN16" s="49" t="n"/>
      <c r="HO16" s="49" t="n"/>
      <c r="HP16" s="49" t="n"/>
      <c r="HQ16" s="49" t="n"/>
      <c r="HR16" s="49" t="n"/>
      <c r="HS16" s="49" t="n"/>
      <c r="HT16" s="49" t="n"/>
      <c r="HU16" s="49" t="n"/>
      <c r="HV16" s="49" t="n"/>
      <c r="HW16" s="49" t="n"/>
      <c r="HX16" s="49" t="n"/>
    </row>
    <row r="17" ht="33" customFormat="1" customHeight="1" s="50">
      <c r="A17" s="191" t="n"/>
      <c r="B17" s="209" t="n"/>
      <c r="C17" s="195" t="n"/>
      <c r="D17" s="210" t="n"/>
      <c r="E17" s="211" t="n"/>
      <c r="F17" s="192" t="n"/>
      <c r="G17" s="195" t="n"/>
      <c r="H17" s="193" t="n"/>
      <c r="I17" s="194" t="n"/>
      <c r="J17" s="195" t="n"/>
      <c r="K17" s="196" t="n"/>
      <c r="L17" s="196" t="n"/>
      <c r="M17" s="197" t="n"/>
      <c r="N17" s="197" t="n"/>
      <c r="O17" s="197" t="n"/>
      <c r="P17" s="197" t="n"/>
      <c r="Q17" s="197" t="n"/>
      <c r="R17" s="197" t="n"/>
      <c r="S17" s="197" t="n"/>
      <c r="T17" s="197" t="n"/>
      <c r="U17" s="197" t="n"/>
      <c r="V17" s="197" t="n"/>
      <c r="W17" s="198">
        <f>M38*0.145</f>
        <v/>
      </c>
      <c r="X17" s="197">
        <f>SUM(K38:W38)</f>
        <v/>
      </c>
      <c r="Y17" s="197" t="n"/>
      <c r="Z17" s="197" t="n"/>
      <c r="AA17" s="197" t="n"/>
      <c r="AB17" s="197">
        <f>SUM(Y38:AA38)</f>
        <v/>
      </c>
      <c r="AC17" s="197">
        <f>+X38+AB38</f>
        <v/>
      </c>
      <c r="AD17" s="192" t="n"/>
      <c r="AE17" s="199" t="n"/>
      <c r="AF17" s="281" t="n"/>
      <c r="AG17" s="59" t="n"/>
      <c r="AH17" s="60" t="n"/>
      <c r="AI17" s="60" t="n"/>
      <c r="AJ17" s="60" t="n"/>
      <c r="AK17" s="60" t="n"/>
      <c r="AL17" s="60" t="n"/>
      <c r="AM17" s="60" t="n"/>
      <c r="AN17" s="60" t="n"/>
      <c r="AO17" s="60" t="n"/>
      <c r="AP17" s="60" t="n"/>
      <c r="AQ17" s="60" t="n"/>
      <c r="AR17" s="60" t="n"/>
      <c r="AS17" s="60" t="n"/>
      <c r="AT17" s="60" t="n"/>
      <c r="AU17" s="60" t="n"/>
      <c r="AV17" s="60" t="n"/>
      <c r="AW17" s="60" t="n"/>
      <c r="AX17" s="60" t="n"/>
      <c r="AY17" s="60" t="n"/>
      <c r="AZ17" s="60" t="n"/>
      <c r="BA17" s="60" t="n"/>
      <c r="BB17" s="60" t="n"/>
      <c r="BC17" s="60" t="n"/>
      <c r="BD17" s="60" t="n"/>
      <c r="BE17" s="60" t="n"/>
      <c r="BF17" s="60" t="n"/>
      <c r="BG17" s="60" t="n"/>
      <c r="BH17" s="60" t="n"/>
      <c r="BI17" s="60" t="n"/>
      <c r="BJ17" s="60" t="n"/>
      <c r="BK17" s="60" t="n"/>
      <c r="BL17" s="60" t="n"/>
      <c r="BM17" s="60" t="n"/>
      <c r="BN17" s="60" t="n"/>
      <c r="BO17" s="60" t="n"/>
      <c r="BP17" s="60" t="n"/>
      <c r="BQ17" s="60" t="n"/>
      <c r="BR17" s="60" t="n"/>
      <c r="BS17" s="60" t="n"/>
      <c r="BT17" s="60" t="n"/>
      <c r="BU17" s="60" t="n"/>
      <c r="BV17" s="60" t="n"/>
      <c r="BW17" s="60" t="n"/>
      <c r="BX17" s="60" t="n"/>
      <c r="BY17" s="60" t="n"/>
      <c r="BZ17" s="60" t="n"/>
      <c r="CA17" s="60" t="n"/>
      <c r="CB17" s="60" t="n"/>
      <c r="CC17" s="60" t="n"/>
      <c r="CD17" s="60" t="n"/>
      <c r="CE17" s="60" t="n"/>
      <c r="CF17" s="60" t="n"/>
      <c r="CG17" s="60" t="n"/>
      <c r="CH17" s="60" t="n"/>
      <c r="CI17" s="60" t="n"/>
      <c r="CJ17" s="60" t="n"/>
      <c r="CK17" s="60" t="n"/>
      <c r="CL17" s="60" t="n"/>
      <c r="CM17" s="60" t="n"/>
      <c r="CN17" s="60" t="n"/>
      <c r="CO17" s="60" t="n"/>
      <c r="CP17" s="60" t="n"/>
      <c r="CQ17" s="60" t="n"/>
      <c r="CR17" s="60" t="n"/>
      <c r="CS17" s="60" t="n"/>
      <c r="CT17" s="60" t="n"/>
      <c r="CU17" s="60" t="n"/>
      <c r="CV17" s="60" t="n"/>
      <c r="CW17" s="60" t="n"/>
      <c r="CX17" s="60" t="n"/>
      <c r="CY17" s="60" t="n"/>
      <c r="CZ17" s="60" t="n"/>
      <c r="DA17" s="60" t="n"/>
      <c r="DB17" s="60" t="n"/>
      <c r="DC17" s="60" t="n"/>
      <c r="DD17" s="60" t="n"/>
      <c r="DE17" s="60" t="n"/>
      <c r="DF17" s="60" t="n"/>
      <c r="DG17" s="60" t="n"/>
      <c r="DH17" s="60" t="n"/>
      <c r="DI17" s="60" t="n"/>
      <c r="DJ17" s="60" t="n"/>
      <c r="DK17" s="60" t="n"/>
      <c r="DL17" s="60" t="n"/>
      <c r="DM17" s="60" t="n"/>
      <c r="DN17" s="60" t="n"/>
      <c r="DO17" s="60" t="n"/>
      <c r="DP17" s="60" t="n"/>
      <c r="DQ17" s="60" t="n"/>
      <c r="DR17" s="60" t="n"/>
      <c r="DS17" s="60" t="n"/>
      <c r="DT17" s="60" t="n"/>
      <c r="DU17" s="60" t="n"/>
      <c r="DV17" s="60" t="n"/>
      <c r="DW17" s="60" t="n"/>
      <c r="DX17" s="60" t="n"/>
      <c r="DY17" s="60" t="n"/>
      <c r="DZ17" s="60" t="n"/>
      <c r="EA17" s="60" t="n"/>
      <c r="EB17" s="60" t="n"/>
      <c r="EC17" s="60" t="n"/>
      <c r="ED17" s="60" t="n"/>
      <c r="EE17" s="60" t="n"/>
      <c r="EF17" s="60" t="n"/>
      <c r="EG17" s="60" t="n"/>
      <c r="EH17" s="60" t="n"/>
      <c r="EI17" s="60" t="n"/>
      <c r="EJ17" s="60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U17" s="60" t="n"/>
      <c r="EV17" s="60" t="n"/>
      <c r="EW17" s="60" t="n"/>
      <c r="EX17" s="60" t="n"/>
      <c r="EY17" s="60" t="n"/>
      <c r="EZ17" s="60" t="n"/>
      <c r="FA17" s="60" t="n"/>
      <c r="FB17" s="60" t="n"/>
      <c r="FC17" s="60" t="n"/>
      <c r="FD17" s="60" t="n"/>
      <c r="FE17" s="60" t="n"/>
      <c r="FF17" s="60" t="n"/>
      <c r="FG17" s="60" t="n"/>
      <c r="FH17" s="60" t="n"/>
      <c r="FI17" s="60" t="n"/>
      <c r="FJ17" s="60" t="n"/>
      <c r="FK17" s="60" t="n"/>
      <c r="FL17" s="60" t="n"/>
      <c r="FM17" s="60" t="n"/>
      <c r="FN17" s="60" t="n"/>
      <c r="FO17" s="60" t="n"/>
      <c r="FP17" s="60" t="n"/>
      <c r="FQ17" s="60" t="n"/>
      <c r="FR17" s="60" t="n"/>
      <c r="FS17" s="60" t="n"/>
      <c r="FT17" s="60" t="n"/>
      <c r="FU17" s="60" t="n"/>
      <c r="FV17" s="60" t="n"/>
      <c r="FW17" s="60" t="n"/>
      <c r="FX17" s="60" t="n"/>
      <c r="FY17" s="60" t="n"/>
      <c r="FZ17" s="60" t="n"/>
      <c r="GA17" s="60" t="n"/>
      <c r="GB17" s="60" t="n"/>
      <c r="GC17" s="60" t="n"/>
      <c r="GD17" s="60" t="n"/>
      <c r="GE17" s="60" t="n"/>
      <c r="GF17" s="60" t="n"/>
      <c r="GG17" s="60" t="n"/>
      <c r="GH17" s="60" t="n"/>
      <c r="GI17" s="60" t="n"/>
      <c r="GJ17" s="60" t="n"/>
      <c r="GK17" s="60" t="n"/>
      <c r="GL17" s="60" t="n"/>
      <c r="GM17" s="60" t="n"/>
      <c r="GN17" s="60" t="n"/>
      <c r="GO17" s="60" t="n"/>
      <c r="GP17" s="60" t="n"/>
      <c r="GQ17" s="60" t="n"/>
      <c r="GR17" s="60" t="n"/>
      <c r="GS17" s="60" t="n"/>
      <c r="GT17" s="60" t="n"/>
      <c r="GU17" s="60" t="n"/>
      <c r="GV17" s="60" t="n"/>
      <c r="GW17" s="60" t="n"/>
      <c r="GX17" s="60" t="n"/>
      <c r="GY17" s="60" t="n"/>
      <c r="GZ17" s="60" t="n"/>
      <c r="HA17" s="60" t="n"/>
      <c r="HB17" s="60" t="n"/>
      <c r="HC17" s="60" t="n"/>
      <c r="HD17" s="60" t="n"/>
      <c r="HE17" s="60" t="n"/>
      <c r="HF17" s="60" t="n"/>
      <c r="HG17" s="60" t="n"/>
      <c r="HH17" s="60" t="n"/>
      <c r="HI17" s="60" t="n"/>
      <c r="HJ17" s="60" t="n"/>
      <c r="HK17" s="60" t="n"/>
      <c r="HL17" s="60" t="n"/>
      <c r="HM17" s="60" t="n"/>
      <c r="HN17" s="60" t="n"/>
      <c r="HO17" s="60" t="n"/>
      <c r="HP17" s="60" t="n"/>
      <c r="HQ17" s="60" t="n"/>
      <c r="HR17" s="60" t="n"/>
      <c r="HS17" s="60" t="n"/>
      <c r="HT17" s="60" t="n"/>
      <c r="HU17" s="60" t="n"/>
      <c r="HV17" s="60" t="n"/>
      <c r="HW17" s="60" t="n"/>
      <c r="HX17" s="60" t="n"/>
    </row>
    <row r="18" ht="33" customFormat="1" customHeight="1" s="50">
      <c r="A18" s="180" t="n"/>
      <c r="B18" s="203" t="n"/>
      <c r="C18" s="184" t="n"/>
      <c r="D18" s="204" t="n"/>
      <c r="E18" s="205" t="n"/>
      <c r="F18" s="200" t="n"/>
      <c r="G18" s="184" t="n"/>
      <c r="H18" s="182" t="n"/>
      <c r="I18" s="183" t="n"/>
      <c r="J18" s="184" t="n"/>
      <c r="K18" s="185" t="n"/>
      <c r="L18" s="185" t="n"/>
      <c r="M18" s="186" t="n"/>
      <c r="N18" s="186" t="n"/>
      <c r="O18" s="186" t="n"/>
      <c r="P18" s="186" t="n"/>
      <c r="Q18" s="186" t="n"/>
      <c r="R18" s="186" t="n"/>
      <c r="S18" s="186" t="n"/>
      <c r="T18" s="186" t="n"/>
      <c r="U18" s="186" t="n"/>
      <c r="V18" s="186" t="n"/>
      <c r="W18" s="188">
        <f>M39*0.145</f>
        <v/>
      </c>
      <c r="X18" s="186">
        <f>SUM(K39:W39)</f>
        <v/>
      </c>
      <c r="Y18" s="186" t="n"/>
      <c r="Z18" s="186" t="n"/>
      <c r="AA18" s="186" t="n"/>
      <c r="AB18" s="186">
        <f>SUM(Y39:AA39)</f>
        <v/>
      </c>
      <c r="AC18" s="186">
        <f>+X39+AB39</f>
        <v/>
      </c>
      <c r="AD18" s="181" t="n"/>
      <c r="AE18" s="190" t="n"/>
      <c r="AF18" s="279" t="inlineStr">
        <is>
          <t>00000227</t>
        </is>
      </c>
      <c r="AG18" s="59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  <c r="AS18" s="60" t="n"/>
      <c r="AT18" s="60" t="n"/>
      <c r="AU18" s="60" t="n"/>
      <c r="AV18" s="60" t="n"/>
      <c r="AW18" s="60" t="n"/>
      <c r="AX18" s="60" t="n"/>
      <c r="AY18" s="60" t="n"/>
      <c r="AZ18" s="60" t="n"/>
      <c r="BA18" s="60" t="n"/>
      <c r="BB18" s="60" t="n"/>
      <c r="BC18" s="60" t="n"/>
      <c r="BD18" s="60" t="n"/>
      <c r="BE18" s="60" t="n"/>
      <c r="BF18" s="60" t="n"/>
      <c r="BG18" s="60" t="n"/>
      <c r="BH18" s="60" t="n"/>
      <c r="BI18" s="60" t="n"/>
      <c r="BJ18" s="60" t="n"/>
      <c r="BK18" s="60" t="n"/>
      <c r="BL18" s="60" t="n"/>
      <c r="BM18" s="60" t="n"/>
      <c r="BN18" s="60" t="n"/>
      <c r="BO18" s="60" t="n"/>
      <c r="BP18" s="60" t="n"/>
      <c r="BQ18" s="60" t="n"/>
      <c r="BR18" s="60" t="n"/>
      <c r="BS18" s="60" t="n"/>
      <c r="BT18" s="60" t="n"/>
      <c r="BU18" s="60" t="n"/>
      <c r="BV18" s="60" t="n"/>
      <c r="BW18" s="60" t="n"/>
      <c r="BX18" s="60" t="n"/>
      <c r="BY18" s="60" t="n"/>
      <c r="BZ18" s="60" t="n"/>
      <c r="CA18" s="60" t="n"/>
      <c r="CB18" s="60" t="n"/>
      <c r="CC18" s="60" t="n"/>
      <c r="CD18" s="60" t="n"/>
      <c r="CE18" s="60" t="n"/>
      <c r="CF18" s="60" t="n"/>
      <c r="CG18" s="60" t="n"/>
      <c r="CH18" s="60" t="n"/>
      <c r="CI18" s="60" t="n"/>
      <c r="CJ18" s="60" t="n"/>
      <c r="CK18" s="60" t="n"/>
      <c r="CL18" s="60" t="n"/>
      <c r="CM18" s="60" t="n"/>
      <c r="CN18" s="60" t="n"/>
      <c r="CO18" s="60" t="n"/>
      <c r="CP18" s="60" t="n"/>
      <c r="CQ18" s="60" t="n"/>
      <c r="CR18" s="60" t="n"/>
      <c r="CS18" s="60" t="n"/>
      <c r="CT18" s="60" t="n"/>
      <c r="CU18" s="60" t="n"/>
      <c r="CV18" s="60" t="n"/>
      <c r="CW18" s="60" t="n"/>
      <c r="CX18" s="60" t="n"/>
      <c r="CY18" s="60" t="n"/>
      <c r="CZ18" s="60" t="n"/>
      <c r="DA18" s="60" t="n"/>
      <c r="DB18" s="60" t="n"/>
      <c r="DC18" s="60" t="n"/>
      <c r="DD18" s="60" t="n"/>
      <c r="DE18" s="60" t="n"/>
      <c r="DF18" s="60" t="n"/>
      <c r="DG18" s="60" t="n"/>
      <c r="DH18" s="60" t="n"/>
      <c r="DI18" s="60" t="n"/>
      <c r="DJ18" s="60" t="n"/>
      <c r="DK18" s="60" t="n"/>
      <c r="DL18" s="60" t="n"/>
      <c r="DM18" s="60" t="n"/>
      <c r="DN18" s="60" t="n"/>
      <c r="DO18" s="60" t="n"/>
      <c r="DP18" s="60" t="n"/>
      <c r="DQ18" s="60" t="n"/>
      <c r="DR18" s="60" t="n"/>
      <c r="DS18" s="60" t="n"/>
      <c r="DT18" s="60" t="n"/>
      <c r="DU18" s="60" t="n"/>
      <c r="DV18" s="60" t="n"/>
      <c r="DW18" s="60" t="n"/>
      <c r="DX18" s="60" t="n"/>
      <c r="DY18" s="60" t="n"/>
      <c r="DZ18" s="60" t="n"/>
      <c r="EA18" s="60" t="n"/>
      <c r="EB18" s="60" t="n"/>
      <c r="EC18" s="60" t="n"/>
      <c r="ED18" s="60" t="n"/>
      <c r="EE18" s="60" t="n"/>
      <c r="EF18" s="60" t="n"/>
      <c r="EG18" s="60" t="n"/>
      <c r="EH18" s="60" t="n"/>
      <c r="EI18" s="60" t="n"/>
      <c r="EJ18" s="60" t="n"/>
      <c r="EK18" s="60" t="n"/>
      <c r="EL18" s="60" t="n"/>
      <c r="EM18" s="60" t="n"/>
      <c r="EN18" s="60" t="n"/>
      <c r="EO18" s="60" t="n"/>
      <c r="EP18" s="60" t="n"/>
      <c r="EQ18" s="60" t="n"/>
      <c r="ER18" s="60" t="n"/>
      <c r="ES18" s="60" t="n"/>
      <c r="ET18" s="60" t="n"/>
      <c r="EU18" s="60" t="n"/>
      <c r="EV18" s="60" t="n"/>
      <c r="EW18" s="60" t="n"/>
      <c r="EX18" s="60" t="n"/>
      <c r="EY18" s="60" t="n"/>
      <c r="EZ18" s="60" t="n"/>
      <c r="FA18" s="60" t="n"/>
      <c r="FB18" s="60" t="n"/>
      <c r="FC18" s="60" t="n"/>
      <c r="FD18" s="60" t="n"/>
      <c r="FE18" s="60" t="n"/>
      <c r="FF18" s="60" t="n"/>
      <c r="FG18" s="60" t="n"/>
      <c r="FH18" s="60" t="n"/>
      <c r="FI18" s="60" t="n"/>
      <c r="FJ18" s="60" t="n"/>
      <c r="FK18" s="60" t="n"/>
      <c r="FL18" s="60" t="n"/>
      <c r="FM18" s="60" t="n"/>
      <c r="FN18" s="60" t="n"/>
      <c r="FO18" s="60" t="n"/>
      <c r="FP18" s="60" t="n"/>
      <c r="FQ18" s="60" t="n"/>
      <c r="FR18" s="60" t="n"/>
      <c r="FS18" s="60" t="n"/>
      <c r="FT18" s="60" t="n"/>
      <c r="FU18" s="60" t="n"/>
      <c r="FV18" s="60" t="n"/>
      <c r="FW18" s="60" t="n"/>
      <c r="FX18" s="60" t="n"/>
      <c r="FY18" s="60" t="n"/>
      <c r="FZ18" s="60" t="n"/>
      <c r="GA18" s="60" t="n"/>
      <c r="GB18" s="60" t="n"/>
      <c r="GC18" s="60" t="n"/>
      <c r="GD18" s="60" t="n"/>
      <c r="GE18" s="60" t="n"/>
      <c r="GF18" s="60" t="n"/>
      <c r="GG18" s="60" t="n"/>
      <c r="GH18" s="60" t="n"/>
      <c r="GI18" s="60" t="n"/>
      <c r="GJ18" s="60" t="n"/>
      <c r="GK18" s="60" t="n"/>
      <c r="GL18" s="60" t="n"/>
      <c r="GM18" s="60" t="n"/>
      <c r="GN18" s="60" t="n"/>
      <c r="GO18" s="60" t="n"/>
      <c r="GP18" s="60" t="n"/>
      <c r="GQ18" s="60" t="n"/>
      <c r="GR18" s="60" t="n"/>
      <c r="GS18" s="60" t="n"/>
      <c r="GT18" s="60" t="n"/>
      <c r="GU18" s="60" t="n"/>
      <c r="GV18" s="60" t="n"/>
      <c r="GW18" s="60" t="n"/>
      <c r="GX18" s="60" t="n"/>
      <c r="GY18" s="60" t="n"/>
      <c r="GZ18" s="60" t="n"/>
      <c r="HA18" s="60" t="n"/>
      <c r="HB18" s="60" t="n"/>
      <c r="HC18" s="60" t="n"/>
      <c r="HD18" s="60" t="n"/>
      <c r="HE18" s="60" t="n"/>
      <c r="HF18" s="60" t="n"/>
      <c r="HG18" s="60" t="n"/>
      <c r="HH18" s="60" t="n"/>
      <c r="HI18" s="60" t="n"/>
      <c r="HJ18" s="60" t="n"/>
      <c r="HK18" s="60" t="n"/>
      <c r="HL18" s="60" t="n"/>
      <c r="HM18" s="60" t="n"/>
      <c r="HN18" s="60" t="n"/>
      <c r="HO18" s="60" t="n"/>
      <c r="HP18" s="60" t="n"/>
      <c r="HQ18" s="60" t="n"/>
      <c r="HR18" s="60" t="n"/>
      <c r="HS18" s="60" t="n"/>
      <c r="HT18" s="60" t="n"/>
      <c r="HU18" s="60" t="n"/>
      <c r="HV18" s="60" t="n"/>
      <c r="HW18" s="60" t="n"/>
      <c r="HX18" s="60" t="n"/>
    </row>
    <row r="19" ht="33" customFormat="1" customHeight="1" s="50">
      <c r="A19" s="165" t="n"/>
      <c r="B19" s="212" t="n"/>
      <c r="C19" s="213" t="n"/>
      <c r="D19" s="214" t="n"/>
      <c r="E19" s="215" t="n"/>
      <c r="F19" s="166" t="n"/>
      <c r="G19" s="213" t="n"/>
      <c r="H19" s="178" t="n"/>
      <c r="I19" s="179" t="n"/>
      <c r="J19" s="169" t="n"/>
      <c r="K19" s="157" t="n"/>
      <c r="L19" s="157" t="n"/>
      <c r="M19" s="170" t="n"/>
      <c r="N19" s="170" t="n"/>
      <c r="O19" s="170" t="n"/>
      <c r="P19" s="170" t="n"/>
      <c r="Q19" s="170" t="n"/>
      <c r="R19" s="170" t="n"/>
      <c r="S19" s="170" t="n"/>
      <c r="T19" s="170" t="n"/>
      <c r="U19" s="170" t="n"/>
      <c r="V19" s="170" t="n"/>
      <c r="W19" s="172">
        <f>M40*0.145</f>
        <v/>
      </c>
      <c r="X19" s="170">
        <f>SUM(K40:W40)</f>
        <v/>
      </c>
      <c r="Y19" s="170" t="n"/>
      <c r="Z19" s="170" t="n"/>
      <c r="AA19" s="170" t="n"/>
      <c r="AB19" s="170">
        <f>SUM(Y40:AA40)</f>
        <v/>
      </c>
      <c r="AC19" s="170">
        <f>+X40+AB40</f>
        <v/>
      </c>
      <c r="AD19" s="177" t="inlineStr">
        <is>
          <t>1258715</t>
        </is>
      </c>
      <c r="AE19" s="174" t="n">
        <v>37613</v>
      </c>
      <c r="AF19" s="280" t="n"/>
      <c r="AG19" s="48" t="n"/>
      <c r="AH19" s="49" t="n"/>
      <c r="AI19" s="49" t="n"/>
      <c r="AJ19" s="49" t="n"/>
      <c r="AK19" s="49" t="n"/>
      <c r="AL19" s="49" t="n"/>
      <c r="AM19" s="49" t="n"/>
      <c r="AN19" s="49" t="n"/>
      <c r="AO19" s="49" t="n"/>
      <c r="AP19" s="49" t="n"/>
      <c r="AQ19" s="49" t="n"/>
      <c r="AR19" s="49" t="n"/>
      <c r="AS19" s="49" t="n"/>
      <c r="AT19" s="49" t="n"/>
      <c r="AU19" s="49" t="n"/>
      <c r="AV19" s="49" t="n"/>
      <c r="AW19" s="49" t="n"/>
      <c r="AX19" s="49" t="n"/>
      <c r="AY19" s="49" t="n"/>
      <c r="AZ19" s="49" t="n"/>
      <c r="BA19" s="49" t="n"/>
      <c r="BB19" s="49" t="n"/>
      <c r="BC19" s="49" t="n"/>
      <c r="BD19" s="49" t="n"/>
      <c r="BE19" s="49" t="n"/>
      <c r="BF19" s="49" t="n"/>
      <c r="BG19" s="49" t="n"/>
      <c r="BH19" s="49" t="n"/>
      <c r="BI19" s="49" t="n"/>
      <c r="BJ19" s="49" t="n"/>
      <c r="BK19" s="49" t="n"/>
      <c r="BL19" s="49" t="n"/>
      <c r="BM19" s="49" t="n"/>
      <c r="BN19" s="49" t="n"/>
      <c r="BO19" s="49" t="n"/>
      <c r="BP19" s="49" t="n"/>
      <c r="BQ19" s="49" t="n"/>
      <c r="BR19" s="49" t="n"/>
      <c r="BS19" s="49" t="n"/>
      <c r="BT19" s="49" t="n"/>
      <c r="BU19" s="49" t="n"/>
      <c r="BV19" s="49" t="n"/>
      <c r="BW19" s="49" t="n"/>
      <c r="BX19" s="49" t="n"/>
      <c r="BY19" s="49" t="n"/>
      <c r="BZ19" s="49" t="n"/>
      <c r="CA19" s="49" t="n"/>
      <c r="CB19" s="49" t="n"/>
      <c r="CC19" s="49" t="n"/>
      <c r="CD19" s="49" t="n"/>
      <c r="CE19" s="49" t="n"/>
      <c r="CF19" s="49" t="n"/>
      <c r="CG19" s="49" t="n"/>
      <c r="CH19" s="49" t="n"/>
      <c r="CI19" s="49" t="n"/>
      <c r="CJ19" s="49" t="n"/>
      <c r="CK19" s="49" t="n"/>
      <c r="CL19" s="49" t="n"/>
      <c r="CM19" s="49" t="n"/>
      <c r="CN19" s="49" t="n"/>
      <c r="CO19" s="49" t="n"/>
      <c r="CP19" s="49" t="n"/>
      <c r="CQ19" s="49" t="n"/>
      <c r="CR19" s="49" t="n"/>
      <c r="CS19" s="49" t="n"/>
      <c r="CT19" s="49" t="n"/>
      <c r="CU19" s="49" t="n"/>
      <c r="CV19" s="49" t="n"/>
      <c r="CW19" s="49" t="n"/>
      <c r="CX19" s="49" t="n"/>
      <c r="CY19" s="49" t="n"/>
      <c r="CZ19" s="49" t="n"/>
      <c r="DA19" s="49" t="n"/>
      <c r="DB19" s="49" t="n"/>
      <c r="DC19" s="49" t="n"/>
      <c r="DD19" s="49" t="n"/>
      <c r="DE19" s="49" t="n"/>
      <c r="DF19" s="49" t="n"/>
      <c r="DG19" s="49" t="n"/>
      <c r="DH19" s="49" t="n"/>
      <c r="DI19" s="49" t="n"/>
      <c r="DJ19" s="49" t="n"/>
      <c r="DK19" s="49" t="n"/>
      <c r="DL19" s="49" t="n"/>
      <c r="DM19" s="49" t="n"/>
      <c r="DN19" s="49" t="n"/>
      <c r="DO19" s="49" t="n"/>
      <c r="DP19" s="49" t="n"/>
      <c r="DQ19" s="49" t="n"/>
      <c r="DR19" s="49" t="n"/>
      <c r="DS19" s="49" t="n"/>
      <c r="DT19" s="49" t="n"/>
      <c r="DU19" s="49" t="n"/>
      <c r="DV19" s="49" t="n"/>
      <c r="DW19" s="49" t="n"/>
      <c r="DX19" s="49" t="n"/>
      <c r="DY19" s="49" t="n"/>
      <c r="DZ19" s="49" t="n"/>
      <c r="EA19" s="49" t="n"/>
      <c r="EB19" s="49" t="n"/>
      <c r="EC19" s="49" t="n"/>
      <c r="ED19" s="49" t="n"/>
      <c r="EE19" s="49" t="n"/>
      <c r="EF19" s="49" t="n"/>
      <c r="EG19" s="49" t="n"/>
      <c r="EH19" s="49" t="n"/>
      <c r="EI19" s="49" t="n"/>
      <c r="EJ19" s="49" t="n"/>
      <c r="EK19" s="49" t="n"/>
      <c r="EL19" s="49" t="n"/>
      <c r="EM19" s="49" t="n"/>
      <c r="EN19" s="49" t="n"/>
      <c r="EO19" s="49" t="n"/>
      <c r="EP19" s="49" t="n"/>
      <c r="EQ19" s="49" t="n"/>
      <c r="ER19" s="49" t="n"/>
      <c r="ES19" s="49" t="n"/>
      <c r="ET19" s="49" t="n"/>
      <c r="EU19" s="49" t="n"/>
      <c r="EV19" s="49" t="n"/>
      <c r="EW19" s="49" t="n"/>
      <c r="EX19" s="49" t="n"/>
      <c r="EY19" s="49" t="n"/>
      <c r="EZ19" s="49" t="n"/>
      <c r="FA19" s="49" t="n"/>
      <c r="FB19" s="49" t="n"/>
      <c r="FC19" s="49" t="n"/>
      <c r="FD19" s="49" t="n"/>
      <c r="FE19" s="49" t="n"/>
      <c r="FF19" s="49" t="n"/>
      <c r="FG19" s="49" t="n"/>
      <c r="FH19" s="49" t="n"/>
      <c r="FI19" s="49" t="n"/>
      <c r="FJ19" s="49" t="n"/>
      <c r="FK19" s="49" t="n"/>
      <c r="FL19" s="49" t="n"/>
      <c r="FM19" s="49" t="n"/>
      <c r="FN19" s="49" t="n"/>
      <c r="FO19" s="49" t="n"/>
      <c r="FP19" s="49" t="n"/>
      <c r="FQ19" s="49" t="n"/>
      <c r="FR19" s="49" t="n"/>
      <c r="FS19" s="49" t="n"/>
      <c r="FT19" s="49" t="n"/>
      <c r="FU19" s="49" t="n"/>
      <c r="FV19" s="49" t="n"/>
      <c r="FW19" s="49" t="n"/>
      <c r="FX19" s="49" t="n"/>
      <c r="FY19" s="49" t="n"/>
      <c r="FZ19" s="49" t="n"/>
      <c r="GA19" s="49" t="n"/>
      <c r="GB19" s="49" t="n"/>
      <c r="GC19" s="49" t="n"/>
      <c r="GD19" s="49" t="n"/>
      <c r="GE19" s="49" t="n"/>
      <c r="GF19" s="49" t="n"/>
      <c r="GG19" s="49" t="n"/>
      <c r="GH19" s="49" t="n"/>
      <c r="GI19" s="49" t="n"/>
      <c r="GJ19" s="49" t="n"/>
      <c r="GK19" s="49" t="n"/>
      <c r="GL19" s="49" t="n"/>
      <c r="GM19" s="49" t="n"/>
      <c r="GN19" s="49" t="n"/>
      <c r="GO19" s="49" t="n"/>
      <c r="GP19" s="49" t="n"/>
      <c r="GQ19" s="49" t="n"/>
      <c r="GR19" s="49" t="n"/>
      <c r="GS19" s="49" t="n"/>
      <c r="GT19" s="49" t="n"/>
      <c r="GU19" s="49" t="n"/>
      <c r="GV19" s="49" t="n"/>
      <c r="GW19" s="49" t="n"/>
      <c r="GX19" s="49" t="n"/>
      <c r="GY19" s="49" t="n"/>
      <c r="GZ19" s="49" t="n"/>
      <c r="HA19" s="49" t="n"/>
      <c r="HB19" s="49" t="n"/>
      <c r="HC19" s="49" t="n"/>
      <c r="HD19" s="49" t="n"/>
      <c r="HE19" s="49" t="n"/>
      <c r="HF19" s="49" t="n"/>
      <c r="HG19" s="49" t="n"/>
      <c r="HH19" s="49" t="n"/>
      <c r="HI19" s="49" t="n"/>
      <c r="HJ19" s="49" t="n"/>
      <c r="HK19" s="49" t="n"/>
      <c r="HL19" s="49" t="n"/>
      <c r="HM19" s="49" t="n"/>
      <c r="HN19" s="49" t="n"/>
      <c r="HO19" s="49" t="n"/>
      <c r="HP19" s="49" t="n"/>
      <c r="HQ19" s="49" t="n"/>
      <c r="HR19" s="49" t="n"/>
      <c r="HS19" s="49" t="n"/>
      <c r="HT19" s="49" t="n"/>
      <c r="HU19" s="49" t="n"/>
      <c r="HV19" s="49" t="n"/>
      <c r="HW19" s="49" t="n"/>
      <c r="HX19" s="49" t="n"/>
    </row>
    <row r="20" ht="33" customFormat="1" customHeight="1" s="50">
      <c r="A20" s="165" t="n"/>
      <c r="B20" s="206" t="n"/>
      <c r="C20" s="169" t="n"/>
      <c r="D20" s="207" t="n"/>
      <c r="E20" s="208" t="n"/>
      <c r="F20" s="166" t="n"/>
      <c r="G20" s="169" t="n"/>
      <c r="H20" s="167" t="n"/>
      <c r="I20" s="168" t="n"/>
      <c r="J20" s="169" t="n"/>
      <c r="K20" s="157" t="n"/>
      <c r="L20" s="157" t="n"/>
      <c r="M20" s="170" t="n"/>
      <c r="N20" s="170" t="n"/>
      <c r="O20" s="170" t="n"/>
      <c r="P20" s="170" t="n"/>
      <c r="Q20" s="170" t="n"/>
      <c r="R20" s="170" t="n"/>
      <c r="S20" s="170" t="n"/>
      <c r="T20" s="170" t="n"/>
      <c r="U20" s="170" t="n"/>
      <c r="V20" s="170" t="n"/>
      <c r="W20" s="172">
        <f>M41*0.145</f>
        <v/>
      </c>
      <c r="X20" s="170">
        <f>SUM(K41:W41)</f>
        <v/>
      </c>
      <c r="Y20" s="170" t="n"/>
      <c r="Z20" s="170" t="n"/>
      <c r="AA20" s="170" t="n"/>
      <c r="AB20" s="170">
        <f>SUM(Y41:AA41)</f>
        <v/>
      </c>
      <c r="AC20" s="170">
        <f>+X41+AB41</f>
        <v/>
      </c>
      <c r="AD20" s="177" t="n"/>
      <c r="AE20" s="174" t="n"/>
      <c r="AF20" s="280" t="n"/>
      <c r="AG20" s="48" t="n"/>
      <c r="AH20" s="49" t="n"/>
      <c r="AI20" s="49" t="n"/>
      <c r="AJ20" s="49" t="n"/>
      <c r="AK20" s="49" t="n"/>
      <c r="AL20" s="49" t="n"/>
      <c r="AM20" s="49" t="n"/>
      <c r="AN20" s="49" t="n"/>
      <c r="AO20" s="49" t="n"/>
      <c r="AP20" s="49" t="n"/>
      <c r="AQ20" s="49" t="n"/>
      <c r="AR20" s="49" t="n"/>
      <c r="AS20" s="49" t="n"/>
      <c r="AT20" s="49" t="n"/>
      <c r="AU20" s="49" t="n"/>
      <c r="AV20" s="49" t="n"/>
      <c r="AW20" s="49" t="n"/>
      <c r="AX20" s="49" t="n"/>
      <c r="AY20" s="49" t="n"/>
      <c r="AZ20" s="49" t="n"/>
      <c r="BA20" s="49" t="n"/>
      <c r="BB20" s="49" t="n"/>
      <c r="BC20" s="49" t="n"/>
      <c r="BD20" s="49" t="n"/>
      <c r="BE20" s="49" t="n"/>
      <c r="BF20" s="49" t="n"/>
      <c r="BG20" s="49" t="n"/>
      <c r="BH20" s="49" t="n"/>
      <c r="BI20" s="49" t="n"/>
      <c r="BJ20" s="49" t="n"/>
      <c r="BK20" s="49" t="n"/>
      <c r="BL20" s="49" t="n"/>
      <c r="BM20" s="49" t="n"/>
      <c r="BN20" s="49" t="n"/>
      <c r="BO20" s="49" t="n"/>
      <c r="BP20" s="49" t="n"/>
      <c r="BQ20" s="49" t="n"/>
      <c r="BR20" s="49" t="n"/>
      <c r="BS20" s="49" t="n"/>
      <c r="BT20" s="49" t="n"/>
      <c r="BU20" s="49" t="n"/>
      <c r="BV20" s="49" t="n"/>
      <c r="BW20" s="49" t="n"/>
      <c r="BX20" s="49" t="n"/>
      <c r="BY20" s="49" t="n"/>
      <c r="BZ20" s="49" t="n"/>
      <c r="CA20" s="49" t="n"/>
      <c r="CB20" s="49" t="n"/>
      <c r="CC20" s="49" t="n"/>
      <c r="CD20" s="49" t="n"/>
      <c r="CE20" s="49" t="n"/>
      <c r="CF20" s="49" t="n"/>
      <c r="CG20" s="49" t="n"/>
      <c r="CH20" s="49" t="n"/>
      <c r="CI20" s="49" t="n"/>
      <c r="CJ20" s="49" t="n"/>
      <c r="CK20" s="49" t="n"/>
      <c r="CL20" s="49" t="n"/>
      <c r="CM20" s="49" t="n"/>
      <c r="CN20" s="49" t="n"/>
      <c r="CO20" s="49" t="n"/>
      <c r="CP20" s="49" t="n"/>
      <c r="CQ20" s="49" t="n"/>
      <c r="CR20" s="49" t="n"/>
      <c r="CS20" s="49" t="n"/>
      <c r="CT20" s="49" t="n"/>
      <c r="CU20" s="49" t="n"/>
      <c r="CV20" s="49" t="n"/>
      <c r="CW20" s="49" t="n"/>
      <c r="CX20" s="49" t="n"/>
      <c r="CY20" s="49" t="n"/>
      <c r="CZ20" s="49" t="n"/>
      <c r="DA20" s="49" t="n"/>
      <c r="DB20" s="49" t="n"/>
      <c r="DC20" s="49" t="n"/>
      <c r="DD20" s="49" t="n"/>
      <c r="DE20" s="49" t="n"/>
      <c r="DF20" s="49" t="n"/>
      <c r="DG20" s="49" t="n"/>
      <c r="DH20" s="49" t="n"/>
      <c r="DI20" s="49" t="n"/>
      <c r="DJ20" s="49" t="n"/>
      <c r="DK20" s="49" t="n"/>
      <c r="DL20" s="49" t="n"/>
      <c r="DM20" s="49" t="n"/>
      <c r="DN20" s="49" t="n"/>
      <c r="DO20" s="49" t="n"/>
      <c r="DP20" s="49" t="n"/>
      <c r="DQ20" s="49" t="n"/>
      <c r="DR20" s="49" t="n"/>
      <c r="DS20" s="49" t="n"/>
      <c r="DT20" s="49" t="n"/>
      <c r="DU20" s="49" t="n"/>
      <c r="DV20" s="49" t="n"/>
      <c r="DW20" s="49" t="n"/>
      <c r="DX20" s="49" t="n"/>
      <c r="DY20" s="49" t="n"/>
      <c r="DZ20" s="49" t="n"/>
      <c r="EA20" s="49" t="n"/>
      <c r="EB20" s="49" t="n"/>
      <c r="EC20" s="49" t="n"/>
      <c r="ED20" s="49" t="n"/>
      <c r="EE20" s="49" t="n"/>
      <c r="EF20" s="49" t="n"/>
      <c r="EG20" s="49" t="n"/>
      <c r="EH20" s="49" t="n"/>
      <c r="EI20" s="49" t="n"/>
      <c r="EJ20" s="49" t="n"/>
      <c r="EK20" s="49" t="n"/>
      <c r="EL20" s="49" t="n"/>
      <c r="EM20" s="49" t="n"/>
      <c r="EN20" s="49" t="n"/>
      <c r="EO20" s="49" t="n"/>
      <c r="EP20" s="49" t="n"/>
      <c r="EQ20" s="49" t="n"/>
      <c r="ER20" s="49" t="n"/>
      <c r="ES20" s="49" t="n"/>
      <c r="ET20" s="49" t="n"/>
      <c r="EU20" s="49" t="n"/>
      <c r="EV20" s="49" t="n"/>
      <c r="EW20" s="49" t="n"/>
      <c r="EX20" s="49" t="n"/>
      <c r="EY20" s="49" t="n"/>
      <c r="EZ20" s="49" t="n"/>
      <c r="FA20" s="49" t="n"/>
      <c r="FB20" s="49" t="n"/>
      <c r="FC20" s="49" t="n"/>
      <c r="FD20" s="49" t="n"/>
      <c r="FE20" s="49" t="n"/>
      <c r="FF20" s="49" t="n"/>
      <c r="FG20" s="49" t="n"/>
      <c r="FH20" s="49" t="n"/>
      <c r="FI20" s="49" t="n"/>
      <c r="FJ20" s="49" t="n"/>
      <c r="FK20" s="49" t="n"/>
      <c r="FL20" s="49" t="n"/>
      <c r="FM20" s="49" t="n"/>
      <c r="FN20" s="49" t="n"/>
      <c r="FO20" s="49" t="n"/>
      <c r="FP20" s="49" t="n"/>
      <c r="FQ20" s="49" t="n"/>
      <c r="FR20" s="49" t="n"/>
      <c r="FS20" s="49" t="n"/>
      <c r="FT20" s="49" t="n"/>
      <c r="FU20" s="49" t="n"/>
      <c r="FV20" s="49" t="n"/>
      <c r="FW20" s="49" t="n"/>
      <c r="FX20" s="49" t="n"/>
      <c r="FY20" s="49" t="n"/>
      <c r="FZ20" s="49" t="n"/>
      <c r="GA20" s="49" t="n"/>
      <c r="GB20" s="49" t="n"/>
      <c r="GC20" s="49" t="n"/>
      <c r="GD20" s="49" t="n"/>
      <c r="GE20" s="49" t="n"/>
      <c r="GF20" s="49" t="n"/>
      <c r="GG20" s="49" t="n"/>
      <c r="GH20" s="49" t="n"/>
      <c r="GI20" s="49" t="n"/>
      <c r="GJ20" s="49" t="n"/>
      <c r="GK20" s="49" t="n"/>
      <c r="GL20" s="49" t="n"/>
      <c r="GM20" s="49" t="n"/>
      <c r="GN20" s="49" t="n"/>
      <c r="GO20" s="49" t="n"/>
      <c r="GP20" s="49" t="n"/>
      <c r="GQ20" s="49" t="n"/>
      <c r="GR20" s="49" t="n"/>
      <c r="GS20" s="49" t="n"/>
      <c r="GT20" s="49" t="n"/>
      <c r="GU20" s="49" t="n"/>
      <c r="GV20" s="49" t="n"/>
      <c r="GW20" s="49" t="n"/>
      <c r="GX20" s="49" t="n"/>
      <c r="GY20" s="49" t="n"/>
      <c r="GZ20" s="49" t="n"/>
      <c r="HA20" s="49" t="n"/>
      <c r="HB20" s="49" t="n"/>
      <c r="HC20" s="49" t="n"/>
      <c r="HD20" s="49" t="n"/>
      <c r="HE20" s="49" t="n"/>
      <c r="HF20" s="49" t="n"/>
      <c r="HG20" s="49" t="n"/>
      <c r="HH20" s="49" t="n"/>
      <c r="HI20" s="49" t="n"/>
      <c r="HJ20" s="49" t="n"/>
      <c r="HK20" s="49" t="n"/>
      <c r="HL20" s="49" t="n"/>
      <c r="HM20" s="49" t="n"/>
      <c r="HN20" s="49" t="n"/>
      <c r="HO20" s="49" t="n"/>
      <c r="HP20" s="49" t="n"/>
      <c r="HQ20" s="49" t="n"/>
      <c r="HR20" s="49" t="n"/>
      <c r="HS20" s="49" t="n"/>
      <c r="HT20" s="49" t="n"/>
      <c r="HU20" s="49" t="n"/>
      <c r="HV20" s="49" t="n"/>
      <c r="HW20" s="49" t="n"/>
      <c r="HX20" s="49" t="n"/>
    </row>
    <row r="21" ht="33" customFormat="1" customHeight="1" s="61">
      <c r="A21" s="165" t="n"/>
      <c r="B21" s="206" t="n"/>
      <c r="C21" s="169" t="n"/>
      <c r="D21" s="207" t="n"/>
      <c r="E21" s="208" t="n"/>
      <c r="F21" s="166" t="n"/>
      <c r="G21" s="169" t="n"/>
      <c r="H21" s="167" t="n"/>
      <c r="I21" s="168" t="n"/>
      <c r="J21" s="169" t="n"/>
      <c r="K21" s="157" t="n"/>
      <c r="L21" s="157" t="n"/>
      <c r="M21" s="170" t="n"/>
      <c r="N21" s="170" t="n"/>
      <c r="O21" s="170" t="n"/>
      <c r="P21" s="170" t="n"/>
      <c r="Q21" s="170" t="n"/>
      <c r="R21" s="170" t="n"/>
      <c r="S21" s="170" t="n"/>
      <c r="T21" s="170" t="n"/>
      <c r="U21" s="170" t="n"/>
      <c r="V21" s="170" t="n"/>
      <c r="W21" s="172">
        <f>M42*0.145</f>
        <v/>
      </c>
      <c r="X21" s="170">
        <f>SUM(K42:W42)</f>
        <v/>
      </c>
      <c r="Y21" s="170" t="n"/>
      <c r="Z21" s="170" t="n"/>
      <c r="AA21" s="170" t="n"/>
      <c r="AB21" s="170">
        <f>SUM(Y42:AA42)</f>
        <v/>
      </c>
      <c r="AC21" s="170">
        <f>+X42+AB42</f>
        <v/>
      </c>
      <c r="AD21" s="177" t="n"/>
      <c r="AE21" s="174" t="n"/>
      <c r="AF21" s="280" t="n"/>
      <c r="AG21" s="48" t="n"/>
      <c r="AH21" s="49" t="n"/>
      <c r="AI21" s="49" t="n"/>
      <c r="AJ21" s="49" t="n"/>
      <c r="AK21" s="49" t="n"/>
      <c r="AL21" s="49" t="n"/>
      <c r="AM21" s="49" t="n"/>
      <c r="AN21" s="49" t="n"/>
      <c r="AO21" s="49" t="n"/>
      <c r="AP21" s="49" t="n"/>
      <c r="AQ21" s="49" t="n"/>
      <c r="AR21" s="49" t="n"/>
      <c r="AS21" s="49" t="n"/>
      <c r="AT21" s="49" t="n"/>
      <c r="AU21" s="49" t="n"/>
      <c r="AV21" s="49" t="n"/>
      <c r="AW21" s="49" t="n"/>
      <c r="AX21" s="49" t="n"/>
      <c r="AY21" s="49" t="n"/>
      <c r="AZ21" s="49" t="n"/>
      <c r="BA21" s="49" t="n"/>
      <c r="BB21" s="49" t="n"/>
      <c r="BC21" s="49" t="n"/>
      <c r="BD21" s="49" t="n"/>
      <c r="BE21" s="49" t="n"/>
      <c r="BF21" s="49" t="n"/>
      <c r="BG21" s="49" t="n"/>
      <c r="BH21" s="49" t="n"/>
      <c r="BI21" s="49" t="n"/>
      <c r="BJ21" s="49" t="n"/>
      <c r="BK21" s="49" t="n"/>
      <c r="BL21" s="49" t="n"/>
      <c r="BM21" s="49" t="n"/>
      <c r="BN21" s="49" t="n"/>
      <c r="BO21" s="49" t="n"/>
      <c r="BP21" s="49" t="n"/>
      <c r="BQ21" s="49" t="n"/>
      <c r="BR21" s="49" t="n"/>
      <c r="BS21" s="49" t="n"/>
      <c r="BT21" s="49" t="n"/>
      <c r="BU21" s="49" t="n"/>
      <c r="BV21" s="49" t="n"/>
      <c r="BW21" s="49" t="n"/>
      <c r="BX21" s="49" t="n"/>
      <c r="BY21" s="49" t="n"/>
      <c r="BZ21" s="49" t="n"/>
      <c r="CA21" s="49" t="n"/>
      <c r="CB21" s="49" t="n"/>
      <c r="CC21" s="49" t="n"/>
      <c r="CD21" s="49" t="n"/>
      <c r="CE21" s="49" t="n"/>
      <c r="CF21" s="49" t="n"/>
      <c r="CG21" s="49" t="n"/>
      <c r="CH21" s="49" t="n"/>
      <c r="CI21" s="49" t="n"/>
      <c r="CJ21" s="49" t="n"/>
      <c r="CK21" s="49" t="n"/>
      <c r="CL21" s="49" t="n"/>
      <c r="CM21" s="49" t="n"/>
      <c r="CN21" s="49" t="n"/>
      <c r="CO21" s="49" t="n"/>
      <c r="CP21" s="49" t="n"/>
      <c r="CQ21" s="49" t="n"/>
      <c r="CR21" s="49" t="n"/>
      <c r="CS21" s="49" t="n"/>
      <c r="CT21" s="49" t="n"/>
      <c r="CU21" s="49" t="n"/>
      <c r="CV21" s="49" t="n"/>
      <c r="CW21" s="49" t="n"/>
      <c r="CX21" s="49" t="n"/>
      <c r="CY21" s="49" t="n"/>
      <c r="CZ21" s="49" t="n"/>
      <c r="DA21" s="49" t="n"/>
      <c r="DB21" s="49" t="n"/>
      <c r="DC21" s="49" t="n"/>
      <c r="DD21" s="49" t="n"/>
      <c r="DE21" s="49" t="n"/>
      <c r="DF21" s="49" t="n"/>
      <c r="DG21" s="49" t="n"/>
      <c r="DH21" s="49" t="n"/>
      <c r="DI21" s="49" t="n"/>
      <c r="DJ21" s="49" t="n"/>
      <c r="DK21" s="49" t="n"/>
      <c r="DL21" s="49" t="n"/>
      <c r="DM21" s="49" t="n"/>
      <c r="DN21" s="49" t="n"/>
      <c r="DO21" s="49" t="n"/>
      <c r="DP21" s="49" t="n"/>
      <c r="DQ21" s="49" t="n"/>
      <c r="DR21" s="49" t="n"/>
      <c r="DS21" s="49" t="n"/>
      <c r="DT21" s="49" t="n"/>
      <c r="DU21" s="49" t="n"/>
      <c r="DV21" s="49" t="n"/>
      <c r="DW21" s="49" t="n"/>
      <c r="DX21" s="49" t="n"/>
      <c r="DY21" s="49" t="n"/>
      <c r="DZ21" s="49" t="n"/>
      <c r="EA21" s="49" t="n"/>
      <c r="EB21" s="49" t="n"/>
      <c r="EC21" s="49" t="n"/>
      <c r="ED21" s="49" t="n"/>
      <c r="EE21" s="49" t="n"/>
      <c r="EF21" s="49" t="n"/>
      <c r="EG21" s="49" t="n"/>
      <c r="EH21" s="49" t="n"/>
      <c r="EI21" s="49" t="n"/>
      <c r="EJ21" s="49" t="n"/>
      <c r="EK21" s="49" t="n"/>
      <c r="EL21" s="49" t="n"/>
      <c r="EM21" s="49" t="n"/>
      <c r="EN21" s="49" t="n"/>
      <c r="EO21" s="49" t="n"/>
      <c r="EP21" s="49" t="n"/>
      <c r="EQ21" s="49" t="n"/>
      <c r="ER21" s="49" t="n"/>
      <c r="ES21" s="49" t="n"/>
      <c r="ET21" s="49" t="n"/>
      <c r="EU21" s="49" t="n"/>
      <c r="EV21" s="49" t="n"/>
      <c r="EW21" s="49" t="n"/>
      <c r="EX21" s="49" t="n"/>
      <c r="EY21" s="49" t="n"/>
      <c r="EZ21" s="49" t="n"/>
      <c r="FA21" s="49" t="n"/>
      <c r="FB21" s="49" t="n"/>
      <c r="FC21" s="49" t="n"/>
      <c r="FD21" s="49" t="n"/>
      <c r="FE21" s="49" t="n"/>
      <c r="FF21" s="49" t="n"/>
      <c r="FG21" s="49" t="n"/>
      <c r="FH21" s="49" t="n"/>
      <c r="FI21" s="49" t="n"/>
      <c r="FJ21" s="49" t="n"/>
      <c r="FK21" s="49" t="n"/>
      <c r="FL21" s="49" t="n"/>
      <c r="FM21" s="49" t="n"/>
      <c r="FN21" s="49" t="n"/>
      <c r="FO21" s="49" t="n"/>
      <c r="FP21" s="49" t="n"/>
      <c r="FQ21" s="49" t="n"/>
      <c r="FR21" s="49" t="n"/>
      <c r="FS21" s="49" t="n"/>
      <c r="FT21" s="49" t="n"/>
      <c r="FU21" s="49" t="n"/>
      <c r="FV21" s="49" t="n"/>
      <c r="FW21" s="49" t="n"/>
      <c r="FX21" s="49" t="n"/>
      <c r="FY21" s="49" t="n"/>
      <c r="FZ21" s="49" t="n"/>
      <c r="GA21" s="49" t="n"/>
      <c r="GB21" s="49" t="n"/>
      <c r="GC21" s="49" t="n"/>
      <c r="GD21" s="49" t="n"/>
      <c r="GE21" s="49" t="n"/>
      <c r="GF21" s="49" t="n"/>
      <c r="GG21" s="49" t="n"/>
      <c r="GH21" s="49" t="n"/>
      <c r="GI21" s="49" t="n"/>
      <c r="GJ21" s="49" t="n"/>
      <c r="GK21" s="49" t="n"/>
      <c r="GL21" s="49" t="n"/>
      <c r="GM21" s="49" t="n"/>
      <c r="GN21" s="49" t="n"/>
      <c r="GO21" s="49" t="n"/>
      <c r="GP21" s="49" t="n"/>
      <c r="GQ21" s="49" t="n"/>
      <c r="GR21" s="49" t="n"/>
      <c r="GS21" s="49" t="n"/>
      <c r="GT21" s="49" t="n"/>
      <c r="GU21" s="49" t="n"/>
      <c r="GV21" s="49" t="n"/>
      <c r="GW21" s="49" t="n"/>
      <c r="GX21" s="49" t="n"/>
      <c r="GY21" s="49" t="n"/>
      <c r="GZ21" s="49" t="n"/>
      <c r="HA21" s="49" t="n"/>
      <c r="HB21" s="49" t="n"/>
      <c r="HC21" s="49" t="n"/>
      <c r="HD21" s="49" t="n"/>
      <c r="HE21" s="49" t="n"/>
      <c r="HF21" s="49" t="n"/>
      <c r="HG21" s="49" t="n"/>
      <c r="HH21" s="49" t="n"/>
      <c r="HI21" s="49" t="n"/>
      <c r="HJ21" s="49" t="n"/>
      <c r="HK21" s="49" t="n"/>
      <c r="HL21" s="49" t="n"/>
      <c r="HM21" s="49" t="n"/>
      <c r="HN21" s="49" t="n"/>
      <c r="HO21" s="49" t="n"/>
      <c r="HP21" s="49" t="n"/>
      <c r="HQ21" s="49" t="n"/>
      <c r="HR21" s="49" t="n"/>
      <c r="HS21" s="49" t="n"/>
      <c r="HT21" s="49" t="n"/>
      <c r="HU21" s="49" t="n"/>
      <c r="HV21" s="49" t="n"/>
      <c r="HW21" s="49" t="n"/>
      <c r="HX21" s="49" t="n"/>
    </row>
    <row r="22" ht="33" customFormat="1" customHeight="1" s="61">
      <c r="A22" s="191" t="n"/>
      <c r="B22" s="209" t="n"/>
      <c r="C22" s="195" t="n"/>
      <c r="D22" s="210" t="n"/>
      <c r="E22" s="211" t="n"/>
      <c r="F22" s="192" t="n"/>
      <c r="G22" s="195" t="n"/>
      <c r="H22" s="193" t="n"/>
      <c r="I22" s="194" t="n"/>
      <c r="J22" s="195" t="n"/>
      <c r="K22" s="196" t="n"/>
      <c r="L22" s="196" t="n"/>
      <c r="M22" s="197" t="n"/>
      <c r="N22" s="197" t="n"/>
      <c r="O22" s="197" t="n"/>
      <c r="P22" s="197" t="n"/>
      <c r="Q22" s="197" t="n"/>
      <c r="R22" s="197" t="n"/>
      <c r="S22" s="197" t="n"/>
      <c r="T22" s="197" t="n"/>
      <c r="U22" s="197" t="n"/>
      <c r="V22" s="197" t="n"/>
      <c r="W22" s="198">
        <f>M43*0.145</f>
        <v/>
      </c>
      <c r="X22" s="197">
        <f>SUM(K43:W43)</f>
        <v/>
      </c>
      <c r="Y22" s="197" t="n"/>
      <c r="Z22" s="197" t="n"/>
      <c r="AA22" s="197" t="n"/>
      <c r="AB22" s="197">
        <f>SUM(Y43:AA43)</f>
        <v/>
      </c>
      <c r="AC22" s="197">
        <f>+X43+AB43</f>
        <v/>
      </c>
      <c r="AD22" s="197" t="n"/>
      <c r="AE22" s="199" t="n"/>
      <c r="AF22" s="281" t="n"/>
      <c r="AG22" s="48" t="n"/>
      <c r="AH22" s="49" t="n"/>
      <c r="AI22" s="49" t="n"/>
      <c r="AJ22" s="49" t="n"/>
      <c r="AK22" s="49" t="n"/>
      <c r="AL22" s="49" t="n"/>
      <c r="AM22" s="49" t="n"/>
      <c r="AN22" s="49" t="n"/>
      <c r="AO22" s="49" t="n"/>
      <c r="AP22" s="49" t="n"/>
      <c r="AQ22" s="49" t="n"/>
      <c r="AR22" s="49" t="n"/>
      <c r="AS22" s="49" t="n"/>
      <c r="AT22" s="49" t="n"/>
      <c r="AU22" s="49" t="n"/>
      <c r="AV22" s="49" t="n"/>
      <c r="AW22" s="49" t="n"/>
      <c r="AX22" s="49" t="n"/>
      <c r="AY22" s="49" t="n"/>
      <c r="AZ22" s="49" t="n"/>
      <c r="BA22" s="49" t="n"/>
      <c r="BB22" s="49" t="n"/>
      <c r="BC22" s="49" t="n"/>
      <c r="BD22" s="49" t="n"/>
      <c r="BE22" s="49" t="n"/>
      <c r="BF22" s="49" t="n"/>
      <c r="BG22" s="49" t="n"/>
      <c r="BH22" s="49" t="n"/>
      <c r="BI22" s="49" t="n"/>
      <c r="BJ22" s="49" t="n"/>
      <c r="BK22" s="49" t="n"/>
      <c r="BL22" s="49" t="n"/>
      <c r="BM22" s="49" t="n"/>
      <c r="BN22" s="49" t="n"/>
      <c r="BO22" s="49" t="n"/>
      <c r="BP22" s="49" t="n"/>
      <c r="BQ22" s="49" t="n"/>
      <c r="BR22" s="49" t="n"/>
      <c r="BS22" s="49" t="n"/>
      <c r="BT22" s="49" t="n"/>
      <c r="BU22" s="49" t="n"/>
      <c r="BV22" s="49" t="n"/>
      <c r="BW22" s="49" t="n"/>
      <c r="BX22" s="49" t="n"/>
      <c r="BY22" s="49" t="n"/>
      <c r="BZ22" s="49" t="n"/>
      <c r="CA22" s="49" t="n"/>
      <c r="CB22" s="49" t="n"/>
      <c r="CC22" s="49" t="n"/>
      <c r="CD22" s="49" t="n"/>
      <c r="CE22" s="49" t="n"/>
      <c r="CF22" s="49" t="n"/>
      <c r="CG22" s="49" t="n"/>
      <c r="CH22" s="49" t="n"/>
      <c r="CI22" s="49" t="n"/>
      <c r="CJ22" s="49" t="n"/>
      <c r="CK22" s="49" t="n"/>
      <c r="CL22" s="49" t="n"/>
      <c r="CM22" s="49" t="n"/>
      <c r="CN22" s="49" t="n"/>
      <c r="CO22" s="49" t="n"/>
      <c r="CP22" s="49" t="n"/>
      <c r="CQ22" s="49" t="n"/>
      <c r="CR22" s="49" t="n"/>
      <c r="CS22" s="49" t="n"/>
      <c r="CT22" s="49" t="n"/>
      <c r="CU22" s="49" t="n"/>
      <c r="CV22" s="49" t="n"/>
      <c r="CW22" s="49" t="n"/>
      <c r="CX22" s="49" t="n"/>
      <c r="CY22" s="49" t="n"/>
      <c r="CZ22" s="49" t="n"/>
      <c r="DA22" s="49" t="n"/>
      <c r="DB22" s="49" t="n"/>
      <c r="DC22" s="49" t="n"/>
      <c r="DD22" s="49" t="n"/>
      <c r="DE22" s="49" t="n"/>
      <c r="DF22" s="49" t="n"/>
      <c r="DG22" s="49" t="n"/>
      <c r="DH22" s="49" t="n"/>
      <c r="DI22" s="49" t="n"/>
      <c r="DJ22" s="49" t="n"/>
      <c r="DK22" s="49" t="n"/>
      <c r="DL22" s="49" t="n"/>
      <c r="DM22" s="49" t="n"/>
      <c r="DN22" s="49" t="n"/>
      <c r="DO22" s="49" t="n"/>
      <c r="DP22" s="49" t="n"/>
      <c r="DQ22" s="49" t="n"/>
      <c r="DR22" s="49" t="n"/>
      <c r="DS22" s="49" t="n"/>
      <c r="DT22" s="49" t="n"/>
      <c r="DU22" s="49" t="n"/>
      <c r="DV22" s="49" t="n"/>
      <c r="DW22" s="49" t="n"/>
      <c r="DX22" s="49" t="n"/>
      <c r="DY22" s="49" t="n"/>
      <c r="DZ22" s="49" t="n"/>
      <c r="EA22" s="49" t="n"/>
      <c r="EB22" s="49" t="n"/>
      <c r="EC22" s="49" t="n"/>
      <c r="ED22" s="49" t="n"/>
      <c r="EE22" s="49" t="n"/>
      <c r="EF22" s="49" t="n"/>
      <c r="EG22" s="49" t="n"/>
      <c r="EH22" s="49" t="n"/>
      <c r="EI22" s="49" t="n"/>
      <c r="EJ22" s="49" t="n"/>
      <c r="EK22" s="49" t="n"/>
      <c r="EL22" s="49" t="n"/>
      <c r="EM22" s="49" t="n"/>
      <c r="EN22" s="49" t="n"/>
      <c r="EO22" s="49" t="n"/>
      <c r="EP22" s="49" t="n"/>
      <c r="EQ22" s="49" t="n"/>
      <c r="ER22" s="49" t="n"/>
      <c r="ES22" s="49" t="n"/>
      <c r="ET22" s="49" t="n"/>
      <c r="EU22" s="49" t="n"/>
      <c r="EV22" s="49" t="n"/>
      <c r="EW22" s="49" t="n"/>
      <c r="EX22" s="49" t="n"/>
      <c r="EY22" s="49" t="n"/>
      <c r="EZ22" s="49" t="n"/>
      <c r="FA22" s="49" t="n"/>
      <c r="FB22" s="49" t="n"/>
      <c r="FC22" s="49" t="n"/>
      <c r="FD22" s="49" t="n"/>
      <c r="FE22" s="49" t="n"/>
      <c r="FF22" s="49" t="n"/>
      <c r="FG22" s="49" t="n"/>
      <c r="FH22" s="49" t="n"/>
      <c r="FI22" s="49" t="n"/>
      <c r="FJ22" s="49" t="n"/>
      <c r="FK22" s="49" t="n"/>
      <c r="FL22" s="49" t="n"/>
      <c r="FM22" s="49" t="n"/>
      <c r="FN22" s="49" t="n"/>
      <c r="FO22" s="49" t="n"/>
      <c r="FP22" s="49" t="n"/>
      <c r="FQ22" s="49" t="n"/>
      <c r="FR22" s="49" t="n"/>
      <c r="FS22" s="49" t="n"/>
      <c r="FT22" s="49" t="n"/>
      <c r="FU22" s="49" t="n"/>
      <c r="FV22" s="49" t="n"/>
      <c r="FW22" s="49" t="n"/>
      <c r="FX22" s="49" t="n"/>
      <c r="FY22" s="49" t="n"/>
      <c r="FZ22" s="49" t="n"/>
      <c r="GA22" s="49" t="n"/>
      <c r="GB22" s="49" t="n"/>
      <c r="GC22" s="49" t="n"/>
      <c r="GD22" s="49" t="n"/>
      <c r="GE22" s="49" t="n"/>
      <c r="GF22" s="49" t="n"/>
      <c r="GG22" s="49" t="n"/>
      <c r="GH22" s="49" t="n"/>
      <c r="GI22" s="49" t="n"/>
      <c r="GJ22" s="49" t="n"/>
      <c r="GK22" s="49" t="n"/>
      <c r="GL22" s="49" t="n"/>
      <c r="GM22" s="49" t="n"/>
      <c r="GN22" s="49" t="n"/>
      <c r="GO22" s="49" t="n"/>
      <c r="GP22" s="49" t="n"/>
      <c r="GQ22" s="49" t="n"/>
      <c r="GR22" s="49" t="n"/>
      <c r="GS22" s="49" t="n"/>
      <c r="GT22" s="49" t="n"/>
      <c r="GU22" s="49" t="n"/>
      <c r="GV22" s="49" t="n"/>
      <c r="GW22" s="49" t="n"/>
      <c r="GX22" s="49" t="n"/>
      <c r="GY22" s="49" t="n"/>
      <c r="GZ22" s="49" t="n"/>
      <c r="HA22" s="49" t="n"/>
      <c r="HB22" s="49" t="n"/>
      <c r="HC22" s="49" t="n"/>
      <c r="HD22" s="49" t="n"/>
      <c r="HE22" s="49" t="n"/>
      <c r="HF22" s="49" t="n"/>
      <c r="HG22" s="49" t="n"/>
      <c r="HH22" s="49" t="n"/>
      <c r="HI22" s="49" t="n"/>
      <c r="HJ22" s="49" t="n"/>
      <c r="HK22" s="49" t="n"/>
      <c r="HL22" s="49" t="n"/>
      <c r="HM22" s="49" t="n"/>
      <c r="HN22" s="49" t="n"/>
      <c r="HO22" s="49" t="n"/>
      <c r="HP22" s="49" t="n"/>
      <c r="HQ22" s="49" t="n"/>
      <c r="HR22" s="49" t="n"/>
      <c r="HS22" s="49" t="n"/>
      <c r="HT22" s="49" t="n"/>
      <c r="HU22" s="49" t="n"/>
      <c r="HV22" s="49" t="n"/>
      <c r="HW22" s="49" t="n"/>
      <c r="HX22" s="49" t="n"/>
    </row>
    <row r="23" ht="33" customFormat="1" customHeight="1" s="50">
      <c r="A23" s="219" t="n"/>
      <c r="B23" s="272" t="n"/>
      <c r="C23" s="272" t="n"/>
      <c r="D23" s="272" t="n"/>
      <c r="E23" s="272" t="n"/>
      <c r="F23" s="272" t="n"/>
      <c r="G23" s="272" t="n"/>
      <c r="H23" s="272" t="n"/>
      <c r="I23" s="273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>
        <f>SUM(U13:U43)</f>
        <v/>
      </c>
      <c r="V23" s="64">
        <f>SUM(V13:V43)</f>
        <v/>
      </c>
      <c r="W23" s="64">
        <f>SUM(W13:W43)</f>
        <v/>
      </c>
      <c r="X23" s="64">
        <f>SUM(X13:X43)</f>
        <v/>
      </c>
      <c r="Y23" s="64">
        <f>SUM(Y13:Y43)</f>
        <v/>
      </c>
      <c r="Z23" s="64">
        <f>SUM(Z13:Z43)</f>
        <v/>
      </c>
      <c r="AA23" s="64">
        <f>SUM(AA13:AA43)</f>
        <v/>
      </c>
      <c r="AB23" s="64">
        <f>SUM(AB13:AB43)</f>
        <v/>
      </c>
      <c r="AC23" s="64">
        <f>SUM(AC13:AC43)</f>
        <v/>
      </c>
      <c r="AD23" s="64">
        <f>SUM(AD13:AD43)</f>
        <v/>
      </c>
      <c r="AE23" s="63">
        <f>SUM(AE13:AE43)</f>
        <v/>
      </c>
      <c r="AF23" s="45" t="n"/>
      <c r="AG23" s="16" t="n"/>
      <c r="AH23" s="45" t="n"/>
      <c r="AI23" s="45" t="n"/>
      <c r="AJ23" s="45" t="n"/>
      <c r="AK23" s="45" t="n"/>
      <c r="AL23" s="45" t="n"/>
      <c r="AM23" s="45" t="n"/>
      <c r="AN23" s="45" t="n"/>
      <c r="AO23" s="45" t="n"/>
      <c r="AP23" s="45" t="n"/>
      <c r="AQ23" s="45" t="n"/>
      <c r="AR23" s="45" t="n"/>
      <c r="AS23" s="45" t="n"/>
      <c r="AT23" s="45" t="n"/>
      <c r="AU23" s="45" t="n"/>
      <c r="AV23" s="45" t="n"/>
      <c r="AW23" s="45" t="n"/>
      <c r="AX23" s="45" t="n"/>
      <c r="AY23" s="45" t="n"/>
      <c r="AZ23" s="45" t="n"/>
      <c r="BA23" s="45" t="n"/>
      <c r="BB23" s="45" t="n"/>
      <c r="BC23" s="45" t="n"/>
      <c r="BD23" s="45" t="n"/>
      <c r="BE23" s="45" t="n"/>
      <c r="BF23" s="45" t="n"/>
      <c r="BG23" s="45" t="n"/>
      <c r="BH23" s="45" t="n"/>
      <c r="BI23" s="45" t="n"/>
      <c r="BJ23" s="45" t="n"/>
      <c r="BK23" s="45" t="n"/>
      <c r="BL23" s="45" t="n"/>
      <c r="BM23" s="45" t="n"/>
      <c r="BN23" s="45" t="n"/>
      <c r="BO23" s="45" t="n"/>
      <c r="BP23" s="45" t="n"/>
      <c r="BQ23" s="45" t="n"/>
      <c r="BR23" s="45" t="n"/>
      <c r="BS23" s="45" t="n"/>
      <c r="BT23" s="45" t="n"/>
      <c r="BU23" s="45" t="n"/>
      <c r="BV23" s="45" t="n"/>
      <c r="BW23" s="45" t="n"/>
      <c r="BX23" s="45" t="n"/>
      <c r="BY23" s="45" t="n"/>
      <c r="BZ23" s="45" t="n"/>
      <c r="CA23" s="45" t="n"/>
      <c r="CB23" s="45" t="n"/>
      <c r="CC23" s="45" t="n"/>
      <c r="CD23" s="45" t="n"/>
      <c r="CE23" s="45" t="n"/>
      <c r="CF23" s="45" t="n"/>
      <c r="CG23" s="45" t="n"/>
      <c r="CH23" s="45" t="n"/>
      <c r="CI23" s="45" t="n"/>
      <c r="CJ23" s="45" t="n"/>
      <c r="CK23" s="45" t="n"/>
      <c r="CL23" s="45" t="n"/>
      <c r="CM23" s="45" t="n"/>
      <c r="CN23" s="45" t="n"/>
      <c r="CO23" s="45" t="n"/>
      <c r="CP23" s="45" t="n"/>
      <c r="CQ23" s="45" t="n"/>
      <c r="CR23" s="45" t="n"/>
      <c r="CS23" s="45" t="n"/>
      <c r="CT23" s="45" t="n"/>
      <c r="CU23" s="45" t="n"/>
      <c r="CV23" s="45" t="n"/>
      <c r="CW23" s="45" t="n"/>
      <c r="CX23" s="45" t="n"/>
      <c r="CY23" s="45" t="n"/>
      <c r="CZ23" s="45" t="n"/>
      <c r="DA23" s="45" t="n"/>
      <c r="DB23" s="45" t="n"/>
      <c r="DC23" s="45" t="n"/>
      <c r="DD23" s="45" t="n"/>
      <c r="DE23" s="45" t="n"/>
      <c r="DF23" s="45" t="n"/>
      <c r="DG23" s="45" t="n"/>
      <c r="DH23" s="45" t="n"/>
      <c r="DI23" s="45" t="n"/>
      <c r="DJ23" s="45" t="n"/>
      <c r="DK23" s="45" t="n"/>
      <c r="DL23" s="45" t="n"/>
      <c r="DM23" s="45" t="n"/>
      <c r="DN23" s="45" t="n"/>
      <c r="DO23" s="45" t="n"/>
      <c r="DP23" s="45" t="n"/>
      <c r="DQ23" s="45" t="n"/>
      <c r="DR23" s="45" t="n"/>
      <c r="DS23" s="45" t="n"/>
      <c r="DT23" s="45" t="n"/>
      <c r="DU23" s="45" t="n"/>
      <c r="DV23" s="45" t="n"/>
      <c r="DW23" s="45" t="n"/>
      <c r="DX23" s="45" t="n"/>
      <c r="DY23" s="45" t="n"/>
      <c r="DZ23" s="45" t="n"/>
      <c r="EA23" s="45" t="n"/>
      <c r="EB23" s="45" t="n"/>
      <c r="EC23" s="45" t="n"/>
      <c r="ED23" s="45" t="n"/>
      <c r="EE23" s="45" t="n"/>
      <c r="EF23" s="45" t="n"/>
      <c r="EG23" s="45" t="n"/>
      <c r="EH23" s="45" t="n"/>
      <c r="EI23" s="45" t="n"/>
      <c r="EJ23" s="45" t="n"/>
      <c r="EK23" s="45" t="n"/>
      <c r="EL23" s="45" t="n"/>
      <c r="EM23" s="45" t="n"/>
      <c r="EN23" s="45" t="n"/>
      <c r="EO23" s="45" t="n"/>
      <c r="EP23" s="45" t="n"/>
      <c r="EQ23" s="45" t="n"/>
      <c r="ER23" s="45" t="n"/>
      <c r="ES23" s="45" t="n"/>
      <c r="ET23" s="45" t="n"/>
      <c r="EU23" s="45" t="n"/>
      <c r="EV23" s="45" t="n"/>
      <c r="EW23" s="45" t="n"/>
      <c r="EX23" s="45" t="n"/>
      <c r="EY23" s="45" t="n"/>
      <c r="EZ23" s="45" t="n"/>
      <c r="FA23" s="45" t="n"/>
      <c r="FB23" s="45" t="n"/>
      <c r="FC23" s="45" t="n"/>
      <c r="FD23" s="45" t="n"/>
      <c r="FE23" s="45" t="n"/>
      <c r="FF23" s="45" t="n"/>
      <c r="FG23" s="45" t="n"/>
      <c r="FH23" s="45" t="n"/>
      <c r="FI23" s="45" t="n"/>
      <c r="FJ23" s="45" t="n"/>
      <c r="FK23" s="45" t="n"/>
      <c r="FL23" s="45" t="n"/>
      <c r="FM23" s="45" t="n"/>
      <c r="FN23" s="45" t="n"/>
      <c r="FO23" s="45" t="n"/>
      <c r="FP23" s="45" t="n"/>
      <c r="FQ23" s="45" t="n"/>
      <c r="FR23" s="45" t="n"/>
      <c r="FS23" s="45" t="n"/>
      <c r="FT23" s="45" t="n"/>
      <c r="FU23" s="45" t="n"/>
      <c r="FV23" s="45" t="n"/>
      <c r="FW23" s="45" t="n"/>
      <c r="FX23" s="45" t="n"/>
      <c r="FY23" s="45" t="n"/>
      <c r="FZ23" s="45" t="n"/>
      <c r="GA23" s="45" t="n"/>
      <c r="GB23" s="45" t="n"/>
      <c r="GC23" s="45" t="n"/>
      <c r="GD23" s="45" t="n"/>
      <c r="GE23" s="45" t="n"/>
      <c r="GF23" s="45" t="n"/>
      <c r="GG23" s="45" t="n"/>
      <c r="GH23" s="45" t="n"/>
      <c r="GI23" s="45" t="n"/>
      <c r="GJ23" s="45" t="n"/>
      <c r="GK23" s="45" t="n"/>
      <c r="GL23" s="45" t="n"/>
      <c r="GM23" s="45" t="n"/>
      <c r="GN23" s="45" t="n"/>
      <c r="GO23" s="45" t="n"/>
      <c r="GP23" s="45" t="n"/>
      <c r="GQ23" s="45" t="n"/>
      <c r="GR23" s="45" t="n"/>
      <c r="GS23" s="45" t="n"/>
      <c r="GT23" s="45" t="n"/>
      <c r="GU23" s="45" t="n"/>
      <c r="GV23" s="45" t="n"/>
      <c r="GW23" s="45" t="n"/>
      <c r="GX23" s="45" t="n"/>
      <c r="GY23" s="45" t="n"/>
      <c r="GZ23" s="45" t="n"/>
      <c r="HA23" s="45" t="n"/>
      <c r="HB23" s="45" t="n"/>
      <c r="HC23" s="45" t="n"/>
      <c r="HD23" s="45" t="n"/>
      <c r="HE23" s="45" t="n"/>
      <c r="HF23" s="45" t="n"/>
      <c r="HG23" s="45" t="n"/>
      <c r="HH23" s="45" t="n"/>
      <c r="HI23" s="45" t="n"/>
      <c r="HJ23" s="45" t="n"/>
      <c r="HK23" s="45" t="n"/>
      <c r="HL23" s="45" t="n"/>
      <c r="HM23" s="45" t="n"/>
      <c r="HN23" s="45" t="n"/>
      <c r="HO23" s="45" t="n"/>
      <c r="HP23" s="45" t="n"/>
      <c r="HQ23" s="45" t="n"/>
      <c r="HR23" s="45" t="n"/>
      <c r="HS23" s="45" t="n"/>
      <c r="HT23" s="45" t="n"/>
      <c r="HU23" s="45" t="n"/>
      <c r="HV23" s="45" t="n"/>
      <c r="HW23" s="45" t="n"/>
      <c r="HX23" s="45" t="n"/>
    </row>
    <row r="24" ht="33" customFormat="1" customHeight="1" s="50">
      <c r="A24" s="221" t="n"/>
      <c r="B24" s="282" t="n"/>
      <c r="C24" s="282" t="n"/>
      <c r="D24" s="282" t="n"/>
      <c r="E24" s="282" t="n"/>
      <c r="F24" s="282" t="n"/>
      <c r="G24" s="282" t="n"/>
      <c r="H24" s="282" t="n"/>
      <c r="I24" s="283" t="n"/>
      <c r="J24" s="159" t="n"/>
      <c r="K24" s="159" t="n"/>
      <c r="L24" s="159" t="n"/>
      <c r="M24" s="159" t="n"/>
      <c r="N24" s="159" t="n"/>
      <c r="O24" s="159" t="n"/>
      <c r="P24" s="159" t="n"/>
      <c r="Q24" s="159" t="n"/>
      <c r="R24" s="159" t="n"/>
      <c r="S24" s="159" t="n"/>
      <c r="T24" s="159" t="n"/>
      <c r="U24" s="159" t="n">
        <v>0</v>
      </c>
      <c r="V24" s="159" t="n">
        <v>0</v>
      </c>
      <c r="W24" s="159" t="n"/>
      <c r="X24" s="159" t="n">
        <v>0</v>
      </c>
      <c r="Y24" s="159" t="n">
        <v>0</v>
      </c>
      <c r="Z24" s="159" t="n">
        <v>0</v>
      </c>
      <c r="AA24" s="159" t="n">
        <v>0</v>
      </c>
      <c r="AB24" s="159" t="n">
        <v>0</v>
      </c>
      <c r="AC24" s="159" t="n">
        <v>0</v>
      </c>
      <c r="AD24" s="159" t="n">
        <v>0</v>
      </c>
      <c r="AE24" s="160" t="n">
        <v>0</v>
      </c>
      <c r="AG24" s="16" t="n"/>
    </row>
    <row r="25" ht="45" customFormat="1" customHeight="1" s="50">
      <c r="A25" s="221" t="n"/>
      <c r="B25" s="282" t="n"/>
      <c r="C25" s="282" t="n"/>
      <c r="D25" s="282" t="n"/>
      <c r="E25" s="282" t="n"/>
      <c r="F25" s="282" t="n"/>
      <c r="G25" s="282" t="n"/>
      <c r="H25" s="282" t="n"/>
      <c r="I25" s="283" t="n"/>
      <c r="J25" s="159" t="n"/>
      <c r="K25" s="159" t="n"/>
      <c r="L25" s="159" t="n"/>
      <c r="M25" s="159" t="n"/>
      <c r="N25" s="159" t="n"/>
      <c r="O25" s="159" t="n"/>
      <c r="P25" s="159" t="n"/>
      <c r="Q25" s="159" t="n"/>
      <c r="R25" s="159" t="n"/>
      <c r="S25" s="159" t="n"/>
      <c r="T25" s="159" t="n"/>
      <c r="U25" s="159">
        <f>SUM(U44:U45)</f>
        <v/>
      </c>
      <c r="V25" s="159">
        <f>SUM(V44:V45)</f>
        <v/>
      </c>
      <c r="W25" s="159">
        <f>SUM(W44:W45)</f>
        <v/>
      </c>
      <c r="X25" s="159">
        <f>SUM(X44:X45)</f>
        <v/>
      </c>
      <c r="Y25" s="159">
        <f>SUM(Y44:Y45)</f>
        <v/>
      </c>
      <c r="Z25" s="159">
        <f>SUM(Z44:Z45)</f>
        <v/>
      </c>
      <c r="AA25" s="159">
        <f>SUM(AA44:AA45)</f>
        <v/>
      </c>
      <c r="AB25" s="159">
        <f>SUM(AB44:AB45)</f>
        <v/>
      </c>
      <c r="AC25" s="159">
        <f>SUM(AC44:AC45)</f>
        <v/>
      </c>
      <c r="AD25" s="159">
        <f>SUM(AD44:AD45)</f>
        <v/>
      </c>
      <c r="AE25" s="160">
        <f>SUM(AE44:AE45)</f>
        <v/>
      </c>
      <c r="AF25" s="45" t="n"/>
      <c r="AG25" s="19" t="n"/>
      <c r="AH25" s="45" t="n"/>
      <c r="AI25" s="45" t="n"/>
      <c r="AJ25" s="45" t="n"/>
      <c r="AK25" s="45" t="n"/>
      <c r="AL25" s="45" t="n"/>
      <c r="AM25" s="45" t="n"/>
      <c r="AN25" s="45" t="n"/>
      <c r="AO25" s="45" t="n"/>
      <c r="AP25" s="45" t="n"/>
      <c r="AQ25" s="45" t="n"/>
      <c r="AR25" s="45" t="n"/>
      <c r="AS25" s="45" t="n"/>
      <c r="AT25" s="45" t="n"/>
      <c r="AU25" s="45" t="n"/>
      <c r="AV25" s="45" t="n"/>
      <c r="AW25" s="45" t="n"/>
      <c r="AX25" s="45" t="n"/>
      <c r="AY25" s="45" t="n"/>
      <c r="AZ25" s="45" t="n"/>
      <c r="BA25" s="45" t="n"/>
      <c r="BB25" s="45" t="n"/>
      <c r="BC25" s="45" t="n"/>
      <c r="BD25" s="45" t="n"/>
      <c r="BE25" s="45" t="n"/>
      <c r="BF25" s="45" t="n"/>
      <c r="BG25" s="45" t="n"/>
      <c r="BH25" s="45" t="n"/>
      <c r="BI25" s="45" t="n"/>
      <c r="BJ25" s="45" t="n"/>
      <c r="BK25" s="45" t="n"/>
      <c r="BL25" s="45" t="n"/>
      <c r="BM25" s="45" t="n"/>
      <c r="BN25" s="45" t="n"/>
      <c r="BO25" s="45" t="n"/>
      <c r="BP25" s="45" t="n"/>
      <c r="BQ25" s="45" t="n"/>
      <c r="BR25" s="45" t="n"/>
      <c r="BS25" s="45" t="n"/>
      <c r="BT25" s="45" t="n"/>
      <c r="BU25" s="45" t="n"/>
      <c r="BV25" s="45" t="n"/>
      <c r="BW25" s="45" t="n"/>
      <c r="BX25" s="45" t="n"/>
      <c r="BY25" s="45" t="n"/>
      <c r="BZ25" s="45" t="n"/>
      <c r="CA25" s="45" t="n"/>
      <c r="CB25" s="45" t="n"/>
      <c r="CC25" s="45" t="n"/>
      <c r="CD25" s="45" t="n"/>
      <c r="CE25" s="45" t="n"/>
      <c r="CF25" s="45" t="n"/>
      <c r="CG25" s="45" t="n"/>
      <c r="CH25" s="45" t="n"/>
      <c r="CI25" s="45" t="n"/>
      <c r="CJ25" s="45" t="n"/>
      <c r="CK25" s="45" t="n"/>
      <c r="CL25" s="45" t="n"/>
      <c r="CM25" s="45" t="n"/>
      <c r="CN25" s="45" t="n"/>
      <c r="CO25" s="45" t="n"/>
      <c r="CP25" s="45" t="n"/>
      <c r="CQ25" s="45" t="n"/>
      <c r="CR25" s="45" t="n"/>
      <c r="CS25" s="45" t="n"/>
      <c r="CT25" s="45" t="n"/>
      <c r="CU25" s="45" t="n"/>
      <c r="CV25" s="45" t="n"/>
      <c r="CW25" s="45" t="n"/>
      <c r="CX25" s="45" t="n"/>
      <c r="CY25" s="45" t="n"/>
      <c r="CZ25" s="45" t="n"/>
      <c r="DA25" s="45" t="n"/>
      <c r="DB25" s="45" t="n"/>
      <c r="DC25" s="45" t="n"/>
      <c r="DD25" s="45" t="n"/>
      <c r="DE25" s="45" t="n"/>
      <c r="DF25" s="45" t="n"/>
      <c r="DG25" s="45" t="n"/>
      <c r="DH25" s="45" t="n"/>
      <c r="DI25" s="45" t="n"/>
      <c r="DJ25" s="45" t="n"/>
      <c r="DK25" s="45" t="n"/>
      <c r="DL25" s="45" t="n"/>
      <c r="DM25" s="45" t="n"/>
      <c r="DN25" s="45" t="n"/>
      <c r="DO25" s="45" t="n"/>
      <c r="DP25" s="45" t="n"/>
      <c r="DQ25" s="45" t="n"/>
      <c r="DR25" s="45" t="n"/>
      <c r="DS25" s="45" t="n"/>
      <c r="DT25" s="45" t="n"/>
      <c r="DU25" s="45" t="n"/>
      <c r="DV25" s="45" t="n"/>
      <c r="DW25" s="45" t="n"/>
      <c r="DX25" s="45" t="n"/>
      <c r="DY25" s="45" t="n"/>
      <c r="DZ25" s="45" t="n"/>
      <c r="EA25" s="45" t="n"/>
      <c r="EB25" s="45" t="n"/>
      <c r="EC25" s="45" t="n"/>
      <c r="ED25" s="45" t="n"/>
      <c r="EE25" s="45" t="n"/>
      <c r="EF25" s="45" t="n"/>
      <c r="EG25" s="45" t="n"/>
      <c r="EH25" s="45" t="n"/>
      <c r="EI25" s="45" t="n"/>
      <c r="EJ25" s="45" t="n"/>
      <c r="EK25" s="45" t="n"/>
      <c r="EL25" s="45" t="n"/>
      <c r="EM25" s="45" t="n"/>
      <c r="EN25" s="45" t="n"/>
      <c r="EO25" s="45" t="n"/>
      <c r="EP25" s="45" t="n"/>
      <c r="EQ25" s="45" t="n"/>
      <c r="ER25" s="45" t="n"/>
      <c r="ES25" s="45" t="n"/>
      <c r="ET25" s="45" t="n"/>
      <c r="EU25" s="45" t="n"/>
      <c r="EV25" s="45" t="n"/>
      <c r="EW25" s="45" t="n"/>
      <c r="EX25" s="45" t="n"/>
      <c r="EY25" s="45" t="n"/>
      <c r="EZ25" s="45" t="n"/>
      <c r="FA25" s="45" t="n"/>
      <c r="FB25" s="45" t="n"/>
      <c r="FC25" s="45" t="n"/>
      <c r="FD25" s="45" t="n"/>
      <c r="FE25" s="45" t="n"/>
      <c r="FF25" s="45" t="n"/>
      <c r="FG25" s="45" t="n"/>
      <c r="FH25" s="45" t="n"/>
      <c r="FI25" s="45" t="n"/>
      <c r="FJ25" s="45" t="n"/>
      <c r="FK25" s="45" t="n"/>
      <c r="FL25" s="45" t="n"/>
      <c r="FM25" s="45" t="n"/>
      <c r="FN25" s="45" t="n"/>
      <c r="FO25" s="45" t="n"/>
      <c r="FP25" s="45" t="n"/>
      <c r="FQ25" s="45" t="n"/>
      <c r="FR25" s="45" t="n"/>
      <c r="FS25" s="45" t="n"/>
      <c r="FT25" s="45" t="n"/>
      <c r="FU25" s="45" t="n"/>
      <c r="FV25" s="45" t="n"/>
      <c r="FW25" s="45" t="n"/>
      <c r="FX25" s="45" t="n"/>
      <c r="FY25" s="45" t="n"/>
      <c r="FZ25" s="45" t="n"/>
      <c r="GA25" s="45" t="n"/>
      <c r="GB25" s="45" t="n"/>
      <c r="GC25" s="45" t="n"/>
      <c r="GD25" s="45" t="n"/>
      <c r="GE25" s="45" t="n"/>
      <c r="GF25" s="45" t="n"/>
      <c r="GG25" s="45" t="n"/>
      <c r="GH25" s="45" t="n"/>
      <c r="GI25" s="45" t="n"/>
      <c r="GJ25" s="45" t="n"/>
      <c r="GK25" s="45" t="n"/>
      <c r="GL25" s="45" t="n"/>
      <c r="GM25" s="45" t="n"/>
      <c r="GN25" s="45" t="n"/>
      <c r="GO25" s="45" t="n"/>
      <c r="GP25" s="45" t="n"/>
      <c r="GQ25" s="45" t="n"/>
      <c r="GR25" s="45" t="n"/>
      <c r="GS25" s="45" t="n"/>
      <c r="GT25" s="45" t="n"/>
      <c r="GU25" s="45" t="n"/>
      <c r="GV25" s="45" t="n"/>
      <c r="GW25" s="45" t="n"/>
      <c r="GX25" s="45" t="n"/>
      <c r="GY25" s="45" t="n"/>
      <c r="GZ25" s="45" t="n"/>
      <c r="HA25" s="45" t="n"/>
      <c r="HB25" s="45" t="n"/>
      <c r="HC25" s="45" t="n"/>
      <c r="HD25" s="45" t="n"/>
      <c r="HE25" s="45" t="n"/>
      <c r="HF25" s="45" t="n"/>
      <c r="HG25" s="45" t="n"/>
      <c r="HH25" s="45" t="n"/>
      <c r="HI25" s="45" t="n"/>
      <c r="HJ25" s="45" t="n"/>
      <c r="HK25" s="45" t="n"/>
      <c r="HL25" s="45" t="n"/>
      <c r="HM25" s="45" t="n"/>
      <c r="HN25" s="45" t="n"/>
      <c r="HO25" s="45" t="n"/>
      <c r="HP25" s="45" t="n"/>
      <c r="HQ25" s="45" t="n"/>
      <c r="HR25" s="45" t="n"/>
      <c r="HS25" s="45" t="n"/>
      <c r="HT25" s="45" t="n"/>
      <c r="HU25" s="45" t="n"/>
      <c r="HV25" s="45" t="n"/>
      <c r="HW25" s="45" t="n"/>
      <c r="HX25" s="45" t="n"/>
      <c r="HY25" s="45" t="n"/>
      <c r="HZ25" s="45" t="n"/>
      <c r="IA25" s="45" t="n"/>
      <c r="IB25" s="45" t="n"/>
    </row>
    <row r="26" ht="33" customFormat="1" customHeight="1" s="50">
      <c r="A26" s="236" t="n"/>
      <c r="B26" s="284" t="n"/>
      <c r="C26" s="284" t="n"/>
      <c r="D26" s="284" t="n"/>
      <c r="E26" s="284" t="n"/>
      <c r="F26" s="284" t="n"/>
      <c r="G26" s="284" t="n"/>
      <c r="H26" s="284" t="n"/>
      <c r="I26" s="285" t="n"/>
      <c r="J26" s="13" t="n"/>
      <c r="K26" s="238" t="n"/>
      <c r="L26" s="284" t="n"/>
      <c r="M26" s="284" t="n"/>
      <c r="N26" s="284" t="n"/>
      <c r="O26" s="284" t="n"/>
      <c r="P26" s="284" t="n"/>
      <c r="Q26" s="284" t="n"/>
      <c r="R26" s="284" t="n"/>
      <c r="S26" s="284" t="n"/>
      <c r="T26" s="284" t="n"/>
      <c r="U26" s="284" t="n"/>
      <c r="V26" s="284" t="n"/>
      <c r="W26" s="284" t="n"/>
      <c r="X26" s="284" t="n"/>
      <c r="Y26" s="284" t="n"/>
      <c r="Z26" s="284" t="n"/>
      <c r="AA26" s="284" t="n"/>
      <c r="AB26" s="284" t="n"/>
      <c r="AC26" s="284" t="n"/>
      <c r="AD26" s="284" t="n"/>
      <c r="AE26" s="285" t="n"/>
      <c r="AF26" s="45" t="n"/>
      <c r="AG26" s="16" t="n"/>
      <c r="AH26" s="45" t="n"/>
      <c r="AI26" s="45" t="n"/>
      <c r="AJ26" s="45" t="n"/>
      <c r="AK26" s="45" t="n"/>
      <c r="AL26" s="45" t="n"/>
      <c r="AM26" s="45" t="n"/>
      <c r="AN26" s="45" t="n"/>
      <c r="AO26" s="45" t="n"/>
      <c r="AP26" s="45" t="n"/>
      <c r="AQ26" s="45" t="n"/>
      <c r="AR26" s="45" t="n"/>
      <c r="AS26" s="45" t="n"/>
      <c r="AT26" s="45" t="n"/>
      <c r="AU26" s="45" t="n"/>
      <c r="AV26" s="45" t="n"/>
      <c r="AW26" s="45" t="n"/>
      <c r="AX26" s="45" t="n"/>
      <c r="AY26" s="45" t="n"/>
      <c r="AZ26" s="45" t="n"/>
      <c r="BA26" s="45" t="n"/>
      <c r="BB26" s="45" t="n"/>
      <c r="BC26" s="45" t="n"/>
      <c r="BD26" s="45" t="n"/>
      <c r="BE26" s="45" t="n"/>
      <c r="BF26" s="45" t="n"/>
      <c r="BG26" s="45" t="n"/>
      <c r="BH26" s="45" t="n"/>
      <c r="BI26" s="45" t="n"/>
      <c r="BJ26" s="45" t="n"/>
      <c r="BK26" s="45" t="n"/>
      <c r="BL26" s="45" t="n"/>
      <c r="BM26" s="45" t="n"/>
      <c r="BN26" s="45" t="n"/>
      <c r="BO26" s="45" t="n"/>
      <c r="BP26" s="45" t="n"/>
      <c r="BQ26" s="45" t="n"/>
      <c r="BR26" s="45" t="n"/>
      <c r="BS26" s="45" t="n"/>
      <c r="BT26" s="45" t="n"/>
      <c r="BU26" s="45" t="n"/>
      <c r="BV26" s="45" t="n"/>
      <c r="BW26" s="45" t="n"/>
      <c r="BX26" s="45" t="n"/>
      <c r="BY26" s="45" t="n"/>
      <c r="BZ26" s="45" t="n"/>
      <c r="CA26" s="45" t="n"/>
      <c r="CB26" s="45" t="n"/>
      <c r="CC26" s="45" t="n"/>
      <c r="CD26" s="45" t="n"/>
      <c r="CE26" s="45" t="n"/>
      <c r="CF26" s="45" t="n"/>
      <c r="CG26" s="45" t="n"/>
      <c r="CH26" s="45" t="n"/>
      <c r="CI26" s="45" t="n"/>
      <c r="CJ26" s="45" t="n"/>
      <c r="CK26" s="45" t="n"/>
      <c r="CL26" s="45" t="n"/>
      <c r="CM26" s="45" t="n"/>
      <c r="CN26" s="45" t="n"/>
      <c r="CO26" s="45" t="n"/>
      <c r="CP26" s="45" t="n"/>
      <c r="CQ26" s="45" t="n"/>
      <c r="CR26" s="45" t="n"/>
      <c r="CS26" s="45" t="n"/>
      <c r="CT26" s="45" t="n"/>
      <c r="CU26" s="45" t="n"/>
      <c r="CV26" s="45" t="n"/>
      <c r="CW26" s="45" t="n"/>
      <c r="CX26" s="45" t="n"/>
      <c r="CY26" s="45" t="n"/>
      <c r="CZ26" s="45" t="n"/>
      <c r="DA26" s="45" t="n"/>
      <c r="DB26" s="45" t="n"/>
      <c r="DC26" s="45" t="n"/>
      <c r="DD26" s="45" t="n"/>
      <c r="DE26" s="45" t="n"/>
      <c r="DF26" s="45" t="n"/>
      <c r="DG26" s="45" t="n"/>
      <c r="DH26" s="45" t="n"/>
      <c r="DI26" s="45" t="n"/>
      <c r="DJ26" s="45" t="n"/>
      <c r="DK26" s="45" t="n"/>
      <c r="DL26" s="45" t="n"/>
      <c r="DM26" s="45" t="n"/>
      <c r="DN26" s="45" t="n"/>
      <c r="DO26" s="45" t="n"/>
      <c r="DP26" s="45" t="n"/>
      <c r="DQ26" s="45" t="n"/>
      <c r="DR26" s="45" t="n"/>
      <c r="DS26" s="45" t="n"/>
      <c r="DT26" s="45" t="n"/>
      <c r="DU26" s="45" t="n"/>
      <c r="DV26" s="45" t="n"/>
      <c r="DW26" s="45" t="n"/>
      <c r="DX26" s="45" t="n"/>
      <c r="DY26" s="45" t="n"/>
      <c r="DZ26" s="45" t="n"/>
      <c r="EA26" s="45" t="n"/>
      <c r="EB26" s="45" t="n"/>
      <c r="EC26" s="45" t="n"/>
      <c r="ED26" s="45" t="n"/>
      <c r="EE26" s="45" t="n"/>
      <c r="EF26" s="45" t="n"/>
      <c r="EG26" s="45" t="n"/>
      <c r="EH26" s="45" t="n"/>
      <c r="EI26" s="45" t="n"/>
      <c r="EJ26" s="45" t="n"/>
      <c r="EK26" s="45" t="n"/>
      <c r="EL26" s="45" t="n"/>
      <c r="EM26" s="45" t="n"/>
      <c r="EN26" s="45" t="n"/>
      <c r="EO26" s="45" t="n"/>
      <c r="EP26" s="45" t="n"/>
      <c r="EQ26" s="45" t="n"/>
      <c r="ER26" s="45" t="n"/>
      <c r="ES26" s="45" t="n"/>
      <c r="ET26" s="45" t="n"/>
      <c r="EU26" s="45" t="n"/>
      <c r="EV26" s="45" t="n"/>
      <c r="EW26" s="45" t="n"/>
      <c r="EX26" s="45" t="n"/>
      <c r="EY26" s="45" t="n"/>
      <c r="EZ26" s="45" t="n"/>
      <c r="FA26" s="45" t="n"/>
      <c r="FB26" s="45" t="n"/>
      <c r="FC26" s="45" t="n"/>
      <c r="FD26" s="45" t="n"/>
      <c r="FE26" s="45" t="n"/>
      <c r="FF26" s="45" t="n"/>
      <c r="FG26" s="45" t="n"/>
      <c r="FH26" s="45" t="n"/>
      <c r="FI26" s="45" t="n"/>
      <c r="FJ26" s="45" t="n"/>
      <c r="FK26" s="45" t="n"/>
      <c r="FL26" s="45" t="n"/>
      <c r="FM26" s="45" t="n"/>
      <c r="FN26" s="45" t="n"/>
      <c r="FO26" s="45" t="n"/>
      <c r="FP26" s="45" t="n"/>
      <c r="FQ26" s="45" t="n"/>
      <c r="FR26" s="45" t="n"/>
      <c r="FS26" s="45" t="n"/>
      <c r="FT26" s="45" t="n"/>
      <c r="FU26" s="45" t="n"/>
      <c r="FV26" s="45" t="n"/>
      <c r="FW26" s="45" t="n"/>
      <c r="FX26" s="45" t="n"/>
      <c r="FY26" s="45" t="n"/>
      <c r="FZ26" s="45" t="n"/>
      <c r="GA26" s="45" t="n"/>
      <c r="GB26" s="45" t="n"/>
      <c r="GC26" s="45" t="n"/>
      <c r="GD26" s="45" t="n"/>
      <c r="GE26" s="45" t="n"/>
      <c r="GF26" s="45" t="n"/>
      <c r="GG26" s="45" t="n"/>
      <c r="GH26" s="45" t="n"/>
      <c r="GI26" s="45" t="n"/>
      <c r="GJ26" s="45" t="n"/>
      <c r="GK26" s="45" t="n"/>
      <c r="GL26" s="45" t="n"/>
      <c r="GM26" s="45" t="n"/>
      <c r="GN26" s="45" t="n"/>
      <c r="GO26" s="45" t="n"/>
      <c r="GP26" s="45" t="n"/>
      <c r="GQ26" s="45" t="n"/>
      <c r="GR26" s="45" t="n"/>
      <c r="GS26" s="45" t="n"/>
      <c r="GT26" s="45" t="n"/>
      <c r="GU26" s="45" t="n"/>
      <c r="GV26" s="45" t="n"/>
      <c r="GW26" s="45" t="n"/>
      <c r="GX26" s="45" t="n"/>
      <c r="GY26" s="45" t="n"/>
      <c r="GZ26" s="45" t="n"/>
      <c r="HA26" s="45" t="n"/>
      <c r="HB26" s="45" t="n"/>
      <c r="HC26" s="45" t="n"/>
      <c r="HD26" s="45" t="n"/>
      <c r="HE26" s="45" t="n"/>
      <c r="HF26" s="45" t="n"/>
      <c r="HG26" s="45" t="n"/>
      <c r="HH26" s="45" t="n"/>
      <c r="HI26" s="45" t="n"/>
      <c r="HJ26" s="45" t="n"/>
      <c r="HK26" s="45" t="n"/>
      <c r="HL26" s="45" t="n"/>
      <c r="HM26" s="45" t="n"/>
      <c r="HN26" s="45" t="n"/>
      <c r="HO26" s="45" t="n"/>
      <c r="HP26" s="45" t="n"/>
      <c r="HQ26" s="45" t="n"/>
      <c r="HR26" s="45" t="n"/>
      <c r="HS26" s="45" t="n"/>
      <c r="HT26" s="45" t="n"/>
      <c r="HU26" s="45" t="n"/>
      <c r="HV26" s="45" t="n"/>
      <c r="HW26" s="45" t="n"/>
      <c r="HX26" s="45" t="n"/>
      <c r="HY26" s="45" t="n"/>
      <c r="HZ26" s="45" t="n"/>
      <c r="IA26" s="45" t="n"/>
      <c r="IB26" s="45" t="n"/>
    </row>
    <row r="27" ht="33" customFormat="1" customHeight="1" s="50">
      <c r="A27" s="51" t="n"/>
      <c r="B27" s="52" t="n"/>
      <c r="C27" s="52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5" t="n"/>
      <c r="AE27" s="55" t="n"/>
      <c r="AF27" s="47" t="n"/>
      <c r="AG27" s="16" t="n"/>
    </row>
    <row r="28" ht="33" customFormat="1" customHeight="1" s="50">
      <c r="A28" s="27" t="n"/>
      <c r="C28" s="30" t="n"/>
      <c r="D28" s="30" t="n"/>
      <c r="E28" s="38" t="n"/>
      <c r="F28" s="31" t="n"/>
      <c r="G28" s="31" t="n"/>
      <c r="H28" s="31" t="n"/>
      <c r="I28" s="31" t="n"/>
      <c r="J28" s="31" t="n"/>
      <c r="K28" s="32" t="n"/>
      <c r="L28" s="43" t="n"/>
      <c r="M28" s="32" t="n"/>
      <c r="T28" s="33" t="n"/>
      <c r="AE28" s="34" t="n"/>
      <c r="AG28" s="16" t="n"/>
    </row>
    <row r="29" ht="33" customFormat="1" customHeight="1" s="50">
      <c r="A29" s="27" t="n"/>
      <c r="C29" s="35" t="n"/>
      <c r="D29" s="35" t="n"/>
      <c r="E29" s="28" t="n"/>
      <c r="H29" s="31" t="n"/>
      <c r="I29" s="31" t="n"/>
      <c r="J29" s="31" t="n"/>
      <c r="K29" s="36" t="n"/>
      <c r="L29" s="36" t="n"/>
      <c r="M29" s="42" t="n"/>
      <c r="N29" s="31" t="n"/>
      <c r="O29" s="31" t="n"/>
      <c r="P29" s="31" t="n"/>
      <c r="Q29" s="31" t="n"/>
      <c r="R29" s="31" t="n"/>
      <c r="S29" s="31" t="n"/>
      <c r="T29" s="286" t="n"/>
      <c r="U29" s="31" t="n"/>
      <c r="AB29" s="33" t="n"/>
      <c r="AC29" s="33" t="n"/>
      <c r="AE29" s="34" t="n"/>
      <c r="AG29" s="16" t="n"/>
    </row>
    <row r="30" ht="33" customFormat="1" customHeight="1" s="50">
      <c r="C30" s="35" t="n"/>
      <c r="D30" s="35" t="n"/>
      <c r="E30" s="28" t="n"/>
      <c r="K30" s="36" t="n"/>
      <c r="L30" s="36" t="n"/>
      <c r="M30" s="36" t="n"/>
      <c r="N30" s="31" t="n"/>
      <c r="O30" s="31" t="n"/>
      <c r="P30" s="31" t="n"/>
      <c r="Q30" s="31" t="n"/>
      <c r="R30" s="31" t="n"/>
      <c r="S30" s="31" t="n"/>
      <c r="T30" s="31" t="n"/>
      <c r="U30" s="31" t="n"/>
      <c r="AB30" s="33" t="n"/>
      <c r="AE30" s="34" t="n"/>
      <c r="AG30" s="16" t="n"/>
    </row>
    <row r="31" ht="33" customFormat="1" customHeight="1" s="271">
      <c r="C31" s="30" t="n"/>
      <c r="D31" s="30" t="n"/>
      <c r="E31" s="38" t="n"/>
      <c r="F31" s="38" t="n"/>
      <c r="G31" s="38" t="n"/>
      <c r="K31" s="36" t="n"/>
      <c r="L31" s="36" t="n"/>
      <c r="M31" s="36" t="n"/>
      <c r="N31" s="31" t="n"/>
      <c r="O31" s="31" t="n"/>
      <c r="P31" s="31" t="n"/>
      <c r="Q31" s="31" t="n"/>
      <c r="R31" s="31" t="n"/>
      <c r="S31" s="31" t="n"/>
      <c r="T31" s="31" t="n"/>
      <c r="U31" s="31" t="n"/>
      <c r="AE31" s="34" t="n"/>
      <c r="AG31" s="16" t="n"/>
    </row>
    <row r="32" ht="33" customFormat="1" customHeight="1" s="50">
      <c r="B32" s="31" t="n"/>
      <c r="C32" s="31" t="n"/>
      <c r="D32" s="31" t="n"/>
      <c r="E32" s="38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T32" s="39" t="n"/>
      <c r="X32" s="28" t="n"/>
      <c r="Y32" s="31" t="n"/>
      <c r="Z32" s="31" t="n"/>
      <c r="AA32" s="31" t="n"/>
      <c r="AE32" s="34" t="n"/>
      <c r="AF32" s="31" t="n"/>
      <c r="AG32" s="16" t="n"/>
    </row>
    <row r="33" ht="33" customFormat="1" customHeight="1" s="61">
      <c r="A33" s="19" t="n"/>
    </row>
    <row r="34" ht="33" customFormat="1" customHeight="1" s="50">
      <c r="A34" s="19" t="n"/>
      <c r="C34" s="16" t="n"/>
      <c r="D34" s="16" t="n"/>
      <c r="K34" s="16" t="n"/>
      <c r="L34" s="16" t="n"/>
      <c r="M34" s="16" t="n"/>
      <c r="AE34" s="16" t="n"/>
    </row>
    <row r="35" ht="33" customFormat="1" customHeight="1" s="50">
      <c r="A35" s="19" t="n"/>
      <c r="C35" s="16" t="n"/>
      <c r="D35" s="16" t="n"/>
      <c r="K35" s="16" t="n"/>
      <c r="L35" s="16" t="n"/>
      <c r="M35" s="16" t="n"/>
      <c r="AE35" s="16" t="n"/>
    </row>
    <row r="36" ht="33" customFormat="1" customHeight="1" s="50">
      <c r="A36" s="19" t="n"/>
      <c r="B36" s="16" t="n"/>
      <c r="C36" s="16" t="n"/>
      <c r="D36" s="16" t="n"/>
      <c r="E36" s="40" t="n"/>
      <c r="F36" s="16" t="n"/>
      <c r="G36" s="16" t="n"/>
      <c r="H36" s="16" t="n"/>
      <c r="I36" s="16" t="n"/>
      <c r="J36" s="16" t="n"/>
      <c r="K36" s="16" t="n"/>
      <c r="L36" s="16" t="n"/>
      <c r="AG36" s="16" t="n"/>
    </row>
    <row r="37" ht="33" customFormat="1" customHeight="1" s="50">
      <c r="A37" s="16" t="n"/>
      <c r="B37" s="16" t="n"/>
      <c r="C37" s="16" t="n"/>
      <c r="D37" s="16" t="n"/>
      <c r="E37" s="40" t="n"/>
      <c r="F37" s="16" t="n"/>
      <c r="G37" s="16" t="n"/>
      <c r="H37" s="16" t="n"/>
      <c r="I37" s="16" t="n"/>
      <c r="J37" s="16" t="n"/>
      <c r="K37" s="16" t="n"/>
      <c r="L37" s="16" t="n"/>
      <c r="AG37" s="16" t="n"/>
    </row>
    <row r="38" ht="33" customFormat="1" customHeight="1" s="61" thickBot="1">
      <c r="A38" s="233" t="n"/>
      <c r="K38" s="16" t="n"/>
      <c r="L38" s="16" t="n"/>
      <c r="M38" s="16" t="n"/>
      <c r="AE38" s="16" t="n"/>
    </row>
    <row r="39" ht="33" customFormat="1" customHeight="1" s="61">
      <c r="C39" s="16" t="n"/>
      <c r="D39" s="16" t="n"/>
      <c r="K39" s="16" t="n"/>
      <c r="L39" s="16" t="n"/>
      <c r="M39" s="16" t="n"/>
      <c r="AE39" s="16" t="n"/>
    </row>
    <row r="40" ht="33" customFormat="1" customHeight="1" s="50">
      <c r="C40" s="16" t="n"/>
      <c r="D40" s="16" t="n"/>
      <c r="K40" s="16" t="n"/>
      <c r="L40" s="16" t="n"/>
      <c r="M40" s="16" t="n"/>
      <c r="AE40" s="16" t="n"/>
    </row>
    <row r="41" ht="33" customFormat="1" customHeight="1" s="50">
      <c r="C41" s="16" t="n"/>
      <c r="D41" s="16" t="n"/>
      <c r="K41" s="16" t="n"/>
      <c r="L41" s="16" t="n"/>
      <c r="M41" s="16" t="n"/>
      <c r="AE41" s="16" t="n"/>
    </row>
    <row r="42" ht="45" customFormat="1" customHeight="1" s="50">
      <c r="C42" s="16" t="n"/>
      <c r="D42" s="16" t="n"/>
      <c r="K42" s="16" t="n"/>
      <c r="L42" s="16" t="n"/>
      <c r="M42" s="16" t="n"/>
      <c r="AE42" s="16" t="n"/>
    </row>
    <row r="43" ht="33" customFormat="1" customHeight="1" s="50" thickBot="1">
      <c r="C43" s="16" t="n"/>
      <c r="D43" s="16" t="n"/>
      <c r="K43" s="16" t="n"/>
      <c r="L43" s="16" t="n"/>
      <c r="M43" s="16" t="n"/>
      <c r="AE43" s="16" t="n"/>
    </row>
    <row r="44" ht="33" customFormat="1" customHeight="1" s="46">
      <c r="E44" s="40" t="n"/>
    </row>
    <row r="45" ht="33" customFormat="1" customHeight="1" s="23">
      <c r="E45" s="40" t="n"/>
    </row>
    <row r="46" ht="33" customFormat="1" customHeight="1" s="46">
      <c r="E46" s="40" t="n"/>
    </row>
    <row r="47" ht="33" customFormat="1" customHeight="1" s="46" thickBot="1">
      <c r="E47" s="40" t="n"/>
    </row>
    <row r="48" ht="55.5" customFormat="1" customHeight="1" s="29">
      <c r="E48" s="40" t="n"/>
    </row>
    <row r="49" customFormat="1" s="29">
      <c r="E49" s="40" t="n"/>
    </row>
    <row r="50" customFormat="1" s="29">
      <c r="E50" s="40" t="n"/>
    </row>
    <row r="51" customFormat="1" s="29">
      <c r="E51" s="40" t="n"/>
    </row>
    <row r="52" ht="23" customFormat="1" customHeight="1" s="29">
      <c r="E52" s="40" t="n"/>
    </row>
    <row r="53" customFormat="1" s="29">
      <c r="E53" s="40" t="n"/>
    </row>
    <row r="54">
      <c r="E54" s="40" t="n"/>
    </row>
    <row r="55">
      <c r="E55" s="40" t="n"/>
    </row>
    <row r="56">
      <c r="E56" s="40" t="n"/>
    </row>
    <row r="57" customFormat="1" s="18">
      <c r="E57" s="40" t="n"/>
    </row>
    <row r="58" customFormat="1" s="18">
      <c r="E58" s="40" t="n"/>
    </row>
    <row r="59">
      <c r="E59" s="40" t="n"/>
    </row>
    <row r="60">
      <c r="E60" s="40" t="n"/>
    </row>
    <row r="61">
      <c r="E61" s="40" t="n"/>
    </row>
    <row r="62">
      <c r="E62" s="40" t="n"/>
    </row>
    <row r="63">
      <c r="E63" s="40" t="n"/>
    </row>
    <row r="64">
      <c r="E64" s="40" t="n"/>
    </row>
    <row r="65" customFormat="1" s="16">
      <c r="E65" s="40" t="n"/>
    </row>
    <row r="66" customFormat="1" s="16">
      <c r="E66" s="40" t="n"/>
    </row>
    <row r="67" customFormat="1" s="16">
      <c r="E67" s="40" t="n"/>
    </row>
    <row r="68" customFormat="1" s="16">
      <c r="E68" s="40" t="n"/>
    </row>
    <row r="69" customFormat="1" s="16">
      <c r="E69" s="40" t="n"/>
    </row>
    <row r="70" customFormat="1" s="16">
      <c r="E70" s="40" t="n"/>
    </row>
    <row r="71" customFormat="1" s="16">
      <c r="E71" s="40" t="n"/>
    </row>
    <row r="72" customFormat="1" s="16">
      <c r="E72" s="40" t="n"/>
    </row>
    <row r="73" customFormat="1" s="16">
      <c r="E73" s="40" t="n"/>
    </row>
    <row r="74" customFormat="1" s="16">
      <c r="E74" s="40" t="n"/>
    </row>
    <row r="75" customFormat="1" s="16">
      <c r="E75" s="40" t="n"/>
    </row>
    <row r="76" customFormat="1" s="16">
      <c r="E76" s="40" t="n"/>
    </row>
    <row r="77" customFormat="1" s="16">
      <c r="E77" s="40" t="n"/>
    </row>
    <row r="78" customFormat="1" s="16">
      <c r="E78" s="40" t="n"/>
    </row>
    <row r="79" customFormat="1" s="16">
      <c r="E79" s="40" t="n"/>
    </row>
    <row r="80" customFormat="1" s="16">
      <c r="E80" s="40" t="n"/>
    </row>
    <row r="81" customFormat="1" s="16">
      <c r="E81" s="40" t="n"/>
    </row>
    <row r="82" customFormat="1" s="16">
      <c r="E82" s="40" t="n"/>
    </row>
    <row r="83" customFormat="1" s="16">
      <c r="E83" s="40" t="n"/>
    </row>
    <row r="84" customFormat="1" s="16">
      <c r="E84" s="40" t="n"/>
    </row>
    <row r="85" customFormat="1" s="16">
      <c r="E85" s="40" t="n"/>
    </row>
    <row r="86" customFormat="1" s="16">
      <c r="E86" s="40" t="n"/>
    </row>
    <row r="87" customFormat="1" s="16">
      <c r="E87" s="40" t="n"/>
    </row>
    <row r="88" customFormat="1" s="16">
      <c r="E88" s="40" t="n"/>
    </row>
    <row r="89" customFormat="1" s="16">
      <c r="E89" s="40" t="n"/>
    </row>
    <row r="90" customFormat="1" s="16">
      <c r="E90" s="40" t="n"/>
    </row>
    <row r="91" customFormat="1" s="16">
      <c r="E91" s="40" t="n"/>
    </row>
    <row r="92" customFormat="1" s="16">
      <c r="E92" s="40" t="n"/>
    </row>
    <row r="93" customFormat="1" s="16">
      <c r="E93" s="40" t="n"/>
    </row>
    <row r="94" customFormat="1" s="16">
      <c r="E94" s="40" t="n"/>
    </row>
    <row r="95" customFormat="1" s="16">
      <c r="E95" s="40" t="n"/>
    </row>
    <row r="96" customFormat="1" s="16">
      <c r="E96" s="40" t="n"/>
    </row>
    <row r="97" customFormat="1" s="16">
      <c r="E97" s="40" t="n"/>
    </row>
    <row r="98" customFormat="1" s="16">
      <c r="E98" s="40" t="n"/>
    </row>
    <row r="99" customFormat="1" s="16">
      <c r="E99" s="40" t="n"/>
    </row>
    <row r="100" customFormat="1" s="16">
      <c r="E100" s="40" t="n"/>
    </row>
    <row r="101" customFormat="1" s="16">
      <c r="E101" s="40" t="n"/>
    </row>
    <row r="102" customFormat="1" s="16">
      <c r="E102" s="40" t="n"/>
    </row>
    <row r="103" customFormat="1" s="16">
      <c r="E103" s="40" t="n"/>
    </row>
    <row r="104" customFormat="1" s="16">
      <c r="E104" s="40" t="n"/>
    </row>
    <row r="105" customFormat="1" s="16">
      <c r="E105" s="40" t="n"/>
    </row>
    <row r="106" customFormat="1" s="16">
      <c r="E106" s="40" t="n"/>
    </row>
    <row r="107" customFormat="1" s="16">
      <c r="E107" s="40" t="n"/>
    </row>
    <row r="108" customFormat="1" s="16">
      <c r="E108" s="40" t="n"/>
    </row>
    <row r="109" customFormat="1" s="16">
      <c r="E109" s="40" t="n"/>
    </row>
    <row r="110" customFormat="1" s="16">
      <c r="E110" s="40" t="n"/>
    </row>
    <row r="111" customFormat="1" s="16">
      <c r="E111" s="40" t="n"/>
    </row>
    <row r="112" customFormat="1" s="16">
      <c r="E112" s="40" t="n"/>
    </row>
    <row r="113" customFormat="1" s="16">
      <c r="E113" s="40" t="n"/>
    </row>
    <row r="114" customFormat="1" s="16">
      <c r="E114" s="40" t="n"/>
    </row>
    <row r="115" customFormat="1" s="16">
      <c r="E115" s="40" t="n"/>
    </row>
    <row r="116" customFormat="1" s="16">
      <c r="E116" s="40" t="n"/>
    </row>
    <row r="117" customFormat="1" s="16">
      <c r="E117" s="40" t="n"/>
    </row>
    <row r="118" customFormat="1" s="16">
      <c r="E118" s="40" t="n"/>
    </row>
    <row r="119" customFormat="1" s="16">
      <c r="E119" s="40" t="n"/>
    </row>
    <row r="120" customFormat="1" s="16">
      <c r="E120" s="40" t="n"/>
    </row>
    <row r="121" customFormat="1" s="16">
      <c r="E121" s="40" t="n"/>
    </row>
    <row r="122" customFormat="1" s="16">
      <c r="E122" s="40" t="n"/>
    </row>
    <row r="123" customFormat="1" s="16">
      <c r="E123" s="40" t="n"/>
    </row>
    <row r="124" customFormat="1" s="16">
      <c r="E124" s="40" t="n"/>
    </row>
    <row r="125" customFormat="1" s="16">
      <c r="E125" s="40" t="n"/>
    </row>
    <row r="126" customFormat="1" s="16">
      <c r="E126" s="40" t="n"/>
    </row>
    <row r="127" customFormat="1" s="16">
      <c r="E127" s="40" t="n"/>
    </row>
    <row r="128" customFormat="1" s="16">
      <c r="E128" s="40" t="n"/>
    </row>
    <row r="129" customFormat="1" s="16">
      <c r="E129" s="40" t="n"/>
    </row>
    <row r="130" customFormat="1" s="16">
      <c r="E130" s="40" t="n"/>
    </row>
    <row r="131" customFormat="1" s="16">
      <c r="E131" s="40" t="n"/>
    </row>
    <row r="132" customFormat="1" s="16">
      <c r="E132" s="40" t="n"/>
    </row>
    <row r="133" customFormat="1" s="16">
      <c r="E133" s="40" t="n"/>
    </row>
    <row r="134" customFormat="1" s="16">
      <c r="E134" s="40" t="n"/>
    </row>
    <row r="135" customFormat="1" s="16">
      <c r="E135" s="40" t="n"/>
    </row>
    <row r="136" customFormat="1" s="16">
      <c r="E136" s="40" t="n"/>
    </row>
    <row r="137" customFormat="1" s="16">
      <c r="E137" s="40" t="n"/>
    </row>
    <row r="138" customFormat="1" s="16">
      <c r="E138" s="40" t="n"/>
    </row>
    <row r="139" customFormat="1" s="16">
      <c r="E139" s="40" t="n"/>
    </row>
    <row r="140" customFormat="1" s="16">
      <c r="E140" s="40" t="n"/>
    </row>
    <row r="141" customFormat="1" s="16">
      <c r="E141" s="40" t="n"/>
    </row>
    <row r="142" customFormat="1" s="16">
      <c r="E142" s="40" t="n"/>
    </row>
    <row r="143" customFormat="1" s="16">
      <c r="E143" s="40" t="n"/>
    </row>
    <row r="144" customFormat="1" s="16">
      <c r="E144" s="40" t="n"/>
    </row>
    <row r="145" customFormat="1" s="16">
      <c r="E145" s="40" t="n"/>
    </row>
    <row r="146" customFormat="1" s="16">
      <c r="E146" s="40" t="n"/>
    </row>
    <row r="147" customFormat="1" s="16">
      <c r="E147" s="40" t="n"/>
    </row>
    <row r="148" customFormat="1" s="16">
      <c r="E148" s="40" t="n"/>
    </row>
    <row r="149" customFormat="1" s="16">
      <c r="E149" s="40" t="n"/>
    </row>
    <row r="150" customFormat="1" s="16">
      <c r="E150" s="40" t="n"/>
    </row>
    <row r="151" customFormat="1" s="16">
      <c r="E151" s="40" t="n"/>
    </row>
    <row r="152" customFormat="1" s="16">
      <c r="E152" s="40" t="n"/>
    </row>
    <row r="153" customFormat="1" s="16">
      <c r="E153" s="40" t="n"/>
    </row>
    <row r="154" customFormat="1" s="16">
      <c r="E154" s="40" t="n"/>
    </row>
    <row r="155" customFormat="1" s="16">
      <c r="E155" s="40" t="n"/>
    </row>
    <row r="156" customFormat="1" s="16">
      <c r="E156" s="40" t="n"/>
    </row>
    <row r="157" customFormat="1" s="16">
      <c r="E157" s="40" t="n"/>
    </row>
    <row r="158" customFormat="1" s="16">
      <c r="E158" s="40" t="n"/>
    </row>
    <row r="159" customFormat="1" s="16">
      <c r="E159" s="40" t="n"/>
    </row>
    <row r="160" customFormat="1" s="16">
      <c r="E160" s="40" t="n"/>
    </row>
    <row r="161" customFormat="1" s="16">
      <c r="E161" s="40" t="n"/>
    </row>
    <row r="162" customFormat="1" s="16">
      <c r="E162" s="40" t="n"/>
    </row>
    <row r="163" customFormat="1" s="16">
      <c r="E163" s="40" t="n"/>
    </row>
    <row r="164" customFormat="1" s="16">
      <c r="E164" s="40" t="n"/>
    </row>
    <row r="165" customFormat="1" s="16">
      <c r="E165" s="40" t="n"/>
    </row>
    <row r="166" customFormat="1" s="16">
      <c r="E166" s="40" t="n"/>
    </row>
    <row r="167" customFormat="1" s="16">
      <c r="E167" s="40" t="n"/>
    </row>
    <row r="168" customFormat="1" s="16">
      <c r="E168" s="40" t="n"/>
    </row>
    <row r="169" customFormat="1" s="16">
      <c r="E169" s="40" t="n"/>
    </row>
    <row r="170" customFormat="1" s="16">
      <c r="E170" s="40" t="n"/>
    </row>
    <row r="171" customFormat="1" s="16">
      <c r="E171" s="40" t="n"/>
    </row>
    <row r="172" customFormat="1" s="16">
      <c r="E172" s="40" t="n"/>
    </row>
    <row r="173" customFormat="1" s="16">
      <c r="E173" s="40" t="n"/>
    </row>
    <row r="174" customFormat="1" s="16">
      <c r="E174" s="40" t="n"/>
    </row>
    <row r="175" customFormat="1" s="16">
      <c r="E175" s="40" t="n"/>
    </row>
    <row r="176" customFormat="1" s="16">
      <c r="E176" s="40" t="n"/>
    </row>
    <row r="177" customFormat="1" s="16">
      <c r="E177" s="40" t="n"/>
    </row>
    <row r="178" customFormat="1" s="16">
      <c r="E178" s="40" t="n"/>
    </row>
    <row r="179" customFormat="1" s="16">
      <c r="E179" s="40" t="n"/>
    </row>
    <row r="180" customFormat="1" s="16">
      <c r="E180" s="40" t="n"/>
    </row>
    <row r="181" customFormat="1" s="16">
      <c r="E181" s="40" t="n"/>
    </row>
    <row r="182" customFormat="1" s="16">
      <c r="E182" s="40" t="n"/>
    </row>
    <row r="183" customFormat="1" s="16">
      <c r="E183" s="40" t="n"/>
    </row>
    <row r="184" customFormat="1" s="16">
      <c r="E184" s="40" t="n"/>
    </row>
    <row r="185" customFormat="1" s="16">
      <c r="E185" s="40" t="n"/>
    </row>
    <row r="186" customFormat="1" s="16">
      <c r="E186" s="40" t="n"/>
    </row>
    <row r="187" customFormat="1" s="16">
      <c r="E187" s="40" t="n"/>
    </row>
    <row r="188" customFormat="1" s="16">
      <c r="E188" s="40" t="n"/>
    </row>
    <row r="189" customFormat="1" s="16">
      <c r="E189" s="40" t="n"/>
    </row>
    <row r="190" customFormat="1" s="16">
      <c r="E190" s="40" t="n"/>
    </row>
    <row r="191" customFormat="1" s="16">
      <c r="E191" s="40" t="n"/>
    </row>
    <row r="192" customFormat="1" s="16">
      <c r="E192" s="40" t="n"/>
    </row>
    <row r="193" customFormat="1" s="16">
      <c r="E193" s="40" t="n"/>
    </row>
    <row r="194" customFormat="1" s="16">
      <c r="E194" s="40" t="n"/>
    </row>
    <row r="195" customFormat="1" s="16">
      <c r="E195" s="40" t="n"/>
    </row>
    <row r="196" customFormat="1" s="16">
      <c r="E196" s="40" t="n"/>
    </row>
    <row r="197" customFormat="1" s="16">
      <c r="E197" s="40" t="n"/>
    </row>
    <row r="198" customFormat="1" s="16"/>
    <row r="199" customFormat="1" s="16"/>
    <row r="200" customFormat="1" s="16"/>
    <row r="201" customFormat="1" s="16"/>
    <row r="202" customFormat="1" s="16"/>
    <row r="203" customFormat="1" s="16"/>
    <row r="204" customFormat="1" s="16"/>
    <row r="205" customFormat="1" s="16"/>
    <row r="206" customFormat="1" s="16"/>
    <row r="207" customFormat="1" s="16"/>
    <row r="208" customFormat="1" s="16"/>
    <row r="209" customFormat="1" s="16"/>
    <row r="210" customFormat="1" s="16"/>
    <row r="211" customFormat="1" s="16"/>
    <row r="212" customFormat="1" s="16"/>
    <row r="213" customFormat="1" s="16"/>
    <row r="214" customFormat="1" s="16"/>
    <row r="215" customFormat="1" s="16"/>
    <row r="216" customFormat="1" s="16"/>
    <row r="217" customFormat="1" s="16"/>
    <row r="218" customFormat="1" s="16"/>
  </sheetData>
  <autoFilter ref="A12:IN48">
    <filterColumn colId="31" hiddenButton="0" showButton="0"/>
  </autoFilter>
  <mergeCells count="17">
    <mergeCell ref="H11:I11"/>
    <mergeCell ref="A47:I47"/>
    <mergeCell ref="A5:AF5"/>
    <mergeCell ref="A46:I46"/>
    <mergeCell ref="AF39:AF43"/>
    <mergeCell ref="K47:AE47"/>
    <mergeCell ref="A44:I44"/>
    <mergeCell ref="AF11:AF12"/>
    <mergeCell ref="A45:I45"/>
    <mergeCell ref="K11:X11"/>
    <mergeCell ref="AD11:AE11"/>
    <mergeCell ref="AF13:AF38"/>
    <mergeCell ref="A59:F59"/>
    <mergeCell ref="A11:G11"/>
    <mergeCell ref="Y11:AB11"/>
    <mergeCell ref="AC11:AC12"/>
    <mergeCell ref="J11:J12"/>
  </mergeCells>
  <conditionalFormatting sqref="B13:B43">
    <cfRule type="duplicateValues" priority="1" dxfId="0"/>
  </conditionalFormatting>
  <conditionalFormatting sqref="B3:B4 B7:B10 B12 B44:B54 B219:B1048576">
    <cfRule type="duplicateValues" priority="243" dxfId="0"/>
  </conditionalFormatting>
  <pageMargins left="1" right="0.25" top="0.75" bottom="0.75" header="0.3" footer="0.3"/>
  <pageSetup orientation="landscape" scale="4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topLeftCell="A26" workbookViewId="0">
      <selection activeCell="K44" sqref="K44"/>
    </sheetView>
  </sheetViews>
  <sheetFormatPr baseColWidth="8" defaultRowHeight="14.5"/>
  <cols>
    <col width="13.6328125" customWidth="1" style="72" min="1" max="1"/>
    <col width="25.08984375" customWidth="1" style="72" min="2" max="2"/>
    <col width="7.1796875" customWidth="1" style="72" min="3" max="4"/>
    <col width="13.90625" customWidth="1" style="72" min="5" max="5"/>
    <col width="9.453125" bestFit="1" customWidth="1" style="72" min="6" max="6"/>
    <col width="10.81640625" bestFit="1" customWidth="1" style="72" min="7" max="7"/>
    <col width="11.453125" bestFit="1" customWidth="1" style="72" min="8" max="8"/>
    <col width="10" customWidth="1" style="72" min="9" max="9"/>
    <col width="13.08984375" bestFit="1" customWidth="1" style="72" min="10" max="10"/>
    <col width="10.81640625" bestFit="1" customWidth="1" style="72" min="11" max="11"/>
    <col width="12" customWidth="1" style="72" min="12" max="12"/>
    <col width="31.08984375" customWidth="1" style="72" min="13" max="13"/>
    <col width="8.7265625" customWidth="1" style="72" min="14" max="16384"/>
  </cols>
  <sheetData>
    <row r="1">
      <c r="A1" s="65" t="n"/>
      <c r="B1" s="66" t="n"/>
      <c r="C1" s="67" t="n"/>
      <c r="D1" s="68" t="inlineStr">
        <is>
          <t>CÔNG TY TNHH THƯƠNG MẠI VÀ DỊCH VỤ 5P VIỆT NAM</t>
        </is>
      </c>
      <c r="E1" s="67" t="n"/>
      <c r="F1" s="66" t="n"/>
      <c r="G1" s="69" t="n"/>
      <c r="H1" s="69" t="n"/>
      <c r="I1" s="70" t="n"/>
      <c r="J1" s="70" t="n"/>
      <c r="K1" s="66" t="n"/>
      <c r="L1" s="71" t="n"/>
    </row>
    <row r="2">
      <c r="A2" s="65" t="n"/>
      <c r="B2" s="66" t="n"/>
      <c r="C2" s="67" t="n"/>
      <c r="D2" s="68" t="inlineStr">
        <is>
          <t>Số nhà 02 Ngõ 1H Phố Trần Quang Diệu, Phường Đống Đa, Thành phố Hà Nội, Việt Nam</t>
        </is>
      </c>
      <c r="E2" s="67" t="n"/>
      <c r="F2" s="66" t="n"/>
      <c r="G2" s="69" t="n"/>
      <c r="H2" s="69" t="n"/>
      <c r="I2" s="70" t="n"/>
      <c r="J2" s="70" t="n"/>
      <c r="K2" s="66" t="n"/>
      <c r="L2" s="71" t="n"/>
    </row>
    <row r="3">
      <c r="A3" s="65" t="n"/>
      <c r="B3" s="66" t="n"/>
      <c r="C3" s="73" t="n"/>
      <c r="D3" s="74" t="inlineStr">
        <is>
          <t>MST: 0110523309</t>
        </is>
      </c>
      <c r="E3" s="73" t="n"/>
      <c r="F3" s="66" t="n"/>
      <c r="G3" s="69" t="n"/>
      <c r="H3" s="69" t="n"/>
      <c r="I3" s="70" t="n"/>
      <c r="J3" s="70" t="n"/>
      <c r="K3" s="66" t="n"/>
      <c r="L3" s="71" t="n"/>
    </row>
    <row r="4">
      <c r="A4" s="65" t="n"/>
      <c r="B4" s="66" t="n"/>
      <c r="C4" s="66" t="n"/>
      <c r="D4" s="74" t="n"/>
      <c r="E4" s="73" t="n"/>
      <c r="F4" s="66" t="n"/>
      <c r="G4" s="69" t="n"/>
      <c r="H4" s="69" t="n"/>
      <c r="I4" s="70" t="n"/>
      <c r="J4" s="70" t="n"/>
      <c r="K4" s="66" t="n"/>
      <c r="L4" s="75" t="n"/>
    </row>
    <row r="5">
      <c r="A5" s="65" t="n"/>
      <c r="B5" s="66" t="n"/>
      <c r="C5" s="66" t="n"/>
      <c r="D5" s="65" t="n"/>
      <c r="E5" s="66" t="n"/>
      <c r="F5" s="66" t="n"/>
      <c r="G5" s="69" t="n"/>
      <c r="H5" s="69" t="n"/>
      <c r="I5" s="70" t="n"/>
      <c r="J5" s="70" t="n"/>
      <c r="K5" s="66" t="n"/>
      <c r="L5" s="75" t="n"/>
    </row>
    <row r="6" ht="17.5" customHeight="1">
      <c r="A6" s="243" t="inlineStr">
        <is>
          <t>BẢNG KÊ DỊCH VỤ THÁNG 03/2026</t>
        </is>
      </c>
    </row>
    <row r="7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</row>
    <row r="8">
      <c r="A8" s="76" t="n"/>
      <c r="B8" s="69" t="n"/>
      <c r="C8" s="69" t="n"/>
      <c r="D8" s="76" t="n"/>
      <c r="E8" s="69" t="n"/>
      <c r="F8" s="69" t="n"/>
      <c r="G8" s="69" t="n"/>
      <c r="H8" s="69" t="n"/>
      <c r="I8" s="70" t="n"/>
      <c r="J8" s="70" t="n"/>
      <c r="K8" s="69" t="n"/>
      <c r="L8" s="71" t="n"/>
    </row>
    <row r="9">
      <c r="A9" s="77" t="inlineStr">
        <is>
          <t>Họ tên người mua hàng (Customer):  CÔNG TY TNHH DAINESE VIỆT NAM</t>
        </is>
      </c>
      <c r="B9" s="70" t="n"/>
      <c r="C9" s="70" t="n"/>
      <c r="D9" s="66" t="n"/>
      <c r="E9" s="66" t="n"/>
      <c r="F9" s="69" t="n"/>
      <c r="G9" s="69" t="n"/>
      <c r="H9" s="69" t="n"/>
      <c r="I9" s="78" t="n"/>
      <c r="J9" s="78" t="n"/>
      <c r="K9" s="79" t="n"/>
      <c r="L9" s="80" t="n"/>
    </row>
    <row r="10">
      <c r="A10" s="77" t="inlineStr">
        <is>
          <t>Địa chỉ (Address): Lô CN13, lô CN18, Khu Công nghiệp Yên Bình, phường Vạn Xuân, Tỉnh Thái Nguyên, Việt Nam</t>
        </is>
      </c>
      <c r="B10" s="70" t="n"/>
      <c r="C10" s="70" t="n"/>
      <c r="D10" s="66" t="n"/>
      <c r="E10" s="66" t="n"/>
      <c r="F10" s="69" t="n"/>
      <c r="G10" s="69" t="n"/>
      <c r="H10" s="69" t="n"/>
      <c r="I10" s="78" t="n"/>
      <c r="J10" s="78" t="n"/>
      <c r="K10" s="79" t="n"/>
      <c r="L10" s="80" t="n"/>
    </row>
    <row r="11">
      <c r="A11" s="77" t="inlineStr">
        <is>
          <t>Mã số thuế (Tax- code): 4601576003</t>
        </is>
      </c>
      <c r="B11" s="70" t="n"/>
      <c r="C11" s="70" t="n"/>
      <c r="D11" s="66" t="n"/>
      <c r="E11" s="66" t="n"/>
      <c r="F11" s="69" t="n"/>
      <c r="G11" s="69" t="n"/>
      <c r="H11" s="69" t="n"/>
      <c r="I11" s="78" t="n"/>
      <c r="J11" s="78" t="n"/>
      <c r="K11" s="79" t="n"/>
      <c r="L11" s="80" t="n"/>
    </row>
    <row r="13" ht="14.4" customHeight="1">
      <c r="A13" s="81" t="inlineStr">
        <is>
          <t>Người gửi</t>
        </is>
      </c>
      <c r="B13" s="82" t="n"/>
      <c r="C13" s="82" t="n"/>
      <c r="D13" s="82" t="n"/>
      <c r="E13" s="83" t="inlineStr">
        <is>
          <t>Người nhận</t>
        </is>
      </c>
      <c r="F13" s="84" t="n"/>
      <c r="G13" s="84" t="n"/>
      <c r="H13" s="84" t="n"/>
      <c r="I13" s="287" t="inlineStr">
        <is>
          <t xml:space="preserve">Hàng hóa: </t>
        </is>
      </c>
      <c r="J13" s="288" t="n"/>
      <c r="K13" s="289" t="n"/>
    </row>
    <row r="14">
      <c r="A14" s="85" t="inlineStr">
        <is>
          <t>DAINESE</t>
        </is>
      </c>
      <c r="B14" s="86" t="n"/>
      <c r="E14" s="87" t="n"/>
      <c r="K14" s="290" t="n"/>
    </row>
    <row r="15">
      <c r="A15" s="88" t="inlineStr">
        <is>
          <t xml:space="preserve">Cảng đi: </t>
        </is>
      </c>
      <c r="B15" s="87" t="inlineStr">
        <is>
          <t>HPH</t>
        </is>
      </c>
      <c r="E15" s="89" t="inlineStr">
        <is>
          <t xml:space="preserve">Cảng đến: </t>
        </is>
      </c>
      <c r="F15" s="87" t="n"/>
      <c r="G15" s="90" t="n"/>
      <c r="H15" s="90" t="n"/>
      <c r="K15" s="290" t="n"/>
    </row>
    <row r="16">
      <c r="A16" s="91" t="inlineStr">
        <is>
          <t xml:space="preserve">Bill/Booking: </t>
        </is>
      </c>
      <c r="B16" s="92" t="inlineStr">
        <is>
          <t>KMTCVN01104033</t>
        </is>
      </c>
      <c r="C16" s="93" t="n"/>
      <c r="D16" s="93" t="n"/>
      <c r="E16" s="94" t="inlineStr">
        <is>
          <t>Số lượng</t>
        </is>
      </c>
      <c r="F16" s="95" t="inlineStr">
        <is>
          <t>1X20'</t>
        </is>
      </c>
      <c r="G16" s="95" t="n"/>
      <c r="H16" s="96" t="n"/>
      <c r="I16" s="97" t="inlineStr">
        <is>
          <t>Tờ khai</t>
        </is>
      </c>
      <c r="J16" s="98" t="n">
        <v>308277626550</v>
      </c>
      <c r="K16" s="99" t="n"/>
    </row>
    <row r="17">
      <c r="A17" s="100" t="n"/>
      <c r="B17" s="101" t="n"/>
      <c r="C17" s="101" t="n"/>
      <c r="D17" s="101" t="n"/>
      <c r="E17" s="102" t="inlineStr">
        <is>
          <t xml:space="preserve">GW (kgs): </t>
        </is>
      </c>
      <c r="F17" s="103" t="n"/>
      <c r="G17" s="291" t="n"/>
      <c r="H17" s="291" t="inlineStr">
        <is>
          <t xml:space="preserve">CW (kgs): </t>
        </is>
      </c>
      <c r="I17" s="103" t="n"/>
      <c r="J17" s="101" t="n"/>
      <c r="K17" s="105" t="n"/>
    </row>
    <row r="18" ht="21" customHeight="1">
      <c r="A18" s="249" t="n"/>
      <c r="B18" s="282" t="n"/>
      <c r="C18" s="282" t="n"/>
      <c r="D18" s="282" t="n"/>
      <c r="E18" s="282" t="n"/>
      <c r="F18" s="282" t="n"/>
      <c r="G18" s="282" t="n"/>
      <c r="H18" s="282" t="n"/>
      <c r="I18" s="282" t="n"/>
      <c r="J18" s="282" t="n"/>
      <c r="K18" s="282" t="n"/>
    </row>
    <row r="19" ht="28" customHeight="1">
      <c r="A19" s="106" t="inlineStr">
        <is>
          <t>STT</t>
        </is>
      </c>
      <c r="B19" s="106" t="inlineStr">
        <is>
          <t>Nội dung dịch vụ</t>
        </is>
      </c>
      <c r="C19" s="106" t="inlineStr">
        <is>
          <t>Số lượng</t>
        </is>
      </c>
      <c r="D19" s="106" t="inlineStr">
        <is>
          <t>ĐVT</t>
        </is>
      </c>
      <c r="E19" s="106" t="inlineStr">
        <is>
          <t>Đơn giá</t>
        </is>
      </c>
      <c r="F19" s="106" t="inlineStr">
        <is>
          <t>Đồng tiền</t>
        </is>
      </c>
      <c r="G19" s="107" t="inlineStr">
        <is>
          <t>Exchange rate</t>
        </is>
      </c>
      <c r="H19" s="108" t="inlineStr">
        <is>
          <t>Tổng tiền
(trước VAT)</t>
        </is>
      </c>
      <c r="I19" s="106" t="inlineStr">
        <is>
          <t>VAT</t>
        </is>
      </c>
      <c r="J19" s="107" t="inlineStr">
        <is>
          <t>Tổng tiền
 (VND)</t>
        </is>
      </c>
      <c r="K19" s="106" t="inlineStr">
        <is>
          <t>Số hóa đơn</t>
        </is>
      </c>
      <c r="M19" s="106" t="inlineStr">
        <is>
          <t>Đơn giá VNĐ</t>
        </is>
      </c>
    </row>
    <row r="20">
      <c r="A20" s="109" t="n">
        <v>1</v>
      </c>
      <c r="B20" s="110" t="inlineStr">
        <is>
          <t>Phí tại nước ngoài</t>
        </is>
      </c>
      <c r="C20" s="292" t="n"/>
      <c r="D20" s="282" t="n"/>
      <c r="E20" s="282" t="n"/>
      <c r="F20" s="282" t="n"/>
      <c r="G20" s="282" t="n"/>
      <c r="H20" s="282" t="n"/>
      <c r="I20" s="282" t="n"/>
      <c r="J20" s="282" t="n"/>
      <c r="K20" s="283" t="n"/>
    </row>
    <row r="21">
      <c r="A21" s="111" t="n">
        <v>1.2</v>
      </c>
      <c r="B21" s="112" t="inlineStr">
        <is>
          <t>Cước vận chuyển quốc tế</t>
        </is>
      </c>
      <c r="C21" s="113" t="n">
        <v>1</v>
      </c>
      <c r="D21" s="113" t="inlineStr">
        <is>
          <t>Lô hàng</t>
        </is>
      </c>
      <c r="E21" s="114" t="n">
        <v>0</v>
      </c>
      <c r="F21" s="293" t="inlineStr">
        <is>
          <t>USD</t>
        </is>
      </c>
      <c r="G21" s="294" t="n">
        <v>26355</v>
      </c>
      <c r="H21" s="117">
        <f>E21*C21</f>
        <v/>
      </c>
      <c r="I21" s="295" t="n">
        <v>0</v>
      </c>
      <c r="J21" s="296">
        <f>H21*G21</f>
        <v/>
      </c>
      <c r="K21" s="120" t="n"/>
      <c r="M21" s="121">
        <f>E21*G21</f>
        <v/>
      </c>
    </row>
    <row r="22">
      <c r="A22" s="250" t="inlineStr">
        <is>
          <t>Tổng (1)</t>
        </is>
      </c>
      <c r="B22" s="282" t="n"/>
      <c r="C22" s="282" t="n"/>
      <c r="D22" s="282" t="n"/>
      <c r="E22" s="282" t="n"/>
      <c r="F22" s="282" t="n"/>
      <c r="G22" s="251" t="n"/>
      <c r="H22" s="123">
        <f>SUM(H21:H21)</f>
        <v/>
      </c>
      <c r="I22" s="297" t="n"/>
      <c r="J22" s="297">
        <f>SUM(J21:J21)</f>
        <v/>
      </c>
      <c r="K22" s="125" t="n"/>
      <c r="M22" s="121">
        <f>E22*G22</f>
        <v/>
      </c>
    </row>
    <row r="23">
      <c r="A23" s="109" t="n">
        <v>2</v>
      </c>
      <c r="B23" s="110" t="inlineStr">
        <is>
          <t>Chi phí tại Việt Nam</t>
        </is>
      </c>
      <c r="C23" s="292" t="n"/>
      <c r="D23" s="282" t="n"/>
      <c r="E23" s="282" t="n"/>
      <c r="F23" s="282" t="n"/>
      <c r="G23" s="282" t="n"/>
      <c r="H23" s="282" t="n"/>
      <c r="I23" s="282" t="n"/>
      <c r="J23" s="282" t="n"/>
      <c r="K23" s="283" t="n"/>
      <c r="M23" s="121">
        <f>E23*G23</f>
        <v/>
      </c>
    </row>
    <row r="24" ht="28" customHeight="1">
      <c r="A24" s="111" t="n">
        <v>2.1</v>
      </c>
      <c r="B24" s="112">
        <f>"Phí dịch vụ hải quan tờ khai số "&amp;J16</f>
        <v/>
      </c>
      <c r="C24" s="126" t="n">
        <v>1</v>
      </c>
      <c r="D24" s="126" t="inlineStr">
        <is>
          <t>Tờ khai</t>
        </is>
      </c>
      <c r="E24" s="127" t="n">
        <v>30</v>
      </c>
      <c r="F24" s="293" t="inlineStr">
        <is>
          <t>USD</t>
        </is>
      </c>
      <c r="G24" s="294" t="n">
        <v>26355</v>
      </c>
      <c r="H24" s="127">
        <f>E24*C24</f>
        <v/>
      </c>
      <c r="I24" s="298" t="n">
        <v>0</v>
      </c>
      <c r="J24" s="296">
        <f>H24*G24</f>
        <v/>
      </c>
      <c r="K24" s="252" t="n"/>
      <c r="M24" s="121">
        <f>E24*G24</f>
        <v/>
      </c>
    </row>
    <row r="25" ht="28" customHeight="1">
      <c r="A25" s="111" t="n">
        <v>2.2</v>
      </c>
      <c r="B25" s="112">
        <f>"Phí dịch vụ hải quan giám sát tờ khai số "&amp;J16</f>
        <v/>
      </c>
      <c r="C25" s="126" t="n">
        <v>1</v>
      </c>
      <c r="D25" s="126" t="inlineStr">
        <is>
          <t>Tờ khai</t>
        </is>
      </c>
      <c r="E25" s="127" t="n">
        <v>10</v>
      </c>
      <c r="F25" s="293" t="inlineStr">
        <is>
          <t>USD</t>
        </is>
      </c>
      <c r="G25" s="294" t="n">
        <v>26355</v>
      </c>
      <c r="H25" s="117">
        <f>ROUND((E25*C25),0)</f>
        <v/>
      </c>
      <c r="I25" s="298" t="n">
        <v>0</v>
      </c>
      <c r="J25" s="296">
        <f>H25*G25</f>
        <v/>
      </c>
      <c r="K25" s="299" t="n"/>
      <c r="M25" s="121">
        <f>E25*G25</f>
        <v/>
      </c>
    </row>
    <row r="26" ht="28" customHeight="1">
      <c r="A26" s="111" t="n">
        <v>2.3</v>
      </c>
      <c r="B26" s="112">
        <f>"Phí dịch vụ hải quan kiểm hóa tờ khai số "&amp;J16</f>
        <v/>
      </c>
      <c r="C26" s="129" t="n">
        <v>1</v>
      </c>
      <c r="D26" s="126" t="inlineStr">
        <is>
          <t>Tờ khai</t>
        </is>
      </c>
      <c r="E26" s="130" t="n">
        <v>0</v>
      </c>
      <c r="F26" s="300" t="inlineStr">
        <is>
          <t>USD</t>
        </is>
      </c>
      <c r="G26" s="294" t="n">
        <v>26355</v>
      </c>
      <c r="H26" s="130">
        <f>E26*C26</f>
        <v/>
      </c>
      <c r="I26" s="300" t="n">
        <v>0</v>
      </c>
      <c r="J26" s="301">
        <f>H26*G26</f>
        <v/>
      </c>
      <c r="K26" s="299" t="n"/>
      <c r="M26" s="121">
        <f>E26*G26</f>
        <v/>
      </c>
    </row>
    <row r="27" ht="28" customHeight="1">
      <c r="A27" s="111" t="n">
        <v>2.4</v>
      </c>
      <c r="B27" s="112" t="inlineStr">
        <is>
          <t>Phí gom hàng lẻ (CFS/CIC/ LSS)</t>
        </is>
      </c>
      <c r="C27" s="129" t="n">
        <v>1</v>
      </c>
      <c r="D27" s="129" t="inlineStr">
        <is>
          <t>CBM</t>
        </is>
      </c>
      <c r="E27" s="130" t="n">
        <v>0</v>
      </c>
      <c r="F27" s="300" t="inlineStr">
        <is>
          <t>USD</t>
        </is>
      </c>
      <c r="G27" s="294" t="n">
        <v>26355</v>
      </c>
      <c r="H27" s="130">
        <f>E27*C27</f>
        <v/>
      </c>
      <c r="I27" s="300" t="n">
        <v>0</v>
      </c>
      <c r="J27" s="301">
        <f>H27*G27</f>
        <v/>
      </c>
      <c r="K27" s="299" t="n"/>
      <c r="M27" s="121">
        <f>E27*G27</f>
        <v/>
      </c>
    </row>
    <row r="28">
      <c r="A28" s="111" t="n">
        <v>2.5</v>
      </c>
      <c r="B28" s="112" t="inlineStr">
        <is>
          <t>Phí chứng từ</t>
        </is>
      </c>
      <c r="C28" s="126" t="n">
        <v>1</v>
      </c>
      <c r="D28" s="113" t="inlineStr">
        <is>
          <t>Lô hàng</t>
        </is>
      </c>
      <c r="E28" s="127" t="n">
        <v>0</v>
      </c>
      <c r="F28" s="293" t="inlineStr">
        <is>
          <t>USD</t>
        </is>
      </c>
      <c r="G28" s="294" t="n">
        <v>26355</v>
      </c>
      <c r="H28" s="117">
        <f>ROUND((E28*C28),0)</f>
        <v/>
      </c>
      <c r="I28" s="298" t="n">
        <v>0</v>
      </c>
      <c r="J28" s="296">
        <f>H28*G28</f>
        <v/>
      </c>
      <c r="K28" s="299" t="n"/>
      <c r="M28" s="121">
        <f>E28*G28</f>
        <v/>
      </c>
    </row>
    <row r="29">
      <c r="A29" s="111" t="n">
        <v>2.6</v>
      </c>
      <c r="B29" s="112" t="inlineStr">
        <is>
          <t xml:space="preserve">Phí làm hàng </t>
        </is>
      </c>
      <c r="C29" s="126" t="n">
        <v>1</v>
      </c>
      <c r="D29" s="113" t="inlineStr">
        <is>
          <t>Lô hàng</t>
        </is>
      </c>
      <c r="E29" s="127" t="n">
        <v>0</v>
      </c>
      <c r="F29" s="293" t="inlineStr">
        <is>
          <t>USD</t>
        </is>
      </c>
      <c r="G29" s="294" t="n">
        <v>26355</v>
      </c>
      <c r="H29" s="117">
        <f>ROUND((E29*C29),0)</f>
        <v/>
      </c>
      <c r="I29" s="298" t="n">
        <v>0</v>
      </c>
      <c r="J29" s="296">
        <f>H29*G29</f>
        <v/>
      </c>
      <c r="K29" s="299" t="n"/>
      <c r="M29" s="121">
        <f>E29*G29</f>
        <v/>
      </c>
    </row>
    <row r="30" ht="28" customHeight="1">
      <c r="A30" s="111" t="n">
        <v>2.7</v>
      </c>
      <c r="B30" s="112" t="inlineStr">
        <is>
          <t>Phí vận chuyển Hải Phòng - Yên Binh, Thái Nguyên</t>
        </is>
      </c>
      <c r="C30" s="126" t="n">
        <v>1</v>
      </c>
      <c r="D30" s="126" t="inlineStr">
        <is>
          <t>chuyến</t>
        </is>
      </c>
      <c r="E30" s="127" t="n">
        <v>210</v>
      </c>
      <c r="F30" s="293" t="inlineStr">
        <is>
          <t>USD</t>
        </is>
      </c>
      <c r="G30" s="294" t="n">
        <v>26355</v>
      </c>
      <c r="H30" s="117">
        <f>E30*C30</f>
        <v/>
      </c>
      <c r="I30" s="298" t="n">
        <v>0</v>
      </c>
      <c r="J30" s="296">
        <f>H30*G30</f>
        <v/>
      </c>
      <c r="K30" s="299" t="n"/>
      <c r="L30" s="133" t="n"/>
      <c r="M30" s="121">
        <f>E30*G30</f>
        <v/>
      </c>
    </row>
    <row r="31">
      <c r="A31" s="250" t="inlineStr">
        <is>
          <t>Tổng (2)</t>
        </is>
      </c>
      <c r="B31" s="282" t="n"/>
      <c r="C31" s="282" t="n"/>
      <c r="D31" s="282" t="n"/>
      <c r="E31" s="282" t="n"/>
      <c r="F31" s="282" t="n"/>
      <c r="G31" s="251" t="n"/>
      <c r="H31" s="123">
        <f>SUM(H24:H30)</f>
        <v/>
      </c>
      <c r="I31" s="297">
        <f>H31*0</f>
        <v/>
      </c>
      <c r="J31" s="302">
        <f>SUM(J24:J30)</f>
        <v/>
      </c>
      <c r="K31" s="125" t="n"/>
      <c r="M31" s="121">
        <f>E31*G31</f>
        <v/>
      </c>
    </row>
    <row r="32" hidden="1">
      <c r="A32" s="109" t="n">
        <v>3</v>
      </c>
      <c r="B32" s="135" t="inlineStr">
        <is>
          <t>Các chi phí xuất theo HĐ của bên thứ 3</t>
        </is>
      </c>
      <c r="C32" s="254" t="n"/>
      <c r="D32" s="282" t="n"/>
      <c r="E32" s="282" t="n"/>
      <c r="F32" s="282" t="n"/>
      <c r="G32" s="282" t="n"/>
      <c r="H32" s="282" t="n"/>
      <c r="I32" s="282" t="n"/>
      <c r="J32" s="282" t="n"/>
      <c r="K32" s="283" t="n"/>
      <c r="M32" s="121">
        <f>E32*G32</f>
        <v/>
      </c>
    </row>
    <row r="33" hidden="1">
      <c r="A33" s="129" t="n">
        <v>3.1</v>
      </c>
      <c r="B33" s="137" t="inlineStr">
        <is>
          <t>Lưu kho</t>
        </is>
      </c>
      <c r="C33" s="129" t="n">
        <v>0</v>
      </c>
      <c r="D33" s="129" t="inlineStr">
        <is>
          <t>kg/ngày</t>
        </is>
      </c>
      <c r="E33" s="138" t="n">
        <v>7260</v>
      </c>
      <c r="F33" s="300" t="inlineStr">
        <is>
          <t>VND</t>
        </is>
      </c>
      <c r="G33" s="300" t="n"/>
      <c r="H33" s="303">
        <f>C33*E33</f>
        <v/>
      </c>
      <c r="I33" s="304">
        <f>H33*8%</f>
        <v/>
      </c>
      <c r="J33" s="296">
        <f>I33+H33</f>
        <v/>
      </c>
      <c r="K33" s="141" t="n"/>
      <c r="M33" s="121">
        <f>E33*G33</f>
        <v/>
      </c>
    </row>
    <row r="34" hidden="1">
      <c r="A34" s="255" t="inlineStr">
        <is>
          <t>Tổng (3)</t>
        </is>
      </c>
      <c r="B34" s="305" t="n"/>
      <c r="C34" s="305" t="n"/>
      <c r="D34" s="305" t="n"/>
      <c r="E34" s="305" t="n"/>
      <c r="F34" s="305" t="n"/>
      <c r="G34" s="256" t="n"/>
      <c r="H34" s="297">
        <f>SUM(H32:H33)</f>
        <v/>
      </c>
      <c r="I34" s="297">
        <f>H34*8%</f>
        <v/>
      </c>
      <c r="J34" s="302">
        <f>SUM(J32:J33)</f>
        <v/>
      </c>
      <c r="K34" s="143" t="n"/>
      <c r="M34" s="121">
        <f>E34*G34</f>
        <v/>
      </c>
    </row>
    <row r="35">
      <c r="A35" s="109" t="n">
        <v>3</v>
      </c>
      <c r="B35" s="135" t="inlineStr">
        <is>
          <t>Các chi phí trả hộ</t>
        </is>
      </c>
      <c r="C35" s="254" t="n"/>
      <c r="D35" s="282" t="n"/>
      <c r="E35" s="282" t="n"/>
      <c r="F35" s="282" t="n"/>
      <c r="G35" s="282" t="n"/>
      <c r="H35" s="282" t="n"/>
      <c r="I35" s="282" t="n"/>
      <c r="J35" s="282" t="n"/>
      <c r="K35" s="283" t="n"/>
      <c r="M35" s="121">
        <f>E35*G35</f>
        <v/>
      </c>
    </row>
    <row r="36">
      <c r="A36" s="144" t="n">
        <v>3.1</v>
      </c>
      <c r="B36" s="145" t="inlineStr">
        <is>
          <t>LCC</t>
        </is>
      </c>
      <c r="C36" s="129" t="n">
        <v>1</v>
      </c>
      <c r="D36" s="113" t="inlineStr">
        <is>
          <t>Lô hàng</t>
        </is>
      </c>
      <c r="E36" s="138" t="n">
        <v>5577508</v>
      </c>
      <c r="F36" s="300" t="inlineStr">
        <is>
          <t>VND</t>
        </is>
      </c>
      <c r="G36" s="300" t="n"/>
      <c r="H36" s="138" t="n"/>
      <c r="I36" s="298" t="n"/>
      <c r="J36" s="138">
        <f>E36</f>
        <v/>
      </c>
      <c r="K36" s="141" t="inlineStr">
        <is>
          <t>00000779</t>
        </is>
      </c>
      <c r="M36" s="121">
        <f>E36*G36</f>
        <v/>
      </c>
    </row>
    <row r="37">
      <c r="A37" s="129" t="n">
        <v>3.2</v>
      </c>
      <c r="B37" s="254" t="inlineStr">
        <is>
          <t>CSHT</t>
        </is>
      </c>
      <c r="C37" s="129" t="n">
        <v>1</v>
      </c>
      <c r="D37" s="113" t="inlineStr">
        <is>
          <t>Lô hàng</t>
        </is>
      </c>
      <c r="E37" s="138" t="n">
        <v>250000</v>
      </c>
      <c r="F37" s="300" t="inlineStr">
        <is>
          <t>VND</t>
        </is>
      </c>
      <c r="G37" s="300" t="n"/>
      <c r="H37" s="138" t="n"/>
      <c r="I37" s="298" t="n"/>
      <c r="J37" s="138">
        <f>E37</f>
        <v/>
      </c>
      <c r="K37" s="141" t="inlineStr">
        <is>
          <t>1130288</t>
        </is>
      </c>
      <c r="M37" s="121">
        <f>E37*G37</f>
        <v/>
      </c>
    </row>
    <row r="38">
      <c r="A38" s="144" t="n">
        <v>3.3</v>
      </c>
      <c r="B38" s="254" t="inlineStr">
        <is>
          <t>Nâng vỏ</t>
        </is>
      </c>
      <c r="C38" s="129" t="n">
        <v>1</v>
      </c>
      <c r="D38" s="113" t="inlineStr">
        <is>
          <t>Lô hàng</t>
        </is>
      </c>
      <c r="E38" s="138" t="n">
        <v>1000000</v>
      </c>
      <c r="F38" s="300" t="inlineStr">
        <is>
          <t>VND</t>
        </is>
      </c>
      <c r="G38" s="300" t="n"/>
      <c r="H38" s="138" t="n"/>
      <c r="I38" s="298" t="n"/>
      <c r="J38" s="138">
        <f>E38</f>
        <v/>
      </c>
      <c r="K38" s="146" t="inlineStr">
        <is>
          <t>00003209</t>
        </is>
      </c>
      <c r="M38" s="121">
        <f>E38*G38</f>
        <v/>
      </c>
    </row>
    <row r="39">
      <c r="A39" s="144" t="n">
        <v>3.4</v>
      </c>
      <c r="B39" s="254" t="inlineStr">
        <is>
          <t>Vé bãi kiểm hóa</t>
        </is>
      </c>
      <c r="C39" s="129" t="n">
        <v>1</v>
      </c>
      <c r="D39" s="113" t="inlineStr">
        <is>
          <t>Lô hàng</t>
        </is>
      </c>
      <c r="E39" s="138" t="n">
        <v>0</v>
      </c>
      <c r="F39" s="300" t="inlineStr">
        <is>
          <t>VND</t>
        </is>
      </c>
      <c r="G39" s="300" t="n"/>
      <c r="H39" s="138" t="n"/>
      <c r="I39" s="298" t="n"/>
      <c r="J39" s="138">
        <f>E39</f>
        <v/>
      </c>
      <c r="K39" s="146" t="n"/>
      <c r="M39" s="121">
        <f>E39*G39</f>
        <v/>
      </c>
    </row>
    <row r="40">
      <c r="A40" s="144" t="n">
        <v>3.5</v>
      </c>
      <c r="B40" s="254" t="inlineStr">
        <is>
          <t>Hạ hàng</t>
        </is>
      </c>
      <c r="C40" s="129" t="n">
        <v>1</v>
      </c>
      <c r="D40" s="113" t="inlineStr">
        <is>
          <t>Lô hàng</t>
        </is>
      </c>
      <c r="E40" s="138" t="n">
        <v>1350000</v>
      </c>
      <c r="F40" s="300" t="inlineStr">
        <is>
          <t>VND</t>
        </is>
      </c>
      <c r="G40" s="300" t="n"/>
      <c r="H40" s="138" t="n"/>
      <c r="I40" s="298" t="n"/>
      <c r="J40" s="138">
        <f>E40</f>
        <v/>
      </c>
      <c r="K40" s="146" t="inlineStr">
        <is>
          <t>10709</t>
        </is>
      </c>
      <c r="M40" s="121">
        <f>E40*G40</f>
        <v/>
      </c>
    </row>
    <row r="41">
      <c r="A41" s="255" t="inlineStr">
        <is>
          <t>Tổng (3)</t>
        </is>
      </c>
      <c r="B41" s="305" t="n"/>
      <c r="C41" s="305" t="n"/>
      <c r="D41" s="305" t="n"/>
      <c r="E41" s="305" t="n"/>
      <c r="F41" s="305" t="n"/>
      <c r="G41" s="147" t="n"/>
      <c r="H41" s="306" t="n"/>
      <c r="I41" s="149" t="n"/>
      <c r="J41" s="307">
        <f>SUM(J36:J40)</f>
        <v/>
      </c>
      <c r="K41" s="151" t="n"/>
      <c r="M41" s="121">
        <f>E41*G41</f>
        <v/>
      </c>
    </row>
    <row r="42" ht="15" customHeight="1">
      <c r="A42" s="250" t="inlineStr">
        <is>
          <t>Tổng cộng (1+2+3)</t>
        </is>
      </c>
      <c r="B42" s="282" t="n"/>
      <c r="C42" s="282" t="n"/>
      <c r="D42" s="282" t="n"/>
      <c r="E42" s="282" t="n"/>
      <c r="F42" s="282" t="n"/>
      <c r="G42" s="251" t="n"/>
      <c r="H42" s="308" t="n"/>
      <c r="I42" s="309" t="n"/>
      <c r="J42" s="310">
        <f>J41++J22+J34+J31</f>
        <v/>
      </c>
      <c r="K42" s="155" t="n"/>
      <c r="M42" s="121">
        <f>E42*G42</f>
        <v/>
      </c>
    </row>
    <row r="44">
      <c r="K44" s="201" t="inlineStr">
        <is>
          <t>00000779,1130288, 00003209, 10709</t>
        </is>
      </c>
    </row>
    <row r="45">
      <c r="L45" s="311" t="n"/>
    </row>
  </sheetData>
  <mergeCells count="13">
    <mergeCell ref="A41:F41"/>
    <mergeCell ref="K24:K30"/>
    <mergeCell ref="A18:K18"/>
    <mergeCell ref="A42:F42"/>
    <mergeCell ref="I13:K15"/>
    <mergeCell ref="A31:F31"/>
    <mergeCell ref="A6:L6"/>
    <mergeCell ref="A34:F34"/>
    <mergeCell ref="C23:K23"/>
    <mergeCell ref="A22:F22"/>
    <mergeCell ref="C35:K35"/>
    <mergeCell ref="C20:K20"/>
    <mergeCell ref="C32:K3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K27"/>
  <sheetViews>
    <sheetView topLeftCell="A10" workbookViewId="0">
      <selection activeCell="B7" sqref="B7:K7"/>
    </sheetView>
  </sheetViews>
  <sheetFormatPr baseColWidth="8" defaultColWidth="8.81640625" defaultRowHeight="12.5"/>
  <cols>
    <col width="20.81640625" customWidth="1" min="2" max="2"/>
    <col width="14.81640625" customWidth="1" min="10" max="10"/>
  </cols>
  <sheetData>
    <row r="3" ht="13" customHeight="1">
      <c r="A3" s="1" t="n"/>
      <c r="B3" s="312" t="inlineStr">
        <is>
          <t>House Bill</t>
        </is>
      </c>
      <c r="C3" s="313" t="inlineStr">
        <is>
          <t>CBM</t>
        </is>
      </c>
      <c r="D3" s="314" t="inlineStr">
        <is>
          <t>AF/OF</t>
        </is>
      </c>
      <c r="E3" s="314" t="inlineStr">
        <is>
          <t>THC</t>
        </is>
      </c>
      <c r="F3" s="315" t="inlineStr">
        <is>
          <t>CFS</t>
        </is>
      </c>
      <c r="G3" s="314" t="inlineStr">
        <is>
          <t>DO/ BILL</t>
        </is>
      </c>
      <c r="H3" s="316" t="inlineStr">
        <is>
          <t>CUSTOMS CLEARANCE</t>
        </is>
      </c>
      <c r="I3" s="316" t="inlineStr">
        <is>
          <t>TRUCKING FEE</t>
        </is>
      </c>
      <c r="J3" s="316" t="inlineStr">
        <is>
          <t>HANDLING FEE</t>
        </is>
      </c>
      <c r="K3" s="316" t="inlineStr">
        <is>
          <t>INSPECTION FEE</t>
        </is>
      </c>
    </row>
    <row r="4">
      <c r="B4" s="299" t="n"/>
      <c r="C4" s="299" t="n"/>
      <c r="D4" s="276" t="n"/>
      <c r="E4" s="276" t="n"/>
      <c r="F4" s="276" t="n"/>
      <c r="G4" s="276" t="n"/>
      <c r="H4" s="276" t="n"/>
      <c r="I4" s="276" t="n"/>
      <c r="J4" s="276" t="n"/>
      <c r="K4" s="276" t="n"/>
    </row>
    <row r="5">
      <c r="B5" s="276" t="n"/>
      <c r="C5" s="276" t="n"/>
      <c r="D5" s="2" t="inlineStr">
        <is>
          <t>Total</t>
        </is>
      </c>
      <c r="E5" s="2" t="inlineStr">
        <is>
          <t>Total</t>
        </is>
      </c>
      <c r="F5" s="2" t="inlineStr">
        <is>
          <t>Total</t>
        </is>
      </c>
      <c r="G5" s="2" t="inlineStr">
        <is>
          <t>Total</t>
        </is>
      </c>
      <c r="H5" s="8" t="inlineStr">
        <is>
          <t>Total</t>
        </is>
      </c>
      <c r="I5" s="8" t="inlineStr">
        <is>
          <t>Total</t>
        </is>
      </c>
      <c r="J5" s="8" t="inlineStr">
        <is>
          <t>Total</t>
        </is>
      </c>
      <c r="K5" s="8" t="inlineStr">
        <is>
          <t>Total</t>
        </is>
      </c>
    </row>
    <row r="6" ht="23" customHeight="1">
      <c r="B6" s="3" t="inlineStr">
        <is>
          <t>SHMT:HWBNO</t>
        </is>
      </c>
      <c r="C6" s="9" t="inlineStr">
        <is>
          <t>SHMTNB:CBM</t>
        </is>
      </c>
      <c r="D6" s="4" t="inlineStr">
        <is>
          <t>S_OF,S_AIRFREIGHT</t>
        </is>
      </c>
      <c r="E6" s="4" t="inlineStr">
        <is>
          <t>S_THC</t>
        </is>
      </c>
      <c r="F6" s="4" t="inlineStr">
        <is>
          <t>S_CFSO</t>
        </is>
      </c>
      <c r="G6" s="4" t="inlineStr">
        <is>
          <t>S_AWB,S_BILL,S_D/O</t>
        </is>
      </c>
      <c r="H6" s="4" t="inlineStr">
        <is>
          <t>S_CUSTOMS,S_THUTUCHAIQUAN</t>
        </is>
      </c>
      <c r="I6" s="4" t="inlineStr">
        <is>
          <t>S_VCND</t>
        </is>
      </c>
      <c r="J6" s="4" t="inlineStr">
        <is>
          <t>S_HL</t>
        </is>
      </c>
      <c r="K6" s="4" t="inlineStr">
        <is>
          <t>S_KH</t>
        </is>
      </c>
    </row>
    <row r="7">
      <c r="B7" s="5" t="n">
        <v>1</v>
      </c>
      <c r="C7" s="10" t="n">
        <v>2</v>
      </c>
      <c r="D7" s="5" t="n">
        <v>3</v>
      </c>
      <c r="E7" s="10" t="n">
        <v>4</v>
      </c>
      <c r="F7" s="5" t="n">
        <v>5</v>
      </c>
      <c r="G7" s="10" t="n">
        <v>6</v>
      </c>
      <c r="H7" s="5" t="n">
        <v>7</v>
      </c>
      <c r="I7" s="10" t="n">
        <v>8</v>
      </c>
      <c r="J7" s="5" t="n">
        <v>9</v>
      </c>
      <c r="K7" s="10" t="n">
        <v>10</v>
      </c>
    </row>
    <row r="8" ht="14" customHeight="1">
      <c r="B8" s="6" t="inlineStr">
        <is>
          <t>P220400024</t>
        </is>
      </c>
      <c r="C8" s="11" t="n"/>
      <c r="D8" s="7" t="n"/>
      <c r="E8" s="7" t="n"/>
      <c r="F8" s="7" t="n"/>
      <c r="G8" s="7" t="n">
        <v>575000</v>
      </c>
      <c r="H8" s="7" t="n">
        <v>580000</v>
      </c>
      <c r="I8" s="7" t="n">
        <v>918000</v>
      </c>
      <c r="J8" s="7" t="n">
        <v>575000</v>
      </c>
      <c r="K8" s="7" t="n"/>
    </row>
    <row r="9" ht="14" customHeight="1">
      <c r="B9" s="6" t="inlineStr">
        <is>
          <t>P220400283</t>
        </is>
      </c>
      <c r="C9" s="11" t="n"/>
      <c r="D9" s="7" t="n"/>
      <c r="E9" s="7" t="n"/>
      <c r="F9" s="7" t="n"/>
      <c r="G9" s="7" t="n">
        <v>578000</v>
      </c>
      <c r="H9" s="7" t="n"/>
      <c r="I9" s="7" t="n">
        <v>648000</v>
      </c>
      <c r="J9" s="7" t="n">
        <v>578000</v>
      </c>
      <c r="K9" s="7" t="n"/>
    </row>
    <row r="10" ht="14" customHeight="1">
      <c r="B10" s="6" t="inlineStr">
        <is>
          <t>PL2022036069</t>
        </is>
      </c>
      <c r="C10" s="11" t="n">
        <v>2.578</v>
      </c>
      <c r="D10" s="7" t="n">
        <v>1424293</v>
      </c>
      <c r="E10" s="7" t="n">
        <v>350608</v>
      </c>
      <c r="F10" s="7" t="n">
        <v>1268376</v>
      </c>
      <c r="G10" s="7" t="n">
        <v>525000</v>
      </c>
      <c r="H10" s="7" t="n"/>
      <c r="I10" s="7" t="n"/>
      <c r="J10" s="7" t="n"/>
      <c r="K10" s="7" t="n"/>
    </row>
    <row r="11" ht="14" customHeight="1">
      <c r="B11" s="6" t="inlineStr">
        <is>
          <t>PL2022036099</t>
        </is>
      </c>
      <c r="C11" s="11" t="n">
        <v>4.763</v>
      </c>
      <c r="D11" s="7" t="n">
        <v>2631462</v>
      </c>
      <c r="E11" s="7" t="n">
        <v>647768</v>
      </c>
      <c r="F11" s="7" t="n">
        <v>2343396</v>
      </c>
      <c r="G11" s="7" t="n">
        <v>525000</v>
      </c>
      <c r="H11" s="7" t="n">
        <v>1360000</v>
      </c>
      <c r="I11" s="7" t="n">
        <v>3509000</v>
      </c>
      <c r="J11" s="7" t="n"/>
      <c r="K11" s="7" t="n"/>
    </row>
    <row r="12" ht="14" customHeight="1">
      <c r="B12" s="6" t="inlineStr">
        <is>
          <t>PL2022045201</t>
        </is>
      </c>
      <c r="C12" s="11" t="n">
        <v>0.7680000000000001</v>
      </c>
      <c r="D12" s="7" t="n">
        <v>552480</v>
      </c>
      <c r="E12" s="7" t="n">
        <v>136000</v>
      </c>
      <c r="F12" s="7" t="n">
        <v>492000</v>
      </c>
      <c r="G12" s="7" t="n">
        <v>525000</v>
      </c>
      <c r="H12" s="7" t="n"/>
      <c r="I12" s="7" t="n"/>
      <c r="J12" s="7" t="n"/>
      <c r="K12" s="7" t="n"/>
    </row>
    <row r="13" ht="14" customHeight="1">
      <c r="B13" s="6" t="inlineStr">
        <is>
          <t>PL2022045203</t>
        </is>
      </c>
      <c r="C13" s="11" t="n">
        <v>4.278</v>
      </c>
      <c r="D13" s="7" t="n">
        <v>2363509</v>
      </c>
      <c r="E13" s="7" t="n">
        <v>581808</v>
      </c>
      <c r="F13" s="7" t="n">
        <v>2104776</v>
      </c>
      <c r="G13" s="7" t="n">
        <v>525000</v>
      </c>
      <c r="H13" s="7" t="n">
        <v>1360000</v>
      </c>
      <c r="I13" s="7" t="n">
        <v>4086664</v>
      </c>
      <c r="J13" s="7" t="n"/>
      <c r="K13" s="7" t="n"/>
    </row>
    <row r="14" ht="14" customHeight="1">
      <c r="B14" s="6" t="inlineStr">
        <is>
          <t>PL2022045143</t>
        </is>
      </c>
      <c r="C14" s="11" t="n">
        <v>5.855</v>
      </c>
      <c r="D14" s="7" t="n">
        <v>3234770</v>
      </c>
      <c r="E14" s="7" t="n">
        <v>796280</v>
      </c>
      <c r="F14" s="7" t="n">
        <v>2880660</v>
      </c>
      <c r="G14" s="7" t="n">
        <v>525000</v>
      </c>
      <c r="H14" s="7" t="n">
        <v>680000</v>
      </c>
      <c r="I14" s="7" t="n"/>
      <c r="J14" s="7" t="n"/>
      <c r="K14" s="7" t="n"/>
    </row>
    <row r="15" ht="14" customHeight="1">
      <c r="B15" s="6" t="inlineStr">
        <is>
          <t>PL2022045505</t>
        </is>
      </c>
      <c r="C15" s="11" t="n">
        <v>1.112</v>
      </c>
      <c r="D15" s="7" t="n">
        <v>614358</v>
      </c>
      <c r="E15" s="7" t="n">
        <v>151232</v>
      </c>
      <c r="F15" s="7" t="n">
        <v>547104</v>
      </c>
      <c r="G15" s="7" t="n">
        <v>525000</v>
      </c>
      <c r="H15" s="7" t="n">
        <v>680000</v>
      </c>
      <c r="I15" s="7" t="n">
        <v>1732500</v>
      </c>
      <c r="J15" s="7" t="n"/>
      <c r="K15" s="7" t="n"/>
    </row>
    <row r="16" ht="14" customHeight="1">
      <c r="B16" s="6" t="inlineStr">
        <is>
          <t>PL2022035590</t>
        </is>
      </c>
      <c r="C16" s="11" t="n">
        <v>4.292</v>
      </c>
      <c r="D16" s="7" t="n">
        <v>2371244</v>
      </c>
      <c r="E16" s="7" t="n">
        <v>583712</v>
      </c>
      <c r="F16" s="7" t="n">
        <v>2111664</v>
      </c>
      <c r="G16" s="7" t="n">
        <v>525000</v>
      </c>
      <c r="H16" s="7" t="n">
        <v>680000</v>
      </c>
      <c r="I16" s="7" t="n">
        <v>1837000</v>
      </c>
      <c r="J16" s="7" t="n"/>
      <c r="K16" s="7" t="n"/>
    </row>
    <row r="17" ht="14" customHeight="1">
      <c r="B17" s="6" t="inlineStr">
        <is>
          <t>PL2022035947</t>
        </is>
      </c>
      <c r="C17" s="11" t="n">
        <v>1.723</v>
      </c>
      <c r="D17" s="7" t="n">
        <v>951923</v>
      </c>
      <c r="E17" s="7" t="n">
        <v>234328</v>
      </c>
      <c r="F17" s="7" t="n">
        <v>847716</v>
      </c>
      <c r="G17" s="7" t="n">
        <v>525000</v>
      </c>
      <c r="H17" s="7" t="n">
        <v>680000</v>
      </c>
      <c r="I17" s="7" t="n"/>
      <c r="J17" s="7" t="n"/>
      <c r="K17" s="7" t="n"/>
    </row>
    <row r="18" ht="14" customHeight="1">
      <c r="B18" s="6" t="inlineStr">
        <is>
          <t>PL2022035949</t>
        </is>
      </c>
      <c r="C18" s="11" t="n">
        <v>8.464</v>
      </c>
      <c r="D18" s="7" t="n">
        <v>4676191</v>
      </c>
      <c r="E18" s="7" t="n">
        <v>1151104</v>
      </c>
      <c r="F18" s="7" t="n">
        <v>4164288</v>
      </c>
      <c r="G18" s="7" t="n">
        <v>525000</v>
      </c>
      <c r="H18" s="7" t="n">
        <v>680000</v>
      </c>
      <c r="I18" s="7" t="n"/>
      <c r="J18" s="7" t="n"/>
      <c r="K18" s="7" t="n"/>
    </row>
    <row r="19" ht="14" customHeight="1">
      <c r="B19" s="6" t="inlineStr">
        <is>
          <t>PL2022036119</t>
        </is>
      </c>
      <c r="C19" s="11" t="n">
        <v>9.581</v>
      </c>
      <c r="D19" s="7" t="n">
        <v>5293311</v>
      </c>
      <c r="E19" s="7" t="n">
        <v>1303016</v>
      </c>
      <c r="F19" s="7" t="n">
        <v>4713852</v>
      </c>
      <c r="G19" s="7" t="n">
        <v>525000</v>
      </c>
      <c r="H19" s="7" t="n">
        <v>680000</v>
      </c>
      <c r="I19" s="7" t="n">
        <v>2772000</v>
      </c>
      <c r="J19" s="7" t="n"/>
      <c r="K19" s="7" t="n"/>
    </row>
    <row r="20" ht="14" customHeight="1">
      <c r="B20" s="6" t="inlineStr">
        <is>
          <t>PL2022045387</t>
        </is>
      </c>
      <c r="C20" s="11" t="n">
        <v>8.362</v>
      </c>
      <c r="D20" s="7" t="n">
        <v>4619838</v>
      </c>
      <c r="E20" s="7" t="n">
        <v>1137232</v>
      </c>
      <c r="F20" s="7" t="n">
        <v>4114104</v>
      </c>
      <c r="G20" s="7" t="n">
        <v>525000</v>
      </c>
      <c r="H20" s="7" t="n">
        <v>680000</v>
      </c>
      <c r="I20" s="7" t="n">
        <v>4550192</v>
      </c>
      <c r="J20" s="7" t="n"/>
      <c r="K20" s="7" t="n"/>
    </row>
    <row r="21" ht="14" customHeight="1">
      <c r="B21" s="6" t="inlineStr">
        <is>
          <t>PL2022045386</t>
        </is>
      </c>
      <c r="C21" s="11" t="n">
        <v>3.499</v>
      </c>
      <c r="D21" s="7" t="n">
        <v>1933128</v>
      </c>
      <c r="E21" s="7" t="n">
        <v>475864</v>
      </c>
      <c r="F21" s="7" t="n">
        <v>1721508</v>
      </c>
      <c r="G21" s="7" t="n">
        <v>525000</v>
      </c>
      <c r="H21" s="7" t="n">
        <v>680000</v>
      </c>
      <c r="I21" s="7" t="n">
        <v>1837000</v>
      </c>
      <c r="J21" s="7" t="n"/>
      <c r="K21" s="7" t="n"/>
    </row>
    <row r="22" ht="14" customHeight="1">
      <c r="B22" s="6" t="inlineStr">
        <is>
          <t>PL2022045638</t>
        </is>
      </c>
      <c r="C22" s="11" t="n">
        <v>0.9720000000000002</v>
      </c>
      <c r="D22" s="7" t="n">
        <v>552480</v>
      </c>
      <c r="E22" s="7" t="n">
        <v>136000</v>
      </c>
      <c r="F22" s="7" t="n">
        <v>492000</v>
      </c>
      <c r="G22" s="7" t="n">
        <v>525000</v>
      </c>
      <c r="H22" s="7" t="n">
        <v>680000</v>
      </c>
      <c r="I22" s="7" t="n">
        <v>1287000</v>
      </c>
      <c r="J22" s="7" t="n"/>
      <c r="K22" s="7" t="n"/>
    </row>
    <row r="23" ht="14" customHeight="1">
      <c r="B23" s="6" t="inlineStr">
        <is>
          <t>PL2022046062</t>
        </is>
      </c>
      <c r="C23" s="11" t="n">
        <v>1.257</v>
      </c>
      <c r="D23" s="7" t="n">
        <v>696881</v>
      </c>
      <c r="E23" s="7" t="n">
        <v>170952</v>
      </c>
      <c r="F23" s="7" t="n">
        <v>618444</v>
      </c>
      <c r="G23" s="7" t="n">
        <v>525000</v>
      </c>
      <c r="H23" s="7" t="n"/>
      <c r="I23" s="7" t="n"/>
      <c r="J23" s="7" t="n"/>
      <c r="K23" s="7" t="n"/>
    </row>
    <row r="24" ht="14" customHeight="1">
      <c r="B24" s="6" t="inlineStr">
        <is>
          <t>HANLOGE22041880</t>
        </is>
      </c>
      <c r="C24" s="11" t="n"/>
      <c r="D24" s="7" t="n"/>
      <c r="E24" s="7" t="n"/>
      <c r="F24" s="7" t="n"/>
      <c r="G24" s="7" t="n"/>
      <c r="H24" s="7" t="n">
        <v>580000</v>
      </c>
      <c r="I24" s="7" t="n">
        <v>648000</v>
      </c>
      <c r="J24" s="7" t="n"/>
      <c r="K24" s="7" t="n"/>
    </row>
    <row r="25" ht="14" customHeight="1">
      <c r="B25" s="6" t="inlineStr">
        <is>
          <t>HANLOGI22040819/1</t>
        </is>
      </c>
      <c r="C25" s="11" t="n"/>
      <c r="D25" s="7" t="n"/>
      <c r="E25" s="7" t="n"/>
      <c r="F25" s="7" t="n"/>
      <c r="G25" s="7" t="n"/>
      <c r="H25" s="7" t="n">
        <v>580000</v>
      </c>
      <c r="I25" s="7" t="n"/>
      <c r="J25" s="7" t="n"/>
      <c r="K25" s="7" t="n"/>
    </row>
    <row r="26" ht="14" customHeight="1">
      <c r="B26" s="12" t="inlineStr">
        <is>
          <t>6277084494</t>
        </is>
      </c>
      <c r="C26" s="11" t="n"/>
      <c r="D26" s="7" t="n"/>
      <c r="E26" s="7" t="n"/>
      <c r="F26" s="7" t="n"/>
      <c r="G26" s="7" t="n"/>
      <c r="H26" s="7" t="n">
        <v>580000</v>
      </c>
      <c r="I26" s="7" t="n"/>
      <c r="J26" s="7" t="n"/>
      <c r="K26" s="7" t="n"/>
    </row>
    <row r="27" ht="14" customHeight="1">
      <c r="B27" s="12" t="inlineStr">
        <is>
          <t>SF1408364810012</t>
        </is>
      </c>
      <c r="C27" s="11" t="n"/>
      <c r="D27" s="7" t="n"/>
      <c r="E27" s="7" t="n"/>
      <c r="F27" s="7" t="n"/>
      <c r="G27" s="7" t="n"/>
      <c r="H27" s="7" t="n">
        <v>580000</v>
      </c>
      <c r="I27" s="7" t="n"/>
      <c r="J27" s="7" t="n"/>
      <c r="K27" s="7" t="n"/>
    </row>
  </sheetData>
  <mergeCells count="10">
    <mergeCell ref="K3:K4"/>
    <mergeCell ref="C3:C5"/>
    <mergeCell ref="G3:G4"/>
    <mergeCell ref="E3:E4"/>
    <mergeCell ref="I3:I4"/>
    <mergeCell ref="F3:F4"/>
    <mergeCell ref="D3:D4"/>
    <mergeCell ref="H3:H4"/>
    <mergeCell ref="J3:J4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2017-12-04T12:22:40Z</dcterms:created>
  <dcterms:modified xmlns:dcterms="http://purl.org/dc/terms/" xmlns:xsi="http://www.w3.org/2001/XMLSchema-instance" xsi:type="dcterms:W3CDTF">2026-04-06T14:36:24Z</dcterms:modified>
  <cp:lastModifiedBy>Hi</cp:lastModifiedBy>
  <cp:lastPrinted>2026-04-02T02:21:59Z</cp:lastPrinted>
</cp:coreProperties>
</file>