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ar1108/Documents/GitHub/5P-SLMS/EBOOK/"/>
    </mc:Choice>
  </mc:AlternateContent>
  <xr:revisionPtr revIDLastSave="0" documentId="13_ncr:1_{113B570A-8723-454D-883E-71B91636050E}" xr6:coauthVersionLast="47" xr6:coauthVersionMax="47" xr10:uidLastSave="{00000000-0000-0000-0000-000000000000}"/>
  <bookViews>
    <workbookView xWindow="0" yWindow="760" windowWidth="28920" windowHeight="15600" activeTab="2" xr2:uid="{00000000-000D-0000-FFFF-FFFF00000000}"/>
  </bookViews>
  <sheets>
    <sheet name="Quotation" sheetId="25" r:id="rId1"/>
    <sheet name="Quotation gỗ 10mm" sheetId="30" state="hidden" r:id="rId2"/>
    <sheet name="Debit" sheetId="26" r:id="rId3"/>
    <sheet name="Estimate" sheetId="27" r:id="rId4"/>
    <sheet name="Sheet1" sheetId="28" state="hidden" r:id="rId5"/>
    <sheet name="container" sheetId="29" state="hidden" r:id="rId6"/>
  </sheets>
  <definedNames>
    <definedName name="_xlnm._FilterDatabase" localSheetId="2" hidden="1">Debit!$A$11:$U$17</definedName>
    <definedName name="_xlnm._FilterDatabase" localSheetId="3" hidden="1">Estimate!$A$3:$AD$8</definedName>
    <definedName name="_xlnm.Print_Area" localSheetId="0">Quotation!$A:$E</definedName>
    <definedName name="_xlnm.Print_Area" localSheetId="1">'Quotation gỗ 10mm'!$A:$E</definedName>
    <definedName name="_xlnm.Print_Titles" localSheetId="0">Quotation!$11:$11</definedName>
    <definedName name="_xlnm.Print_Titles" localSheetId="1">'Quotation gỗ 10mm'!$11:$11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" i="27" l="1"/>
  <c r="U6" i="27"/>
  <c r="U7" i="27"/>
  <c r="P13" i="26"/>
  <c r="P14" i="26"/>
  <c r="P15" i="26"/>
  <c r="P12" i="26"/>
  <c r="O13" i="26"/>
  <c r="O14" i="26"/>
  <c r="O15" i="26"/>
  <c r="O12" i="26"/>
  <c r="G8" i="27"/>
  <c r="I4" i="27"/>
  <c r="J4" i="27"/>
  <c r="K4" i="27"/>
  <c r="L4" i="27"/>
  <c r="M4" i="27"/>
  <c r="I5" i="27"/>
  <c r="J5" i="27"/>
  <c r="K5" i="27"/>
  <c r="L5" i="27"/>
  <c r="M5" i="27"/>
  <c r="I6" i="27"/>
  <c r="J6" i="27"/>
  <c r="K6" i="27"/>
  <c r="L6" i="27"/>
  <c r="AE6" i="27" s="1"/>
  <c r="T14" i="26" s="1"/>
  <c r="M6" i="27"/>
  <c r="I7" i="27"/>
  <c r="J7" i="27"/>
  <c r="K7" i="27"/>
  <c r="L7" i="27"/>
  <c r="M7" i="27"/>
  <c r="Q8" i="27"/>
  <c r="P8" i="27"/>
  <c r="H8" i="27"/>
  <c r="N14" i="26"/>
  <c r="F14" i="26"/>
  <c r="E14" i="26"/>
  <c r="D14" i="26"/>
  <c r="Q14" i="26" s="1"/>
  <c r="C14" i="26"/>
  <c r="B14" i="26"/>
  <c r="AA6" i="27"/>
  <c r="W6" i="27"/>
  <c r="T6" i="27"/>
  <c r="Q6" i="27"/>
  <c r="R6" i="27" s="1"/>
  <c r="N6" i="27"/>
  <c r="O6" i="27" l="1"/>
  <c r="AG6" i="27" s="1"/>
  <c r="U14" i="26" s="1"/>
  <c r="H14" i="26"/>
  <c r="S12" i="26"/>
  <c r="T5" i="27"/>
  <c r="T7" i="27"/>
  <c r="T4" i="27"/>
  <c r="C12" i="26"/>
  <c r="E13" i="26"/>
  <c r="E15" i="26"/>
  <c r="E12" i="26"/>
  <c r="S6" i="27" l="1"/>
  <c r="G14" i="26"/>
  <c r="I8" i="27"/>
  <c r="AC6" i="27"/>
  <c r="L14" i="26" s="1"/>
  <c r="E16" i="26"/>
  <c r="S16" i="26"/>
  <c r="C13" i="26"/>
  <c r="Y6" i="27" l="1"/>
  <c r="M14" i="26"/>
  <c r="Q5" i="27"/>
  <c r="Q7" i="27"/>
  <c r="Q4" i="27"/>
  <c r="K16" i="26" l="1"/>
  <c r="J16" i="26"/>
  <c r="I16" i="26"/>
  <c r="D15" i="26"/>
  <c r="C15" i="26"/>
  <c r="B15" i="26"/>
  <c r="D13" i="26"/>
  <c r="B13" i="26"/>
  <c r="D12" i="26"/>
  <c r="D16" i="26" l="1"/>
  <c r="N15" i="26"/>
  <c r="Q13" i="26"/>
  <c r="N13" i="26"/>
  <c r="Q15" i="26"/>
  <c r="W7" i="27"/>
  <c r="AA7" i="27" s="1"/>
  <c r="N7" i="27"/>
  <c r="W5" i="27"/>
  <c r="AA5" i="27" s="1"/>
  <c r="N5" i="27"/>
  <c r="AE7" i="27" l="1"/>
  <c r="T15" i="26" s="1"/>
  <c r="AE5" i="27"/>
  <c r="R5" i="27"/>
  <c r="F13" i="26"/>
  <c r="H15" i="26"/>
  <c r="H13" i="26"/>
  <c r="R7" i="27"/>
  <c r="F15" i="26"/>
  <c r="O7" i="27"/>
  <c r="O5" i="27"/>
  <c r="T13" i="26" l="1"/>
  <c r="G13" i="26"/>
  <c r="AG5" i="27"/>
  <c r="U13" i="26" s="1"/>
  <c r="G15" i="26"/>
  <c r="AG7" i="27"/>
  <c r="U15" i="26" s="1"/>
  <c r="S7" i="27"/>
  <c r="S5" i="27"/>
  <c r="M13" i="26" l="1"/>
  <c r="AC5" i="27"/>
  <c r="L13" i="26" s="1"/>
  <c r="AC7" i="27"/>
  <c r="L15" i="26" s="1"/>
  <c r="M15" i="26" l="1"/>
  <c r="R16" i="26"/>
  <c r="Y7" i="27"/>
  <c r="Y5" i="27"/>
  <c r="Z8" i="27"/>
  <c r="X8" i="27"/>
  <c r="V8" i="27"/>
  <c r="B12" i="26" l="1"/>
  <c r="F12" i="26" l="1"/>
  <c r="O16" i="26" s="1"/>
  <c r="F16" i="26" l="1"/>
  <c r="Q12" i="26"/>
  <c r="Q16" i="26" s="1"/>
  <c r="N12" i="26"/>
  <c r="N16" i="26" s="1"/>
  <c r="W4" i="27"/>
  <c r="W8" i="27" s="1"/>
  <c r="N4" i="27"/>
  <c r="N8" i="27" s="1"/>
  <c r="M8" i="27"/>
  <c r="L8" i="27"/>
  <c r="J8" i="27"/>
  <c r="AE4" i="27" l="1"/>
  <c r="AE8" i="27" s="1"/>
  <c r="T12" i="26"/>
  <c r="T16" i="26" s="1"/>
  <c r="H12" i="26"/>
  <c r="H16" i="26" s="1"/>
  <c r="AA4" i="27"/>
  <c r="AA8" i="27" s="1"/>
  <c r="K8" i="27"/>
  <c r="R4" i="27"/>
  <c r="R8" i="27" s="1"/>
  <c r="O4" i="27"/>
  <c r="AG4" i="27" l="1"/>
  <c r="O8" i="27"/>
  <c r="U12" i="26"/>
  <c r="U16" i="26" s="1"/>
  <c r="AG8" i="27"/>
  <c r="S4" i="27"/>
  <c r="S8" i="27" s="1"/>
  <c r="G12" i="26"/>
  <c r="G16" i="26" l="1"/>
  <c r="P16" i="26"/>
  <c r="U4" i="27"/>
  <c r="U8" i="27" s="1"/>
  <c r="AC4" i="27"/>
  <c r="AC8" i="27" s="1"/>
  <c r="Y4" i="27" l="1"/>
  <c r="Y8" i="27" s="1"/>
  <c r="M12" i="26"/>
  <c r="M16" i="26" s="1"/>
  <c r="L12" i="26"/>
  <c r="L16" i="26" s="1"/>
  <c r="F17" i="26" l="1"/>
</calcChain>
</file>

<file path=xl/sharedStrings.xml><?xml version="1.0" encoding="utf-8"?>
<sst xmlns="http://schemas.openxmlformats.org/spreadsheetml/2006/main" count="367" uniqueCount="198">
  <si>
    <t>Customer: Samsung SDS GSCL Viet Nam Co., Ltd</t>
  </si>
  <si>
    <t>OVERSIZED CARGO DESCRIPTION</t>
  </si>
  <si>
    <t xml:space="preserve">B/L NO: </t>
  </si>
  <si>
    <t>No.</t>
  </si>
  <si>
    <t>Services</t>
  </si>
  <si>
    <t>Chargeable</t>
  </si>
  <si>
    <t>Unit Price
(Vnd)</t>
  </si>
  <si>
    <t>Storage charge</t>
  </si>
  <si>
    <t>VND/ Cont</t>
  </si>
  <si>
    <t>VND/pallet</t>
  </si>
  <si>
    <t>Notes:</t>
  </si>
  <si>
    <t>- The above rates are exclusive VAT</t>
  </si>
  <si>
    <t>Air Vacuum packing</t>
  </si>
  <si>
    <t>Estimated Dimension after packing into wooden case:</t>
  </si>
  <si>
    <t>VND/CBM</t>
  </si>
  <si>
    <t>VND/box</t>
  </si>
  <si>
    <t>Rate</t>
  </si>
  <si>
    <t>Min rate</t>
  </si>
  <si>
    <t xml:space="preserve">Less than 8 CBM shipment </t>
  </si>
  <si>
    <t xml:space="preserve">Over 8 CBM shipment </t>
  </si>
  <si>
    <t>Fumigation fee</t>
  </si>
  <si>
    <t>01*20 DC</t>
  </si>
  <si>
    <t>Plt</t>
  </si>
  <si>
    <t>G.W</t>
  </si>
  <si>
    <t>STT</t>
  </si>
  <si>
    <t>Rộng</t>
  </si>
  <si>
    <t>Cao</t>
  </si>
  <si>
    <t>Cargo Name: CNC Main</t>
  </si>
  <si>
    <t xml:space="preserve"> wooden  pallets /      tons /   cbm</t>
  </si>
  <si>
    <t>QUOTATION</t>
  </si>
  <si>
    <t>01*40 DC</t>
  </si>
  <si>
    <t>VND/kg</t>
  </si>
  <si>
    <t>Min truck</t>
  </si>
  <si>
    <t>VND/Truck</t>
  </si>
  <si>
    <t xml:space="preserve">                    Tax code: 4 6 0 1 1 2 6 8 8 6</t>
  </si>
  <si>
    <t>DEBIT NOTE</t>
  </si>
  <si>
    <t>Tax code: 2 3 0 0 6 8 0 9 9 1</t>
  </si>
  <si>
    <t>Truck No.</t>
  </si>
  <si>
    <t>Storage days</t>
  </si>
  <si>
    <t>Total</t>
  </si>
  <si>
    <t xml:space="preserve">Total amount: </t>
  </si>
  <si>
    <t>(excluded VAT 10%)</t>
  </si>
  <si>
    <t>Đơn vị: mét</t>
  </si>
  <si>
    <t>Trước khi bọc</t>
  </si>
  <si>
    <t>số lượng</t>
  </si>
  <si>
    <t>Thể tích (1pc)</t>
  </si>
  <si>
    <t>Tống thể tích (All pcs/m3)</t>
  </si>
  <si>
    <t>Tạm tính sau khi bọc</t>
  </si>
  <si>
    <t>Đóng thùng gỗ</t>
  </si>
  <si>
    <t>Chằng buộc</t>
  </si>
  <si>
    <t>Bọc Bạt (112m2)</t>
  </si>
  <si>
    <t xml:space="preserve">Giám định </t>
  </si>
  <si>
    <t>Stt</t>
  </si>
  <si>
    <t>Dài</t>
  </si>
  <si>
    <t>Cân nặng (kg)</t>
  </si>
  <si>
    <t>Đơn giá</t>
  </si>
  <si>
    <t>Tổng phí</t>
  </si>
  <si>
    <t>Tổng:</t>
  </si>
  <si>
    <t>N.W</t>
  </si>
  <si>
    <t>VND/block/7 days</t>
  </si>
  <si>
    <t>LCL</t>
  </si>
  <si>
    <t>USD/ Cont</t>
  </si>
  <si>
    <t xml:space="preserve">                     ASG LOGISTICS JOINT STOCK COMPANY</t>
  </si>
  <si>
    <t>ASG LOGISTICS JOINT STOCK COMPANY</t>
  </si>
  <si>
    <t>On behalf of ASG Logistics Company</t>
  </si>
  <si>
    <t>Trucking from SEVT -ASGL</t>
  </si>
  <si>
    <t>Unloading at ASGL</t>
  </si>
  <si>
    <t>Loading at ASGL</t>
  </si>
  <si>
    <t>Cargo management at ASGL</t>
  </si>
  <si>
    <t>Out ASGL</t>
  </si>
  <si>
    <t>Wooden box less than 1 CBM</t>
  </si>
  <si>
    <t>Wooden box More than 1 CBM Less than 10 CBM</t>
  </si>
  <si>
    <t>Wooden box  more than 10 CBM</t>
  </si>
  <si>
    <t>법인명</t>
  </si>
  <si>
    <t>Asset No</t>
  </si>
  <si>
    <t>Asset Name</t>
  </si>
  <si>
    <t>Quantity</t>
  </si>
  <si>
    <t>Maker</t>
  </si>
  <si>
    <t>Model</t>
  </si>
  <si>
    <t>Serial No.</t>
  </si>
  <si>
    <t>용도</t>
  </si>
  <si>
    <t>Cost Center Name</t>
  </si>
  <si>
    <t> Acquisition date</t>
  </si>
  <si>
    <t> Acquisition value</t>
  </si>
  <si>
    <t> Net Book Value</t>
  </si>
  <si>
    <r>
      <t>(12</t>
    </r>
    <r>
      <rPr>
        <b/>
        <sz val="12"/>
        <color rgb="FF000000"/>
        <rFont val="Malgun Gothic"/>
        <family val="2"/>
      </rPr>
      <t>월말기준</t>
    </r>
    <r>
      <rPr>
        <b/>
        <sz val="12"/>
        <color rgb="FF000000"/>
        <rFont val="Calibri"/>
        <family val="2"/>
      </rPr>
      <t>)</t>
    </r>
  </si>
  <si>
    <t>길이 (dài)</t>
  </si>
  <si>
    <r>
      <t>너비(r</t>
    </r>
    <r>
      <rPr>
        <sz val="12"/>
        <color rgb="FF000000"/>
        <rFont val="Calibri"/>
        <family val="2"/>
      </rPr>
      <t>ộ</t>
    </r>
    <r>
      <rPr>
        <sz val="12"/>
        <color rgb="FF000000"/>
        <rFont val="Dotum"/>
        <family val="2"/>
      </rPr>
      <t>ng)</t>
    </r>
  </si>
  <si>
    <t>높이 (cao)</t>
  </si>
  <si>
    <r>
      <t>무게 (cân n</t>
    </r>
    <r>
      <rPr>
        <sz val="12"/>
        <color rgb="FF000000"/>
        <rFont val="Calibri"/>
        <family val="2"/>
      </rPr>
      <t>ặ</t>
    </r>
    <r>
      <rPr>
        <sz val="12"/>
        <color rgb="FF000000"/>
        <rFont val="Dotum"/>
        <family val="2"/>
      </rPr>
      <t>ng)</t>
    </r>
  </si>
  <si>
    <t>SEVT</t>
  </si>
  <si>
    <t>SEMA(Malaysia)</t>
  </si>
  <si>
    <t>SAOI;MV-8DH</t>
  </si>
  <si>
    <t>MIRTEC</t>
  </si>
  <si>
    <t>MV-8DH</t>
  </si>
  <si>
    <t>17120215-1739</t>
  </si>
  <si>
    <r>
      <t>PBA</t>
    </r>
    <r>
      <rPr>
        <sz val="12"/>
        <color rgb="FF000000"/>
        <rFont val="Malgun Gothic"/>
        <family val="2"/>
      </rPr>
      <t>의부품장착상태검사하는설비</t>
    </r>
  </si>
  <si>
    <t>SMD P</t>
  </si>
  <si>
    <t>34,366.21</t>
  </si>
  <si>
    <t>                                    -  </t>
  </si>
  <si>
    <t>Screen printer_MOMENTUM+</t>
  </si>
  <si>
    <t>SPEEDLINE</t>
  </si>
  <si>
    <t>MOMENTUM +</t>
  </si>
  <si>
    <t>M100378</t>
  </si>
  <si>
    <t>Screen printer</t>
  </si>
  <si>
    <t>Hansol - SMD P</t>
  </si>
  <si>
    <t>52,785.65</t>
  </si>
  <si>
    <t>M-AOI MV-8DH</t>
  </si>
  <si>
    <t>17120223-1773</t>
  </si>
  <si>
    <t>15,027.03</t>
  </si>
  <si>
    <t>                       7,263.07</t>
  </si>
  <si>
    <t>17120223-1765</t>
  </si>
  <si>
    <t>15,740.27</t>
  </si>
  <si>
    <t>                       7,607.84</t>
  </si>
  <si>
    <t>Malaysia</t>
  </si>
  <si>
    <t>Gwangju(Korea)</t>
  </si>
  <si>
    <t>MAOI;MV-8DH</t>
  </si>
  <si>
    <t>17120215-1749</t>
  </si>
  <si>
    <t>MAOI MV-8SH+</t>
  </si>
  <si>
    <t>MV-8SH+</t>
  </si>
  <si>
    <t>17100930-1070</t>
  </si>
  <si>
    <t>257,065.42</t>
  </si>
  <si>
    <t>MAOI_MV-8SH+</t>
  </si>
  <si>
    <t>17100918-1058</t>
  </si>
  <si>
    <t>7,014.94</t>
  </si>
  <si>
    <t>S-AOI MV-8DH</t>
  </si>
  <si>
    <t>17120223-1781</t>
  </si>
  <si>
    <t>9,805.88</t>
  </si>
  <si>
    <t>                       4,739.51</t>
  </si>
  <si>
    <t>17120223-1779</t>
  </si>
  <si>
    <t>17120223-1782</t>
  </si>
  <si>
    <t>18,449.79</t>
  </si>
  <si>
    <t>                       8,917.43</t>
  </si>
  <si>
    <t>hàn quốc</t>
  </si>
  <si>
    <t>Cân nặng</t>
  </si>
  <si>
    <t>Note</t>
  </si>
  <si>
    <t>cbm</t>
  </si>
  <si>
    <t>daif</t>
  </si>
  <si>
    <t xml:space="preserve">rong </t>
  </si>
  <si>
    <t>cao</t>
  </si>
  <si>
    <t>cont 20"</t>
  </si>
  <si>
    <t>28 tan</t>
  </si>
  <si>
    <t>cont 40DC</t>
  </si>
  <si>
    <t>26 tan</t>
  </si>
  <si>
    <t>cont 40HC</t>
  </si>
  <si>
    <t>Name</t>
  </si>
  <si>
    <t>Lashing</t>
  </si>
  <si>
    <t>Cont 20'</t>
  </si>
  <si>
    <t>Cont 40'</t>
  </si>
  <si>
    <t>Cont Flat rack</t>
  </si>
  <si>
    <t>Lashing certificate</t>
  </si>
  <si>
    <t>VND/container</t>
  </si>
  <si>
    <t>VND/m3</t>
  </si>
  <si>
    <t>Wooden box - Net weight from 5-10 ton</t>
  </si>
  <si>
    <t>Wooden box - Net weight from 10-15 ton</t>
  </si>
  <si>
    <t>Wooden box - Net weight from 15-20 ton</t>
  </si>
  <si>
    <t>Wooden box - Net weight from 20-30 ton</t>
  </si>
  <si>
    <t>Net weight less than 5 ton</t>
  </si>
  <si>
    <t>Case by case</t>
  </si>
  <si>
    <t>CBM/Pallet</t>
  </si>
  <si>
    <t>Other cases</t>
  </si>
  <si>
    <t>Hút chân không</t>
  </si>
  <si>
    <t>Số lượng</t>
  </si>
  <si>
    <t>Tổng NW</t>
  </si>
  <si>
    <t>Tổng GW</t>
  </si>
  <si>
    <t>Air Bubble cover</t>
  </si>
  <si>
    <t>Remarkable</t>
  </si>
  <si>
    <t>Loading/Unloading at ASGL for oversized cargo (folklift 5 tons)</t>
  </si>
  <si>
    <t>Electrostatic vinyl</t>
  </si>
  <si>
    <t>VND/M3</t>
  </si>
  <si>
    <t>M2/pallet</t>
  </si>
  <si>
    <t>Canvas covering services to protect shipment from being wetted and sunshined (just roof)</t>
  </si>
  <si>
    <t>VND/shift 4 hour</t>
  </si>
  <si>
    <t>Air Vacuum packing service (Contracted)</t>
  </si>
  <si>
    <t>Wooden Packing service
(Contracted)</t>
  </si>
  <si>
    <t>Storage charge
(Contracted)</t>
  </si>
  <si>
    <t>Management fee
(Contracted)</t>
  </si>
  <si>
    <t xml:space="preserve">Fumigation fee
(Contracted) </t>
  </si>
  <si>
    <t>Flat Bed truck</t>
  </si>
  <si>
    <t>Phủ bạt nóc</t>
  </si>
  <si>
    <t>Vinyl tĩnh điện</t>
  </si>
  <si>
    <t>VND/m2</t>
  </si>
  <si>
    <t>Thickness of plywood 10mm or more</t>
  </si>
  <si>
    <t>ĐẶNG NGỌC QUANG</t>
  </si>
  <si>
    <t>Canvas covering (just roof)</t>
  </si>
  <si>
    <t>Lot No. 5, Yen Binh industrial Zone, Van Xuan ward,Thai Nguyen province, Viet Nam</t>
  </si>
  <si>
    <t>Address: Lot CN05 - YP6 Street - Yen Phong Industrial Zone - Long Chau Community - Bac Ninh Province</t>
  </si>
  <si>
    <t>Lot No. 5, Yen Binh industrial Zone, Van Xuan ward, Thai Nguyen province, Viet Nam</t>
  </si>
  <si>
    <t xml:space="preserve">                     Lot No. 5, Yen Binh industrial Zone, Van Xuan ward, Thai Nguyen province, Viet Nam</t>
  </si>
  <si>
    <t>Address: Lot CN05, YP6 Road, Yenphong Industrial zone, YenTrung Commute, Bacninh</t>
  </si>
  <si>
    <t xml:space="preserve">Tạm tính 1 Cont 20' </t>
  </si>
  <si>
    <t>Set Camera Tester</t>
  </si>
  <si>
    <t>Date: 09.01.2026</t>
  </si>
  <si>
    <t>Customer: Samsung SDS Vietnam Co., Ltd</t>
  </si>
  <si>
    <t>Trucking SEV-ASGL 
(NonContracted)</t>
  </si>
  <si>
    <t xml:space="preserve"> Unloading at ASGL 
(NonContracted)</t>
  </si>
  <si>
    <t>Loading at ASGL 
(NonContracted)</t>
  </si>
  <si>
    <t>Customer's name: TDI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</si>
</sst>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\$#,##0\ ;\(\$#,##0\)"/>
    <numFmt numFmtId="167" formatCode="&quot;\&quot;#,##0;[Red]&quot;\&quot;&quot;\&quot;\-#,##0"/>
    <numFmt numFmtId="168" formatCode="&quot;\&quot;#,##0.00;[Red]\-&quot;\&quot;#,##0.00"/>
    <numFmt numFmtId="169" formatCode="&quot;\&quot;#,##0.00;[Red]&quot;\&quot;\-#,##0.00"/>
    <numFmt numFmtId="170" formatCode="&quot;\&quot;#,##0;[Red]&quot;\&quot;\-#,##0"/>
    <numFmt numFmtId="171" formatCode="0000000000"/>
    <numFmt numFmtId="172" formatCode="[$-409]d\-mmm;@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Geneva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5"/>
      <color theme="1"/>
      <name val="Times New Roman"/>
      <family val="1"/>
    </font>
    <font>
      <i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i/>
      <sz val="12"/>
      <name val="Times New Roman"/>
      <family val="1"/>
    </font>
    <font>
      <b/>
      <sz val="12"/>
      <name val="Times New Roman"/>
      <family val="1"/>
    </font>
    <font>
      <b/>
      <sz val="18"/>
      <name val="Arial"/>
      <family val="2"/>
    </font>
    <font>
      <b/>
      <sz val="12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1"/>
      <name val="Times New Roman"/>
      <family val="1"/>
    </font>
    <font>
      <b/>
      <sz val="13"/>
      <color rgb="FF000000"/>
      <name val="Times New Roman"/>
      <family val="1"/>
    </font>
    <font>
      <sz val="12"/>
      <color rgb="FF000000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i/>
      <sz val="12"/>
      <name val="Times New Roman"/>
      <family val="1"/>
    </font>
    <font>
      <b/>
      <i/>
      <sz val="11"/>
      <name val="Times New Roman"/>
      <family val="1"/>
    </font>
    <font>
      <b/>
      <sz val="1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color rgb="FFFF0000"/>
      <name val="Times New Roman"/>
      <family val="1"/>
    </font>
    <font>
      <sz val="12"/>
      <color rgb="FF222222"/>
      <name val="Arial"/>
      <family val="2"/>
    </font>
    <font>
      <b/>
      <sz val="12"/>
      <color rgb="FF000000"/>
      <name val="Malgun Gothic"/>
      <family val="2"/>
    </font>
    <font>
      <b/>
      <sz val="12"/>
      <color rgb="FF000000"/>
      <name val="Calibri"/>
      <family val="2"/>
    </font>
    <font>
      <sz val="12"/>
      <color rgb="FF000000"/>
      <name val="Dotum"/>
      <family val="2"/>
    </font>
    <font>
      <sz val="12"/>
      <color rgb="FF000000"/>
      <name val="Calibri"/>
      <family val="2"/>
    </font>
    <font>
      <sz val="12"/>
      <color rgb="FF000000"/>
      <name val="Malgun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b/>
      <sz val="12"/>
      <color rgb="FF000000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b/>
      <sz val="18"/>
      <color theme="1"/>
      <name val="Times New Roman"/>
      <family val="1"/>
    </font>
    <font>
      <b/>
      <sz val="10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0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5" fillId="0" borderId="0"/>
    <xf numFmtId="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" fillId="0" borderId="6" applyNumberFormat="0" applyFont="0" applyFill="0" applyAlignment="0" applyProtection="0"/>
    <xf numFmtId="40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21" fillId="0" borderId="0"/>
    <xf numFmtId="167" fontId="3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0" fontId="24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45" fillId="0" borderId="0" applyNumberFormat="0" applyFill="0" applyBorder="0" applyAlignment="0" applyProtection="0"/>
    <xf numFmtId="0" fontId="1" fillId="0" borderId="0"/>
    <xf numFmtId="0" fontId="3" fillId="0" borderId="0"/>
    <xf numFmtId="0" fontId="46" fillId="0" borderId="0">
      <alignment vertical="center"/>
    </xf>
    <xf numFmtId="164" fontId="47" fillId="0" borderId="0" applyFont="0" applyFill="0" applyBorder="0" applyAlignment="0" applyProtection="0"/>
    <xf numFmtId="0" fontId="46" fillId="0" borderId="0">
      <alignment vertical="center"/>
    </xf>
    <xf numFmtId="0" fontId="2" fillId="0" borderId="0"/>
  </cellStyleXfs>
  <cellXfs count="181">
    <xf numFmtId="0" fontId="0" fillId="0" borderId="0" xfId="0"/>
    <xf numFmtId="0" fontId="4" fillId="2" borderId="0" xfId="0" applyFont="1" applyFill="1"/>
    <xf numFmtId="0" fontId="6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/>
    <xf numFmtId="0" fontId="8" fillId="2" borderId="0" xfId="0" applyFont="1" applyFill="1"/>
    <xf numFmtId="0" fontId="7" fillId="2" borderId="0" xfId="0" quotePrefix="1" applyFont="1" applyFill="1"/>
    <xf numFmtId="0" fontId="6" fillId="2" borderId="0" xfId="0" applyFont="1" applyFill="1" applyAlignment="1">
      <alignment horizontal="center" vertical="center"/>
    </xf>
    <xf numFmtId="165" fontId="6" fillId="2" borderId="2" xfId="4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5" fontId="6" fillId="0" borderId="2" xfId="4" applyNumberFormat="1" applyFont="1" applyBorder="1" applyAlignment="1">
      <alignment horizontal="center" vertical="center" wrapText="1"/>
    </xf>
    <xf numFmtId="165" fontId="6" fillId="2" borderId="1" xfId="4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7" fillId="2" borderId="0" xfId="0" applyNumberFormat="1" applyFont="1" applyFill="1"/>
    <xf numFmtId="0" fontId="6" fillId="0" borderId="0" xfId="0" applyFont="1"/>
    <xf numFmtId="0" fontId="17" fillId="0" borderId="0" xfId="7" applyFont="1" applyAlignment="1">
      <alignment vertical="center" wrapText="1"/>
    </xf>
    <xf numFmtId="0" fontId="27" fillId="0" borderId="1" xfId="0" applyFont="1" applyBorder="1" applyAlignment="1">
      <alignment vertical="center"/>
    </xf>
    <xf numFmtId="0" fontId="28" fillId="0" borderId="1" xfId="0" applyFont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/>
    </xf>
    <xf numFmtId="165" fontId="7" fillId="2" borderId="2" xfId="4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5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0" fillId="0" borderId="1" xfId="0" applyFont="1" applyBorder="1" applyAlignment="1">
      <alignment vertical="center"/>
    </xf>
    <xf numFmtId="0" fontId="27" fillId="2" borderId="1" xfId="0" applyFont="1" applyFill="1" applyBorder="1" applyAlignment="1">
      <alignment vertical="center"/>
    </xf>
    <xf numFmtId="0" fontId="16" fillId="0" borderId="0" xfId="7" applyFont="1" applyAlignment="1">
      <alignment vertical="center"/>
    </xf>
    <xf numFmtId="0" fontId="31" fillId="2" borderId="1" xfId="0" applyFont="1" applyFill="1" applyBorder="1" applyAlignment="1">
      <alignment vertical="center"/>
    </xf>
    <xf numFmtId="0" fontId="32" fillId="0" borderId="2" xfId="0" applyFont="1" applyBorder="1" applyAlignment="1">
      <alignment horizontal="center" vertical="center"/>
    </xf>
    <xf numFmtId="165" fontId="32" fillId="2" borderId="2" xfId="4" applyNumberFormat="1" applyFont="1" applyFill="1" applyBorder="1" applyAlignment="1">
      <alignment horizontal="center" vertical="center"/>
    </xf>
    <xf numFmtId="0" fontId="26" fillId="2" borderId="0" xfId="7" applyFont="1" applyFill="1" applyAlignment="1">
      <alignment vertical="center"/>
    </xf>
    <xf numFmtId="0" fontId="17" fillId="2" borderId="0" xfId="27" applyFont="1" applyFill="1" applyAlignment="1">
      <alignment vertical="center"/>
    </xf>
    <xf numFmtId="49" fontId="17" fillId="2" borderId="0" xfId="7" applyNumberFormat="1" applyFont="1" applyFill="1" applyAlignment="1">
      <alignment vertical="center"/>
    </xf>
    <xf numFmtId="165" fontId="26" fillId="2" borderId="0" xfId="7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49" fontId="33" fillId="2" borderId="0" xfId="7" applyNumberFormat="1" applyFont="1" applyFill="1" applyAlignment="1">
      <alignment vertical="center"/>
    </xf>
    <xf numFmtId="49" fontId="16" fillId="2" borderId="0" xfId="7" applyNumberFormat="1" applyFont="1" applyFill="1" applyAlignment="1">
      <alignment vertical="center"/>
    </xf>
    <xf numFmtId="0" fontId="29" fillId="2" borderId="0" xfId="7" applyFont="1" applyFill="1" applyAlignment="1">
      <alignment vertical="center"/>
    </xf>
    <xf numFmtId="49" fontId="34" fillId="2" borderId="0" xfId="7" applyNumberFormat="1" applyFont="1" applyFill="1" applyAlignment="1">
      <alignment vertical="center"/>
    </xf>
    <xf numFmtId="0" fontId="14" fillId="2" borderId="0" xfId="28" applyFont="1" applyFill="1"/>
    <xf numFmtId="0" fontId="26" fillId="2" borderId="0" xfId="29" applyFont="1" applyFill="1" applyAlignment="1">
      <alignment vertical="center"/>
    </xf>
    <xf numFmtId="49" fontId="33" fillId="2" borderId="0" xfId="7" applyNumberFormat="1" applyFont="1" applyFill="1" applyAlignment="1">
      <alignment horizontal="left" vertical="center"/>
    </xf>
    <xf numFmtId="49" fontId="16" fillId="2" borderId="0" xfId="7" applyNumberFormat="1" applyFont="1" applyFill="1" applyAlignment="1">
      <alignment horizontal="left" vertical="center"/>
    </xf>
    <xf numFmtId="0" fontId="36" fillId="2" borderId="0" xfId="7" applyFont="1" applyFill="1" applyAlignment="1">
      <alignment vertical="center"/>
    </xf>
    <xf numFmtId="171" fontId="37" fillId="0" borderId="3" xfId="30" applyNumberFormat="1" applyFont="1" applyBorder="1" applyAlignment="1">
      <alignment horizontal="center" vertical="center" wrapText="1"/>
    </xf>
    <xf numFmtId="171" fontId="37" fillId="0" borderId="3" xfId="30" applyNumberFormat="1" applyFont="1" applyBorder="1" applyAlignment="1" applyProtection="1">
      <alignment horizontal="center" vertical="center"/>
      <protection locked="0"/>
    </xf>
    <xf numFmtId="49" fontId="37" fillId="0" borderId="3" xfId="30" applyNumberFormat="1" applyFont="1" applyBorder="1" applyAlignment="1">
      <alignment horizontal="center" vertical="center"/>
    </xf>
    <xf numFmtId="0" fontId="37" fillId="0" borderId="3" xfId="30" applyFont="1" applyBorder="1" applyAlignment="1">
      <alignment horizontal="center" vertical="center" wrapText="1"/>
    </xf>
    <xf numFmtId="0" fontId="33" fillId="2" borderId="0" xfId="7" applyFont="1" applyFill="1" applyAlignment="1">
      <alignment horizontal="left" vertical="center"/>
    </xf>
    <xf numFmtId="0" fontId="16" fillId="2" borderId="0" xfId="7" applyFont="1" applyFill="1" applyAlignment="1">
      <alignment horizontal="left" vertical="center"/>
    </xf>
    <xf numFmtId="0" fontId="26" fillId="2" borderId="0" xfId="7" applyFont="1" applyFill="1"/>
    <xf numFmtId="165" fontId="26" fillId="2" borderId="0" xfId="7" applyNumberFormat="1" applyFont="1" applyFill="1"/>
    <xf numFmtId="0" fontId="36" fillId="2" borderId="0" xfId="29" applyFont="1" applyFill="1" applyAlignment="1">
      <alignment horizontal="left"/>
    </xf>
    <xf numFmtId="0" fontId="36" fillId="2" borderId="0" xfId="29" applyFont="1" applyFill="1" applyAlignment="1">
      <alignment horizontal="center"/>
    </xf>
    <xf numFmtId="0" fontId="17" fillId="2" borderId="0" xfId="29" applyFont="1" applyFill="1"/>
    <xf numFmtId="0" fontId="29" fillId="2" borderId="0" xfId="32" applyFont="1" applyFill="1"/>
    <xf numFmtId="165" fontId="29" fillId="2" borderId="0" xfId="32" applyNumberFormat="1" applyFont="1" applyFill="1"/>
    <xf numFmtId="165" fontId="17" fillId="2" borderId="0" xfId="29" applyNumberFormat="1" applyFont="1" applyFill="1"/>
    <xf numFmtId="0" fontId="29" fillId="0" borderId="0" xfId="32" applyFont="1"/>
    <xf numFmtId="165" fontId="29" fillId="0" borderId="0" xfId="32" applyNumberFormat="1" applyFont="1"/>
    <xf numFmtId="0" fontId="25" fillId="4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0" borderId="0" xfId="28" applyFont="1"/>
    <xf numFmtId="37" fontId="0" fillId="0" borderId="0" xfId="0" applyNumberFormat="1"/>
    <xf numFmtId="0" fontId="41" fillId="7" borderId="9" xfId="0" applyFont="1" applyFill="1" applyBorder="1" applyAlignment="1">
      <alignment horizontal="center" vertical="center" wrapText="1"/>
    </xf>
    <xf numFmtId="0" fontId="41" fillId="7" borderId="10" xfId="0" applyFont="1" applyFill="1" applyBorder="1" applyAlignment="1">
      <alignment horizontal="center" vertical="center" wrapText="1"/>
    </xf>
    <xf numFmtId="0" fontId="43" fillId="8" borderId="11" xfId="0" applyFont="1" applyFill="1" applyBorder="1" applyAlignment="1">
      <alignment horizontal="center" vertical="center"/>
    </xf>
    <xf numFmtId="0" fontId="43" fillId="8" borderId="12" xfId="0" applyFont="1" applyFill="1" applyBorder="1" applyAlignment="1">
      <alignment horizontal="right" vertical="center"/>
    </xf>
    <xf numFmtId="0" fontId="43" fillId="8" borderId="12" xfId="0" applyFont="1" applyFill="1" applyBorder="1" applyAlignment="1">
      <alignment vertical="center"/>
    </xf>
    <xf numFmtId="0" fontId="43" fillId="8" borderId="12" xfId="0" applyFont="1" applyFill="1" applyBorder="1" applyAlignment="1">
      <alignment horizontal="center" vertical="center"/>
    </xf>
    <xf numFmtId="15" fontId="43" fillId="8" borderId="12" xfId="0" applyNumberFormat="1" applyFont="1" applyFill="1" applyBorder="1" applyAlignment="1">
      <alignment horizontal="right" vertical="center"/>
    </xf>
    <xf numFmtId="0" fontId="43" fillId="9" borderId="11" xfId="0" applyFont="1" applyFill="1" applyBorder="1" applyAlignment="1">
      <alignment horizontal="center" vertical="center"/>
    </xf>
    <xf numFmtId="0" fontId="43" fillId="9" borderId="12" xfId="0" applyFont="1" applyFill="1" applyBorder="1" applyAlignment="1">
      <alignment horizontal="right" vertical="center"/>
    </xf>
    <xf numFmtId="0" fontId="43" fillId="9" borderId="12" xfId="0" applyFont="1" applyFill="1" applyBorder="1" applyAlignment="1">
      <alignment vertical="center"/>
    </xf>
    <xf numFmtId="0" fontId="43" fillId="9" borderId="12" xfId="0" applyFont="1" applyFill="1" applyBorder="1" applyAlignment="1">
      <alignment horizontal="center" vertical="center"/>
    </xf>
    <xf numFmtId="15" fontId="43" fillId="9" borderId="12" xfId="0" applyNumberFormat="1" applyFont="1" applyFill="1" applyBorder="1" applyAlignment="1">
      <alignment horizontal="right" vertical="center"/>
    </xf>
    <xf numFmtId="0" fontId="39" fillId="0" borderId="0" xfId="0" applyFont="1" applyAlignment="1">
      <alignment vertical="center" wrapText="1"/>
    </xf>
    <xf numFmtId="0" fontId="43" fillId="8" borderId="0" xfId="0" applyFont="1" applyFill="1" applyAlignment="1">
      <alignment horizontal="center" vertical="center"/>
    </xf>
    <xf numFmtId="0" fontId="31" fillId="0" borderId="1" xfId="0" applyFont="1" applyBorder="1" applyAlignment="1">
      <alignment vertical="center"/>
    </xf>
    <xf numFmtId="0" fontId="48" fillId="0" borderId="1" xfId="0" applyFont="1" applyBorder="1" applyAlignment="1">
      <alignment vertical="center"/>
    </xf>
    <xf numFmtId="0" fontId="48" fillId="0" borderId="1" xfId="0" applyFont="1" applyBorder="1" applyAlignment="1">
      <alignment vertical="center" wrapText="1"/>
    </xf>
    <xf numFmtId="0" fontId="49" fillId="2" borderId="1" xfId="0" applyFont="1" applyFill="1" applyBorder="1" applyAlignment="1">
      <alignment horizontal="center" vertical="center"/>
    </xf>
    <xf numFmtId="165" fontId="7" fillId="2" borderId="0" xfId="0" applyNumberFormat="1" applyFont="1" applyFill="1"/>
    <xf numFmtId="0" fontId="25" fillId="4" borderId="1" xfId="0" applyFont="1" applyFill="1" applyBorder="1" applyAlignment="1">
      <alignment vertical="center" wrapText="1"/>
    </xf>
    <xf numFmtId="165" fontId="25" fillId="4" borderId="1" xfId="0" applyNumberFormat="1" applyFont="1" applyFill="1" applyBorder="1" applyAlignment="1">
      <alignment vertical="center" wrapText="1"/>
    </xf>
    <xf numFmtId="165" fontId="25" fillId="4" borderId="1" xfId="0" applyNumberFormat="1" applyFont="1" applyFill="1" applyBorder="1" applyAlignment="1">
      <alignment horizontal="center" vertical="center" wrapText="1"/>
    </xf>
    <xf numFmtId="2" fontId="27" fillId="4" borderId="1" xfId="0" applyNumberFormat="1" applyFont="1" applyFill="1" applyBorder="1" applyAlignment="1">
      <alignment horizontal="center" vertical="center" wrapText="1"/>
    </xf>
    <xf numFmtId="4" fontId="27" fillId="4" borderId="1" xfId="0" applyNumberFormat="1" applyFont="1" applyFill="1" applyBorder="1" applyAlignment="1">
      <alignment horizontal="center" vertical="center" wrapText="1"/>
    </xf>
    <xf numFmtId="3" fontId="27" fillId="4" borderId="1" xfId="0" applyNumberFormat="1" applyFont="1" applyFill="1" applyBorder="1" applyAlignment="1">
      <alignment horizontal="center" vertical="center" wrapText="1"/>
    </xf>
    <xf numFmtId="0" fontId="6" fillId="2" borderId="0" xfId="28" applyFont="1" applyFill="1" applyAlignment="1">
      <alignment vertical="center"/>
    </xf>
    <xf numFmtId="0" fontId="6" fillId="2" borderId="0" xfId="28" applyFont="1" applyFill="1"/>
    <xf numFmtId="0" fontId="4" fillId="0" borderId="0" xfId="28" applyFont="1" applyAlignment="1">
      <alignment vertical="center"/>
    </xf>
    <xf numFmtId="0" fontId="6" fillId="2" borderId="0" xfId="7" applyFont="1" applyFill="1"/>
    <xf numFmtId="0" fontId="14" fillId="2" borderId="0" xfId="32" applyFont="1" applyFill="1"/>
    <xf numFmtId="0" fontId="14" fillId="0" borderId="0" xfId="32" applyFont="1"/>
    <xf numFmtId="0" fontId="25" fillId="4" borderId="21" xfId="0" applyFont="1" applyFill="1" applyBorder="1" applyAlignment="1">
      <alignment horizontal="center" vertical="center" wrapText="1"/>
    </xf>
    <xf numFmtId="0" fontId="36" fillId="10" borderId="18" xfId="30" applyFont="1" applyFill="1" applyBorder="1" applyAlignment="1">
      <alignment horizontal="center" vertical="center" wrapText="1"/>
    </xf>
    <xf numFmtId="0" fontId="25" fillId="11" borderId="19" xfId="0" applyFont="1" applyFill="1" applyBorder="1" applyAlignment="1">
      <alignment horizontal="center" vertical="center" wrapText="1"/>
    </xf>
    <xf numFmtId="1" fontId="36" fillId="10" borderId="19" xfId="30" applyNumberFormat="1" applyFont="1" applyFill="1" applyBorder="1" applyAlignment="1">
      <alignment horizontal="center" vertical="center" wrapText="1"/>
    </xf>
    <xf numFmtId="165" fontId="36" fillId="10" borderId="19" xfId="4" applyNumberFormat="1" applyFont="1" applyFill="1" applyBorder="1" applyAlignment="1" applyProtection="1">
      <alignment horizontal="center" vertical="center" wrapText="1"/>
    </xf>
    <xf numFmtId="43" fontId="36" fillId="10" borderId="19" xfId="4" applyFont="1" applyFill="1" applyBorder="1" applyAlignment="1" applyProtection="1">
      <alignment horizontal="center" vertical="center" wrapText="1"/>
    </xf>
    <xf numFmtId="172" fontId="36" fillId="10" borderId="19" xfId="30" applyNumberFormat="1" applyFont="1" applyFill="1" applyBorder="1" applyAlignment="1">
      <alignment horizontal="center" vertical="center" wrapText="1"/>
    </xf>
    <xf numFmtId="0" fontId="36" fillId="10" borderId="19" xfId="30" applyFont="1" applyFill="1" applyBorder="1" applyAlignment="1">
      <alignment horizontal="center" vertical="center" wrapText="1"/>
    </xf>
    <xf numFmtId="165" fontId="36" fillId="10" borderId="3" xfId="4" applyNumberFormat="1" applyFont="1" applyFill="1" applyBorder="1" applyAlignment="1" applyProtection="1">
      <alignment vertical="center" wrapText="1"/>
    </xf>
    <xf numFmtId="165" fontId="36" fillId="10" borderId="3" xfId="4" applyNumberFormat="1" applyFont="1" applyFill="1" applyBorder="1" applyAlignment="1" applyProtection="1">
      <alignment horizontal="center" vertical="center" wrapText="1"/>
    </xf>
    <xf numFmtId="0" fontId="4" fillId="10" borderId="0" xfId="28" applyFont="1" applyFill="1"/>
    <xf numFmtId="0" fontId="25" fillId="4" borderId="1" xfId="0" applyFont="1" applyFill="1" applyBorder="1" applyAlignment="1">
      <alignment horizontal="center" vertical="center" wrapText="1"/>
    </xf>
    <xf numFmtId="3" fontId="25" fillId="4" borderId="1" xfId="0" applyNumberFormat="1" applyFont="1" applyFill="1" applyBorder="1" applyAlignment="1">
      <alignment horizontal="center" vertical="center" wrapText="1"/>
    </xf>
    <xf numFmtId="2" fontId="25" fillId="4" borderId="1" xfId="0" applyNumberFormat="1" applyFont="1" applyFill="1" applyBorder="1" applyAlignment="1">
      <alignment horizontal="center" vertical="center" wrapText="1"/>
    </xf>
    <xf numFmtId="165" fontId="6" fillId="6" borderId="2" xfId="4" applyNumberFormat="1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 wrapText="1"/>
    </xf>
    <xf numFmtId="165" fontId="6" fillId="0" borderId="2" xfId="4" applyNumberFormat="1" applyFont="1" applyBorder="1" applyAlignment="1">
      <alignment horizontal="left" vertical="center" wrapText="1"/>
    </xf>
    <xf numFmtId="165" fontId="4" fillId="0" borderId="19" xfId="4" applyNumberFormat="1" applyFont="1" applyFill="1" applyBorder="1" applyAlignment="1" applyProtection="1">
      <alignment horizontal="center" vertical="center" wrapText="1"/>
    </xf>
    <xf numFmtId="165" fontId="25" fillId="12" borderId="1" xfId="0" applyNumberFormat="1" applyFont="1" applyFill="1" applyBorder="1" applyAlignment="1">
      <alignment vertical="center" wrapText="1"/>
    </xf>
    <xf numFmtId="0" fontId="36" fillId="10" borderId="23" xfId="30" applyFont="1" applyFill="1" applyBorder="1" applyAlignment="1">
      <alignment horizontal="center" vertical="center" wrapText="1"/>
    </xf>
    <xf numFmtId="0" fontId="25" fillId="11" borderId="24" xfId="0" applyFont="1" applyFill="1" applyBorder="1" applyAlignment="1">
      <alignment horizontal="center" vertical="center" wrapText="1"/>
    </xf>
    <xf numFmtId="1" fontId="36" fillId="10" borderId="24" xfId="30" applyNumberFormat="1" applyFont="1" applyFill="1" applyBorder="1" applyAlignment="1">
      <alignment horizontal="center" vertical="center" wrapText="1"/>
    </xf>
    <xf numFmtId="165" fontId="36" fillId="10" borderId="24" xfId="4" applyNumberFormat="1" applyFont="1" applyFill="1" applyBorder="1" applyAlignment="1" applyProtection="1">
      <alignment horizontal="center" vertical="center" wrapText="1"/>
    </xf>
    <xf numFmtId="43" fontId="36" fillId="10" borderId="24" xfId="4" applyFont="1" applyFill="1" applyBorder="1" applyAlignment="1" applyProtection="1">
      <alignment horizontal="center" vertical="center" wrapText="1"/>
    </xf>
    <xf numFmtId="172" fontId="36" fillId="10" borderId="24" xfId="30" applyNumberFormat="1" applyFont="1" applyFill="1" applyBorder="1" applyAlignment="1">
      <alignment horizontal="center" vertical="center" wrapText="1"/>
    </xf>
    <xf numFmtId="0" fontId="36" fillId="10" borderId="24" xfId="30" applyFont="1" applyFill="1" applyBorder="1" applyAlignment="1">
      <alignment horizontal="center" vertical="center" wrapText="1"/>
    </xf>
    <xf numFmtId="0" fontId="37" fillId="0" borderId="1" xfId="3" applyFont="1" applyBorder="1" applyAlignment="1" applyProtection="1">
      <alignment horizontal="center" vertical="center"/>
      <protection locked="0"/>
    </xf>
    <xf numFmtId="165" fontId="36" fillId="0" borderId="1" xfId="4" applyNumberFormat="1" applyFont="1" applyFill="1" applyBorder="1" applyAlignment="1" applyProtection="1">
      <alignment horizontal="center" vertical="center" wrapText="1"/>
    </xf>
    <xf numFmtId="0" fontId="37" fillId="0" borderId="25" xfId="30" applyFont="1" applyBorder="1" applyAlignment="1">
      <alignment horizontal="center" vertical="center" wrapText="1"/>
    </xf>
    <xf numFmtId="0" fontId="37" fillId="0" borderId="0" xfId="30" applyFont="1" applyAlignment="1">
      <alignment horizontal="center" vertical="center" wrapText="1"/>
    </xf>
    <xf numFmtId="0" fontId="9" fillId="2" borderId="0" xfId="0" applyFont="1" applyFill="1"/>
    <xf numFmtId="0" fontId="10" fillId="2" borderId="0" xfId="0" applyFont="1" applyFill="1"/>
    <xf numFmtId="165" fontId="37" fillId="0" borderId="1" xfId="4" applyNumberFormat="1" applyFont="1" applyFill="1" applyBorder="1" applyAlignment="1" applyProtection="1">
      <alignment horizontal="center" vertical="center" wrapText="1"/>
    </xf>
    <xf numFmtId="165" fontId="53" fillId="0" borderId="1" xfId="4" applyNumberFormat="1" applyFont="1" applyFill="1" applyBorder="1" applyAlignment="1" applyProtection="1">
      <alignment horizontal="center" vertical="center" wrapText="1"/>
    </xf>
    <xf numFmtId="165" fontId="4" fillId="2" borderId="0" xfId="28" applyNumberFormat="1" applyFont="1" applyFill="1"/>
    <xf numFmtId="0" fontId="4" fillId="2" borderId="0" xfId="28" applyFont="1" applyFill="1"/>
    <xf numFmtId="43" fontId="36" fillId="0" borderId="1" xfId="4" applyFont="1" applyFill="1" applyBorder="1" applyAlignment="1" applyProtection="1">
      <alignment horizontal="center" vertical="center" wrapText="1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50" fillId="2" borderId="0" xfId="0" applyFont="1" applyFill="1" applyAlignment="1">
      <alignment horizontal="center"/>
    </xf>
    <xf numFmtId="0" fontId="17" fillId="0" borderId="0" xfId="7" applyFont="1" applyAlignment="1">
      <alignment horizontal="left" vertical="center" wrapText="1"/>
    </xf>
    <xf numFmtId="0" fontId="11" fillId="2" borderId="0" xfId="0" applyFont="1" applyFill="1" applyAlignment="1">
      <alignment horizontal="center" wrapText="1"/>
    </xf>
    <xf numFmtId="0" fontId="52" fillId="2" borderId="0" xfId="0" applyFont="1" applyFill="1" applyAlignment="1">
      <alignment horizontal="center"/>
    </xf>
    <xf numFmtId="0" fontId="17" fillId="0" borderId="0" xfId="7" applyFont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center"/>
    </xf>
    <xf numFmtId="0" fontId="51" fillId="2" borderId="0" xfId="0" applyFont="1" applyFill="1" applyAlignment="1">
      <alignment horizontal="center"/>
    </xf>
    <xf numFmtId="0" fontId="29" fillId="6" borderId="0" xfId="32" applyFont="1" applyFill="1" applyAlignment="1">
      <alignment horizontal="center"/>
    </xf>
    <xf numFmtId="43" fontId="36" fillId="10" borderId="3" xfId="4" applyFont="1" applyFill="1" applyBorder="1" applyAlignment="1" applyProtection="1">
      <alignment horizontal="center" vertical="center" wrapText="1"/>
    </xf>
    <xf numFmtId="43" fontId="36" fillId="10" borderId="20" xfId="4" applyFont="1" applyFill="1" applyBorder="1" applyAlignment="1" applyProtection="1">
      <alignment horizontal="center" vertical="center" wrapText="1"/>
    </xf>
    <xf numFmtId="165" fontId="29" fillId="2" borderId="0" xfId="4" applyNumberFormat="1" applyFont="1" applyFill="1" applyBorder="1" applyAlignment="1">
      <alignment horizontal="center"/>
    </xf>
    <xf numFmtId="49" fontId="35" fillId="2" borderId="0" xfId="7" applyNumberFormat="1" applyFont="1" applyFill="1" applyAlignment="1">
      <alignment horizontal="center" vertical="center"/>
    </xf>
    <xf numFmtId="49" fontId="16" fillId="2" borderId="0" xfId="29" applyNumberFormat="1" applyFont="1" applyFill="1" applyAlignment="1">
      <alignment horizontal="center" vertical="center"/>
    </xf>
    <xf numFmtId="0" fontId="37" fillId="0" borderId="1" xfId="3" applyFont="1" applyBorder="1" applyAlignment="1" applyProtection="1">
      <alignment horizontal="center" vertical="center"/>
      <protection locked="0"/>
    </xf>
    <xf numFmtId="165" fontId="33" fillId="2" borderId="0" xfId="4" applyNumberFormat="1" applyFont="1" applyFill="1" applyBorder="1" applyAlignment="1">
      <alignment horizontal="center" vertical="center"/>
    </xf>
    <xf numFmtId="43" fontId="36" fillId="10" borderId="22" xfId="4" applyFont="1" applyFill="1" applyBorder="1" applyAlignment="1" applyProtection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41" fillId="7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40" fillId="7" borderId="7" xfId="0" applyFont="1" applyFill="1" applyBorder="1" applyAlignment="1">
      <alignment horizontal="center" vertical="center"/>
    </xf>
    <xf numFmtId="0" fontId="40" fillId="7" borderId="8" xfId="0" applyFont="1" applyFill="1" applyBorder="1" applyAlignment="1">
      <alignment horizontal="center" vertical="center"/>
    </xf>
    <xf numFmtId="0" fontId="41" fillId="7" borderId="13" xfId="0" applyFont="1" applyFill="1" applyBorder="1" applyAlignment="1">
      <alignment horizontal="center" vertical="center"/>
    </xf>
    <xf numFmtId="0" fontId="41" fillId="7" borderId="14" xfId="0" applyFont="1" applyFill="1" applyBorder="1" applyAlignment="1">
      <alignment horizontal="center" vertical="center"/>
    </xf>
    <xf numFmtId="0" fontId="41" fillId="7" borderId="15" xfId="0" applyFont="1" applyFill="1" applyBorder="1" applyAlignment="1">
      <alignment horizontal="center" vertical="center"/>
    </xf>
    <xf numFmtId="0" fontId="41" fillId="7" borderId="16" xfId="0" applyFont="1" applyFill="1" applyBorder="1" applyAlignment="1">
      <alignment horizontal="center" vertical="center"/>
    </xf>
    <xf numFmtId="0" fontId="40" fillId="7" borderId="15" xfId="0" applyFont="1" applyFill="1" applyBorder="1" applyAlignment="1">
      <alignment horizontal="center" vertical="center"/>
    </xf>
    <xf numFmtId="0" fontId="40" fillId="7" borderId="16" xfId="0" applyFont="1" applyFill="1" applyBorder="1" applyAlignment="1">
      <alignment horizontal="center" vertical="center"/>
    </xf>
    <xf numFmtId="0" fontId="42" fillId="6" borderId="15" xfId="0" applyFont="1" applyFill="1" applyBorder="1" applyAlignment="1">
      <alignment horizontal="center" vertical="center"/>
    </xf>
    <xf numFmtId="0" fontId="42" fillId="6" borderId="17" xfId="0" applyFont="1" applyFill="1" applyBorder="1" applyAlignment="1">
      <alignment horizontal="center" vertical="center"/>
    </xf>
  </cellXfs>
  <cellStyles count="40">
    <cellStyle name="Comma" xfId="4" builtinId="3"/>
    <cellStyle name="Comma 10 2" xfId="2" xr:uid="{00000000-0005-0000-0000-000001000000}"/>
    <cellStyle name="Comma 2" xfId="6" xr:uid="{00000000-0005-0000-0000-000002000000}"/>
    <cellStyle name="Comma0" xfId="8" xr:uid="{00000000-0005-0000-0000-000003000000}"/>
    <cellStyle name="Currency0" xfId="9" xr:uid="{00000000-0005-0000-0000-000004000000}"/>
    <cellStyle name="Date" xfId="10" xr:uid="{00000000-0005-0000-0000-000005000000}"/>
    <cellStyle name="Fixed" xfId="11" xr:uid="{00000000-0005-0000-0000-000006000000}"/>
    <cellStyle name="Heading 1 2" xfId="12" xr:uid="{00000000-0005-0000-0000-000007000000}"/>
    <cellStyle name="Heading 2 2" xfId="13" xr:uid="{00000000-0005-0000-0000-000008000000}"/>
    <cellStyle name="Hyperlink" xfId="33" xr:uid="{00000000-0005-0000-0000-000009000000}"/>
    <cellStyle name="Normal" xfId="0" builtinId="0"/>
    <cellStyle name="Normal 100 2" xfId="32" xr:uid="{00000000-0005-0000-0000-00000B000000}"/>
    <cellStyle name="Normal 15" xfId="1" xr:uid="{00000000-0005-0000-0000-00000C000000}"/>
    <cellStyle name="Normal 2" xfId="5" xr:uid="{00000000-0005-0000-0000-00000D000000}"/>
    <cellStyle name="Normal 2 19 2 2" xfId="28" xr:uid="{00000000-0005-0000-0000-00000E000000}"/>
    <cellStyle name="Normal 2 2 103" xfId="26" xr:uid="{00000000-0005-0000-0000-00000F000000}"/>
    <cellStyle name="Normal 2 2 5 2" xfId="27" xr:uid="{00000000-0005-0000-0000-000010000000}"/>
    <cellStyle name="Normal 2 3 2" xfId="31" xr:uid="{00000000-0005-0000-0000-000011000000}"/>
    <cellStyle name="Normal 3" xfId="34" xr:uid="{00000000-0005-0000-0000-000012000000}"/>
    <cellStyle name="Normal 3 3 3" xfId="29" xr:uid="{00000000-0005-0000-0000-000013000000}"/>
    <cellStyle name="Normal 4 3" xfId="7" xr:uid="{00000000-0005-0000-0000-000014000000}"/>
    <cellStyle name="Normal 5" xfId="35" xr:uid="{00000000-0005-0000-0000-000015000000}"/>
    <cellStyle name="Normal 6" xfId="36" xr:uid="{00000000-0005-0000-0000-000016000000}"/>
    <cellStyle name="Normal_Sheet1" xfId="30" xr:uid="{00000000-0005-0000-0000-000017000000}"/>
    <cellStyle name="Style 1" xfId="3" xr:uid="{00000000-0005-0000-0000-000018000000}"/>
    <cellStyle name="Total 2" xfId="14" xr:uid="{00000000-0005-0000-0000-000019000000}"/>
    <cellStyle name="똿뗦먛귟 [0.00]_PRODUCT DETAIL Q1" xfId="15" xr:uid="{00000000-0005-0000-0000-00001A000000}"/>
    <cellStyle name="똿뗦먛귟_PRODUCT DETAIL Q1" xfId="16" xr:uid="{00000000-0005-0000-0000-00001B000000}"/>
    <cellStyle name="믅됞 [0.00]_PRODUCT DETAIL Q1" xfId="17" xr:uid="{00000000-0005-0000-0000-00001C000000}"/>
    <cellStyle name="믅됞_PRODUCT DETAIL Q1" xfId="18" xr:uid="{00000000-0005-0000-0000-00001D000000}"/>
    <cellStyle name="백분율_HOBONG" xfId="19" xr:uid="{00000000-0005-0000-0000-00001E000000}"/>
    <cellStyle name="뷭?_BOOKSHIP" xfId="20" xr:uid="{00000000-0005-0000-0000-00001F000000}"/>
    <cellStyle name="쉼표 [0] 3" xfId="37" xr:uid="{00000000-0005-0000-0000-000020000000}"/>
    <cellStyle name="콤마 [0]_1202" xfId="21" xr:uid="{00000000-0005-0000-0000-000021000000}"/>
    <cellStyle name="콤마_1202" xfId="22" xr:uid="{00000000-0005-0000-0000-000022000000}"/>
    <cellStyle name="통화 [0]_1202" xfId="23" xr:uid="{00000000-0005-0000-0000-000023000000}"/>
    <cellStyle name="통화_1202" xfId="24" xr:uid="{00000000-0005-0000-0000-000024000000}"/>
    <cellStyle name="표준 2" xfId="38" xr:uid="{00000000-0005-0000-0000-000025000000}"/>
    <cellStyle name="표준_(정보부문)월별인원계획" xfId="25" xr:uid="{00000000-0005-0000-0000-000026000000}"/>
    <cellStyle name="常规_SEP" xfId="39" xr:uid="{00000000-0005-0000-0000-000027000000}"/>
  </cellStyles>
  <dxfs count="1"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</xdr:col>
      <xdr:colOff>1419225</xdr:colOff>
      <xdr:row>3</xdr:row>
      <xdr:rowOff>30478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2D7087-10AC-4650-5073-1CAC01099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0"/>
          <a:ext cx="1981200" cy="12306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1</xdr:col>
      <xdr:colOff>1647824</xdr:colOff>
      <xdr:row>3</xdr:row>
      <xdr:rowOff>130418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4F1A7-F2AA-4E34-9BF8-EB2FB89EF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2057399" cy="9495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927018</xdr:colOff>
      <xdr:row>4</xdr:row>
      <xdr:rowOff>17145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9E4B66-5A41-4DAC-3D38-FF855F5B6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76106" cy="10817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opLeftCell="A19" zoomScaleNormal="100" workbookViewId="0">
      <selection activeCell="B15" sqref="B15"/>
    </sheetView>
  </sheetViews>
  <sheetFormatPr baseColWidth="10" defaultColWidth="9.1640625" defaultRowHeight="13"/>
  <cols>
    <col min="1" max="1" width="9" style="1" customWidth="1"/>
    <col min="2" max="2" width="63.83203125" style="1" customWidth="1"/>
    <col min="3" max="5" width="31.6640625" style="1" customWidth="1"/>
    <col min="6" max="6" width="17.1640625" style="1" customWidth="1"/>
    <col min="7" max="16384" width="9.1640625" style="1"/>
  </cols>
  <sheetData>
    <row r="1" spans="1:9" ht="40.5" customHeight="1">
      <c r="B1" s="144" t="s">
        <v>63</v>
      </c>
      <c r="C1" s="144"/>
      <c r="D1" s="144"/>
      <c r="E1" s="137"/>
    </row>
    <row r="2" spans="1:9" s="2" customFormat="1" ht="29.25" customHeight="1">
      <c r="A2" s="138"/>
      <c r="B2" s="145" t="s">
        <v>187</v>
      </c>
      <c r="C2" s="145"/>
      <c r="D2" s="145"/>
      <c r="E2" s="138"/>
    </row>
    <row r="3" spans="1:9" ht="24.75" customHeight="1">
      <c r="A3" s="149" t="s">
        <v>29</v>
      </c>
      <c r="B3" s="149"/>
      <c r="C3" s="149"/>
      <c r="D3" s="149"/>
      <c r="E3" s="149"/>
    </row>
    <row r="4" spans="1:9" s="5" customFormat="1" ht="19.5" customHeight="1">
      <c r="A4" s="3" t="s">
        <v>193</v>
      </c>
      <c r="B4" s="4"/>
    </row>
    <row r="5" spans="1:9" s="2" customFormat="1" ht="29.25" customHeight="1">
      <c r="A5" s="34" t="s">
        <v>189</v>
      </c>
      <c r="B5" s="34"/>
      <c r="C5" s="34"/>
      <c r="D5" s="34"/>
      <c r="E5" s="34"/>
    </row>
    <row r="6" spans="1:9" s="2" customFormat="1" ht="20" customHeight="1">
      <c r="A6" s="150" t="s">
        <v>1</v>
      </c>
      <c r="B6" s="150"/>
      <c r="C6" s="150"/>
      <c r="D6" s="150"/>
      <c r="E6" s="150"/>
      <c r="F6" s="22"/>
      <c r="G6" s="22"/>
      <c r="H6" s="22"/>
      <c r="I6" s="22"/>
    </row>
    <row r="7" spans="1:9" s="2" customFormat="1" ht="20" customHeight="1">
      <c r="A7" s="150" t="s">
        <v>2</v>
      </c>
      <c r="B7" s="150"/>
      <c r="C7" s="150"/>
      <c r="D7" s="150"/>
      <c r="E7" s="150"/>
      <c r="F7" s="22"/>
      <c r="G7" s="22"/>
      <c r="H7" s="22"/>
      <c r="I7" s="22"/>
    </row>
    <row r="8" spans="1:9" s="2" customFormat="1" ht="20" customHeight="1">
      <c r="A8" s="150" t="s">
        <v>27</v>
      </c>
      <c r="B8" s="150"/>
      <c r="C8" s="150"/>
      <c r="D8" s="150"/>
      <c r="E8" s="150"/>
      <c r="F8" s="22"/>
      <c r="G8" s="22"/>
      <c r="H8" s="22"/>
      <c r="I8" s="22"/>
    </row>
    <row r="9" spans="1:9" s="2" customFormat="1" ht="20" customHeight="1">
      <c r="A9" s="150" t="s">
        <v>28</v>
      </c>
      <c r="B9" s="150"/>
      <c r="C9" s="150"/>
      <c r="D9" s="150"/>
      <c r="E9" s="150"/>
      <c r="F9" s="22"/>
      <c r="G9" s="22"/>
      <c r="H9" s="22"/>
      <c r="I9" s="22"/>
    </row>
    <row r="10" spans="1:9" s="2" customFormat="1" ht="20" customHeight="1">
      <c r="A10" s="147" t="s">
        <v>13</v>
      </c>
      <c r="B10" s="147"/>
      <c r="C10" s="147"/>
      <c r="D10" s="147"/>
      <c r="E10" s="147"/>
      <c r="F10" s="28"/>
      <c r="I10" s="21"/>
    </row>
    <row r="11" spans="1:9" s="8" customFormat="1" ht="39.75" customHeight="1">
      <c r="A11" s="6" t="s">
        <v>3</v>
      </c>
      <c r="B11" s="6" t="s">
        <v>4</v>
      </c>
      <c r="C11" s="7" t="s">
        <v>5</v>
      </c>
      <c r="D11" s="7" t="s">
        <v>6</v>
      </c>
      <c r="E11" s="7" t="s">
        <v>166</v>
      </c>
    </row>
    <row r="12" spans="1:9" s="10" customFormat="1" ht="19.5" customHeight="1">
      <c r="A12" s="30">
        <v>1</v>
      </c>
      <c r="B12" s="31" t="s">
        <v>157</v>
      </c>
      <c r="C12" s="15"/>
      <c r="D12" s="16"/>
      <c r="E12" s="16"/>
    </row>
    <row r="13" spans="1:9" s="10" customFormat="1" ht="19.5" customHeight="1">
      <c r="A13" s="30">
        <v>1.1000000000000001</v>
      </c>
      <c r="B13" s="31" t="s">
        <v>70</v>
      </c>
      <c r="C13" s="15"/>
      <c r="D13" s="16"/>
      <c r="E13" s="16"/>
    </row>
    <row r="14" spans="1:9" s="10" customFormat="1" ht="19.5" customHeight="1">
      <c r="A14" s="9"/>
      <c r="B14" s="24" t="s">
        <v>17</v>
      </c>
      <c r="C14" s="15" t="s">
        <v>15</v>
      </c>
      <c r="D14" s="16">
        <v>900000</v>
      </c>
      <c r="E14" s="16"/>
      <c r="F14" s="94"/>
    </row>
    <row r="15" spans="1:9" s="10" customFormat="1" ht="19.5" customHeight="1">
      <c r="A15" s="30">
        <v>1.2</v>
      </c>
      <c r="B15" s="31" t="s">
        <v>71</v>
      </c>
      <c r="C15" s="15"/>
      <c r="D15" s="16"/>
      <c r="E15" s="16"/>
      <c r="F15" s="94"/>
    </row>
    <row r="16" spans="1:9" s="10" customFormat="1" ht="19.5" customHeight="1">
      <c r="A16" s="9"/>
      <c r="B16" s="24" t="s">
        <v>16</v>
      </c>
      <c r="C16" s="15" t="s">
        <v>14</v>
      </c>
      <c r="D16" s="16">
        <v>900000</v>
      </c>
      <c r="E16" s="16"/>
      <c r="F16" s="94"/>
    </row>
    <row r="17" spans="1:6" s="10" customFormat="1" ht="19.5" customHeight="1">
      <c r="A17" s="30">
        <v>1.3</v>
      </c>
      <c r="B17" s="31" t="s">
        <v>72</v>
      </c>
      <c r="C17" s="15"/>
      <c r="D17" s="16"/>
      <c r="E17" s="16"/>
      <c r="F17" s="94"/>
    </row>
    <row r="18" spans="1:6" s="10" customFormat="1" ht="19.5" customHeight="1">
      <c r="A18" s="9"/>
      <c r="B18" s="24" t="s">
        <v>16</v>
      </c>
      <c r="C18" s="15" t="s">
        <v>14</v>
      </c>
      <c r="D18" s="16">
        <v>1078000</v>
      </c>
      <c r="E18" s="16"/>
      <c r="F18" s="94"/>
    </row>
    <row r="19" spans="1:6" s="10" customFormat="1" ht="19.5" customHeight="1">
      <c r="A19" s="93">
        <v>2</v>
      </c>
      <c r="B19" s="31" t="s">
        <v>153</v>
      </c>
      <c r="C19" s="15"/>
      <c r="D19" s="16"/>
      <c r="E19" s="16"/>
      <c r="F19" s="94"/>
    </row>
    <row r="20" spans="1:6" s="10" customFormat="1" ht="19.5" customHeight="1">
      <c r="A20" s="9"/>
      <c r="B20" s="24" t="s">
        <v>16</v>
      </c>
      <c r="C20" s="15" t="s">
        <v>14</v>
      </c>
      <c r="D20" s="16">
        <v>1323000</v>
      </c>
      <c r="E20" s="16"/>
      <c r="F20" s="94"/>
    </row>
    <row r="21" spans="1:6" s="10" customFormat="1" ht="19.5" customHeight="1">
      <c r="A21" s="30">
        <v>3</v>
      </c>
      <c r="B21" s="31" t="s">
        <v>154</v>
      </c>
      <c r="C21" s="15"/>
      <c r="D21" s="16"/>
      <c r="E21" s="16"/>
      <c r="F21" s="94"/>
    </row>
    <row r="22" spans="1:6" s="10" customFormat="1" ht="19.5" customHeight="1">
      <c r="A22" s="9"/>
      <c r="B22" s="24" t="s">
        <v>16</v>
      </c>
      <c r="C22" s="15" t="s">
        <v>14</v>
      </c>
      <c r="D22" s="16">
        <v>1470000</v>
      </c>
      <c r="E22" s="16"/>
      <c r="F22" s="94"/>
    </row>
    <row r="23" spans="1:6" s="10" customFormat="1" ht="19.5" customHeight="1">
      <c r="A23" s="30">
        <v>4</v>
      </c>
      <c r="B23" s="31" t="s">
        <v>155</v>
      </c>
      <c r="C23" s="15"/>
      <c r="D23" s="16"/>
      <c r="E23" s="16"/>
      <c r="F23" s="94"/>
    </row>
    <row r="24" spans="1:6" s="10" customFormat="1" ht="19.5" customHeight="1">
      <c r="A24" s="9"/>
      <c r="B24" s="24" t="s">
        <v>16</v>
      </c>
      <c r="C24" s="15" t="s">
        <v>14</v>
      </c>
      <c r="D24" s="16">
        <v>1764000</v>
      </c>
      <c r="E24" s="16"/>
      <c r="F24" s="94"/>
    </row>
    <row r="25" spans="1:6" s="10" customFormat="1" ht="19.5" customHeight="1">
      <c r="A25" s="30">
        <v>5</v>
      </c>
      <c r="B25" s="31" t="s">
        <v>156</v>
      </c>
      <c r="C25" s="15"/>
      <c r="D25" s="16"/>
      <c r="E25" s="16"/>
      <c r="F25" s="94"/>
    </row>
    <row r="26" spans="1:6" s="10" customFormat="1" ht="19.5" customHeight="1">
      <c r="A26" s="9"/>
      <c r="B26" s="24" t="s">
        <v>16</v>
      </c>
      <c r="C26" s="15" t="s">
        <v>14</v>
      </c>
      <c r="D26" s="16">
        <v>2254000</v>
      </c>
      <c r="E26" s="16"/>
      <c r="F26" s="94"/>
    </row>
    <row r="27" spans="1:6" s="10" customFormat="1" ht="19.5" customHeight="1">
      <c r="A27" s="30">
        <v>6</v>
      </c>
      <c r="B27" s="32" t="s">
        <v>160</v>
      </c>
      <c r="C27" s="154" t="s">
        <v>158</v>
      </c>
      <c r="D27" s="155"/>
      <c r="E27" s="156"/>
      <c r="F27" s="94"/>
    </row>
    <row r="28" spans="1:6" s="10" customFormat="1" ht="19.5" customHeight="1">
      <c r="A28" s="30">
        <v>7</v>
      </c>
      <c r="B28" s="32" t="s">
        <v>12</v>
      </c>
      <c r="C28" s="25"/>
      <c r="D28" s="26"/>
      <c r="E28" s="26"/>
    </row>
    <row r="29" spans="1:6" s="10" customFormat="1" ht="19.5" customHeight="1">
      <c r="A29" s="9"/>
      <c r="B29" s="27" t="s">
        <v>18</v>
      </c>
      <c r="C29" s="25" t="s">
        <v>14</v>
      </c>
      <c r="D29" s="26">
        <v>735000</v>
      </c>
      <c r="E29" s="26"/>
    </row>
    <row r="30" spans="1:6" s="10" customFormat="1" ht="19.5" customHeight="1">
      <c r="A30" s="9"/>
      <c r="B30" s="27" t="s">
        <v>19</v>
      </c>
      <c r="C30" s="25" t="s">
        <v>14</v>
      </c>
      <c r="D30" s="26">
        <v>665000</v>
      </c>
      <c r="E30" s="26"/>
    </row>
    <row r="31" spans="1:6" s="10" customFormat="1" ht="19.5" customHeight="1">
      <c r="A31" s="30">
        <v>8</v>
      </c>
      <c r="B31" s="23" t="s">
        <v>7</v>
      </c>
      <c r="C31" s="15" t="s">
        <v>59</v>
      </c>
      <c r="D31" s="16">
        <v>20000</v>
      </c>
      <c r="E31" s="16"/>
    </row>
    <row r="32" spans="1:6" s="10" customFormat="1" ht="19.5" customHeight="1">
      <c r="A32" s="30">
        <v>9</v>
      </c>
      <c r="B32" s="33" t="s">
        <v>65</v>
      </c>
      <c r="C32" s="18"/>
      <c r="D32" s="14"/>
      <c r="E32" s="14"/>
    </row>
    <row r="33" spans="1:6" s="10" customFormat="1" ht="19.5" customHeight="1">
      <c r="A33" s="30"/>
      <c r="B33" s="35" t="s">
        <v>16</v>
      </c>
      <c r="C33" s="36" t="s">
        <v>31</v>
      </c>
      <c r="D33" s="37">
        <v>180</v>
      </c>
      <c r="E33" s="37"/>
    </row>
    <row r="34" spans="1:6" s="10" customFormat="1" ht="19.5" customHeight="1">
      <c r="A34" s="30"/>
      <c r="B34" s="35" t="s">
        <v>32</v>
      </c>
      <c r="C34" s="36" t="s">
        <v>33</v>
      </c>
      <c r="D34" s="37">
        <v>750000</v>
      </c>
      <c r="E34" s="37"/>
    </row>
    <row r="35" spans="1:6" s="10" customFormat="1" ht="19.5" customHeight="1">
      <c r="A35" s="30"/>
      <c r="B35" s="35" t="s">
        <v>178</v>
      </c>
      <c r="C35" s="36" t="s">
        <v>33</v>
      </c>
      <c r="D35" s="37">
        <v>4500000</v>
      </c>
      <c r="E35" s="37"/>
    </row>
    <row r="36" spans="1:6" s="10" customFormat="1" ht="19.5" customHeight="1">
      <c r="A36" s="30">
        <v>10</v>
      </c>
      <c r="B36" s="33" t="s">
        <v>20</v>
      </c>
      <c r="C36" s="18"/>
      <c r="D36" s="14"/>
      <c r="E36" s="14"/>
    </row>
    <row r="37" spans="1:6" s="10" customFormat="1" ht="19.5" customHeight="1">
      <c r="A37" s="9"/>
      <c r="B37" s="29" t="s">
        <v>21</v>
      </c>
      <c r="C37" s="18" t="s">
        <v>8</v>
      </c>
      <c r="D37" s="14">
        <v>660000</v>
      </c>
      <c r="E37" s="14"/>
    </row>
    <row r="38" spans="1:6" s="10" customFormat="1" ht="19.5" customHeight="1">
      <c r="A38" s="9"/>
      <c r="B38" s="29" t="s">
        <v>30</v>
      </c>
      <c r="C38" s="18" t="s">
        <v>8</v>
      </c>
      <c r="D38" s="14">
        <v>880000</v>
      </c>
      <c r="E38" s="14"/>
    </row>
    <row r="39" spans="1:6" s="10" customFormat="1" ht="19.5" customHeight="1">
      <c r="A39" s="9"/>
      <c r="B39" s="29" t="s">
        <v>60</v>
      </c>
      <c r="C39" s="18" t="s">
        <v>61</v>
      </c>
      <c r="D39" s="14">
        <v>18</v>
      </c>
      <c r="E39" s="14"/>
    </row>
    <row r="40" spans="1:6" s="10" customFormat="1" ht="19.5" customHeight="1">
      <c r="A40" s="30">
        <v>11</v>
      </c>
      <c r="B40" s="33" t="s">
        <v>66</v>
      </c>
      <c r="C40" s="18"/>
      <c r="D40" s="14"/>
      <c r="E40" s="14"/>
      <c r="F40" s="20"/>
    </row>
    <row r="41" spans="1:6" s="10" customFormat="1" ht="19.5" customHeight="1">
      <c r="A41" s="30"/>
      <c r="B41" s="35" t="s">
        <v>16</v>
      </c>
      <c r="C41" s="36" t="s">
        <v>31</v>
      </c>
      <c r="D41" s="14">
        <v>250</v>
      </c>
      <c r="E41" s="14"/>
      <c r="F41" s="20"/>
    </row>
    <row r="42" spans="1:6" s="10" customFormat="1" ht="19.5" customHeight="1">
      <c r="A42" s="30"/>
      <c r="B42" s="35" t="s">
        <v>32</v>
      </c>
      <c r="C42" s="19" t="s">
        <v>9</v>
      </c>
      <c r="D42" s="14">
        <v>50000</v>
      </c>
      <c r="E42" s="14"/>
      <c r="F42" s="20"/>
    </row>
    <row r="43" spans="1:6" s="10" customFormat="1" ht="19.5" customHeight="1">
      <c r="A43" s="30">
        <v>12</v>
      </c>
      <c r="B43" s="33" t="s">
        <v>67</v>
      </c>
      <c r="C43" s="18"/>
      <c r="D43" s="14"/>
      <c r="E43" s="14"/>
      <c r="F43" s="20"/>
    </row>
    <row r="44" spans="1:6" s="10" customFormat="1" ht="19.5" customHeight="1">
      <c r="A44" s="30"/>
      <c r="B44" s="35" t="s">
        <v>16</v>
      </c>
      <c r="C44" s="36" t="s">
        <v>31</v>
      </c>
      <c r="D44" s="14">
        <v>250</v>
      </c>
      <c r="E44" s="14"/>
      <c r="F44" s="20"/>
    </row>
    <row r="45" spans="1:6" s="10" customFormat="1" ht="19.5" customHeight="1">
      <c r="A45" s="30"/>
      <c r="B45" s="35" t="s">
        <v>32</v>
      </c>
      <c r="C45" s="19" t="s">
        <v>9</v>
      </c>
      <c r="D45" s="14">
        <v>50000</v>
      </c>
      <c r="E45" s="14"/>
      <c r="F45" s="20"/>
    </row>
    <row r="46" spans="1:6" s="10" customFormat="1" ht="19.5" customHeight="1">
      <c r="A46" s="30">
        <v>13</v>
      </c>
      <c r="B46" s="33" t="s">
        <v>167</v>
      </c>
      <c r="C46" s="18" t="s">
        <v>172</v>
      </c>
      <c r="D46" s="121">
        <v>4000000</v>
      </c>
      <c r="E46" s="14"/>
    </row>
    <row r="47" spans="1:6" s="10" customFormat="1" ht="19.5" customHeight="1">
      <c r="A47" s="30">
        <v>14</v>
      </c>
      <c r="B47" s="23" t="s">
        <v>68</v>
      </c>
      <c r="C47" s="19" t="s">
        <v>9</v>
      </c>
      <c r="D47" s="17">
        <v>40000</v>
      </c>
      <c r="E47" s="17"/>
      <c r="F47" s="20"/>
    </row>
    <row r="48" spans="1:6" s="10" customFormat="1" ht="19.5" customHeight="1">
      <c r="A48" s="30">
        <v>15</v>
      </c>
      <c r="B48" s="23" t="s">
        <v>146</v>
      </c>
      <c r="C48" s="19"/>
      <c r="D48" s="17"/>
      <c r="E48" s="17"/>
      <c r="F48" s="20"/>
    </row>
    <row r="49" spans="1:6" s="10" customFormat="1" ht="19.5" customHeight="1">
      <c r="A49" s="30"/>
      <c r="B49" s="90" t="s">
        <v>147</v>
      </c>
      <c r="C49" s="18" t="s">
        <v>8</v>
      </c>
      <c r="D49" s="17">
        <v>1500000</v>
      </c>
      <c r="E49" s="17"/>
      <c r="F49" s="20"/>
    </row>
    <row r="50" spans="1:6" s="10" customFormat="1" ht="19.5" customHeight="1">
      <c r="A50" s="30"/>
      <c r="B50" s="90" t="s">
        <v>148</v>
      </c>
      <c r="C50" s="18" t="s">
        <v>8</v>
      </c>
      <c r="D50" s="17">
        <v>2500000</v>
      </c>
      <c r="E50" s="17"/>
      <c r="F50" s="20"/>
    </row>
    <row r="51" spans="1:6" s="10" customFormat="1" ht="19.5" customHeight="1">
      <c r="A51" s="30"/>
      <c r="B51" s="90" t="s">
        <v>149</v>
      </c>
      <c r="C51" s="18" t="s">
        <v>8</v>
      </c>
      <c r="D51" s="17">
        <v>3500000</v>
      </c>
      <c r="E51" s="17"/>
      <c r="F51" s="20"/>
    </row>
    <row r="52" spans="1:6" s="10" customFormat="1" ht="42.75" customHeight="1">
      <c r="A52" s="30">
        <v>16</v>
      </c>
      <c r="B52" s="91" t="s">
        <v>150</v>
      </c>
      <c r="C52" s="18" t="s">
        <v>151</v>
      </c>
      <c r="D52" s="17">
        <v>3500000</v>
      </c>
      <c r="E52" s="17"/>
      <c r="F52" s="20"/>
    </row>
    <row r="53" spans="1:6" s="10" customFormat="1" ht="19.5" customHeight="1">
      <c r="A53" s="30">
        <v>17</v>
      </c>
      <c r="B53" s="33" t="s">
        <v>168</v>
      </c>
      <c r="C53" s="18" t="s">
        <v>169</v>
      </c>
      <c r="D53" s="14">
        <v>150000</v>
      </c>
      <c r="E53" s="14"/>
    </row>
    <row r="54" spans="1:6" s="10" customFormat="1" ht="34">
      <c r="A54" s="30">
        <v>18</v>
      </c>
      <c r="B54" s="92" t="s">
        <v>171</v>
      </c>
      <c r="C54" s="18" t="s">
        <v>181</v>
      </c>
      <c r="D54" s="17">
        <v>65000</v>
      </c>
      <c r="E54" s="17"/>
      <c r="F54" s="20"/>
    </row>
    <row r="55" spans="1:6" s="10" customFormat="1" ht="17">
      <c r="A55" s="30">
        <v>19</v>
      </c>
      <c r="B55" s="92" t="s">
        <v>165</v>
      </c>
      <c r="C55" s="18" t="s">
        <v>152</v>
      </c>
      <c r="D55" s="17">
        <v>150000</v>
      </c>
      <c r="E55" s="17"/>
      <c r="F55" s="20"/>
    </row>
    <row r="56" spans="1:6" s="10" customFormat="1" ht="17">
      <c r="A56" s="11" t="s">
        <v>10</v>
      </c>
    </row>
    <row r="57" spans="1:6" s="10" customFormat="1" ht="16.5" customHeight="1">
      <c r="A57" s="12" t="s">
        <v>11</v>
      </c>
    </row>
    <row r="58" spans="1:6" s="5" customFormat="1" ht="23.25" customHeight="1">
      <c r="A58" s="2"/>
      <c r="B58" s="13"/>
      <c r="C58" s="2"/>
      <c r="D58" s="2"/>
      <c r="E58" s="2"/>
    </row>
    <row r="59" spans="1:6" s="10" customFormat="1" ht="29.25" customHeight="1">
      <c r="A59" s="151"/>
      <c r="B59" s="152"/>
      <c r="C59" s="148" t="s">
        <v>64</v>
      </c>
      <c r="D59" s="148"/>
      <c r="E59" s="148"/>
    </row>
    <row r="60" spans="1:6" s="5" customFormat="1" ht="18">
      <c r="C60" s="153"/>
      <c r="D60" s="153"/>
      <c r="E60" s="153"/>
    </row>
    <row r="67" spans="3:5">
      <c r="C67" s="146" t="s">
        <v>183</v>
      </c>
      <c r="D67" s="146"/>
      <c r="E67" s="146"/>
    </row>
  </sheetData>
  <mergeCells count="13">
    <mergeCell ref="B1:D1"/>
    <mergeCell ref="B2:D2"/>
    <mergeCell ref="C67:E67"/>
    <mergeCell ref="A10:E10"/>
    <mergeCell ref="C59:E59"/>
    <mergeCell ref="A3:E3"/>
    <mergeCell ref="A6:E6"/>
    <mergeCell ref="A7:E7"/>
    <mergeCell ref="A8:E8"/>
    <mergeCell ref="A9:E9"/>
    <mergeCell ref="A59:B59"/>
    <mergeCell ref="C60:E60"/>
    <mergeCell ref="C27:E27"/>
  </mergeCells>
  <printOptions horizontalCentered="1"/>
  <pageMargins left="0" right="0" top="0.5" bottom="0.75" header="0.5" footer="0.3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DA00-3B21-4F12-BA75-09EA64788A5D}">
  <dimension ref="A1:I37"/>
  <sheetViews>
    <sheetView topLeftCell="A7" zoomScaleNormal="100" workbookViewId="0">
      <selection activeCell="D15" sqref="D15"/>
    </sheetView>
  </sheetViews>
  <sheetFormatPr baseColWidth="10" defaultColWidth="9.1640625" defaultRowHeight="13"/>
  <cols>
    <col min="1" max="1" width="9" style="1" customWidth="1"/>
    <col min="2" max="2" width="63.83203125" style="1" customWidth="1"/>
    <col min="3" max="4" width="31.6640625" style="1" customWidth="1"/>
    <col min="5" max="5" width="43.1640625" style="1" customWidth="1"/>
    <col min="6" max="6" width="17.1640625" style="1" customWidth="1"/>
    <col min="7" max="16384" width="9.1640625" style="1"/>
  </cols>
  <sheetData>
    <row r="1" spans="1:9" ht="30.75" customHeight="1">
      <c r="A1" s="144" t="s">
        <v>63</v>
      </c>
      <c r="B1" s="144"/>
      <c r="C1" s="144"/>
      <c r="D1" s="144"/>
      <c r="E1" s="144"/>
    </row>
    <row r="2" spans="1:9" s="2" customFormat="1" ht="14.25" customHeight="1">
      <c r="A2" s="145" t="s">
        <v>185</v>
      </c>
      <c r="B2" s="145"/>
      <c r="C2" s="145"/>
      <c r="D2" s="145"/>
      <c r="E2" s="145"/>
    </row>
    <row r="3" spans="1:9" ht="19.5" customHeight="1">
      <c r="A3" s="157" t="s">
        <v>29</v>
      </c>
      <c r="B3" s="157"/>
      <c r="C3" s="157"/>
      <c r="D3" s="157"/>
      <c r="E3" s="157"/>
    </row>
    <row r="4" spans="1:9" s="5" customFormat="1" ht="29.25" customHeight="1">
      <c r="A4" s="3" t="s">
        <v>0</v>
      </c>
      <c r="B4" s="4"/>
    </row>
    <row r="5" spans="1:9" s="2" customFormat="1" ht="29.25" customHeight="1">
      <c r="A5" s="34" t="s">
        <v>186</v>
      </c>
      <c r="B5" s="34"/>
      <c r="C5" s="34"/>
      <c r="D5" s="34"/>
      <c r="E5" s="34"/>
    </row>
    <row r="6" spans="1:9" s="2" customFormat="1" ht="20" customHeight="1">
      <c r="A6" s="150" t="s">
        <v>1</v>
      </c>
      <c r="B6" s="150"/>
      <c r="C6" s="150"/>
      <c r="D6" s="150"/>
      <c r="E6" s="150"/>
      <c r="F6" s="22"/>
      <c r="G6" s="22"/>
      <c r="H6" s="22"/>
      <c r="I6" s="22"/>
    </row>
    <row r="7" spans="1:9" s="2" customFormat="1" ht="20" customHeight="1">
      <c r="A7" s="150" t="s">
        <v>2</v>
      </c>
      <c r="B7" s="150"/>
      <c r="C7" s="150"/>
      <c r="D7" s="150"/>
      <c r="E7" s="150"/>
      <c r="F7" s="22"/>
      <c r="G7" s="22"/>
      <c r="H7" s="22"/>
      <c r="I7" s="22"/>
    </row>
    <row r="8" spans="1:9" s="2" customFormat="1" ht="20" customHeight="1">
      <c r="A8" s="150" t="s">
        <v>27</v>
      </c>
      <c r="B8" s="150"/>
      <c r="C8" s="150"/>
      <c r="D8" s="150"/>
      <c r="E8" s="150"/>
      <c r="F8" s="22"/>
      <c r="G8" s="22"/>
      <c r="H8" s="22"/>
      <c r="I8" s="22"/>
    </row>
    <row r="9" spans="1:9" s="2" customFormat="1" ht="20" customHeight="1">
      <c r="A9" s="150" t="s">
        <v>28</v>
      </c>
      <c r="B9" s="150"/>
      <c r="C9" s="150"/>
      <c r="D9" s="150"/>
      <c r="E9" s="150"/>
      <c r="F9" s="22"/>
      <c r="G9" s="22"/>
      <c r="H9" s="22"/>
      <c r="I9" s="22"/>
    </row>
    <row r="10" spans="1:9" s="2" customFormat="1" ht="20" customHeight="1">
      <c r="A10" s="147" t="s">
        <v>13</v>
      </c>
      <c r="B10" s="147"/>
      <c r="C10" s="147"/>
      <c r="D10" s="147"/>
      <c r="E10" s="147"/>
      <c r="F10" s="28"/>
      <c r="I10" s="21"/>
    </row>
    <row r="11" spans="1:9" s="8" customFormat="1" ht="39.75" customHeight="1">
      <c r="A11" s="6" t="s">
        <v>3</v>
      </c>
      <c r="B11" s="6" t="s">
        <v>4</v>
      </c>
      <c r="C11" s="7" t="s">
        <v>5</v>
      </c>
      <c r="D11" s="7" t="s">
        <v>6</v>
      </c>
      <c r="E11" s="7" t="s">
        <v>166</v>
      </c>
    </row>
    <row r="12" spans="1:9" s="10" customFormat="1" ht="19.5" customHeight="1">
      <c r="A12" s="30">
        <v>1</v>
      </c>
      <c r="B12" s="31" t="s">
        <v>157</v>
      </c>
      <c r="C12" s="15"/>
      <c r="D12" s="16"/>
      <c r="E12" s="16"/>
    </row>
    <row r="13" spans="1:9" s="10" customFormat="1" ht="19.5" customHeight="1">
      <c r="A13" s="30">
        <v>1.1000000000000001</v>
      </c>
      <c r="B13" s="31" t="s">
        <v>70</v>
      </c>
      <c r="C13" s="15"/>
      <c r="D13" s="16"/>
      <c r="E13" s="16"/>
    </row>
    <row r="14" spans="1:9" s="10" customFormat="1" ht="19.5" customHeight="1">
      <c r="A14" s="9"/>
      <c r="B14" s="24" t="s">
        <v>17</v>
      </c>
      <c r="C14" s="15" t="s">
        <v>15</v>
      </c>
      <c r="D14" s="16">
        <v>990000.00000000012</v>
      </c>
      <c r="E14" s="123" t="s">
        <v>182</v>
      </c>
      <c r="F14" s="94"/>
    </row>
    <row r="15" spans="1:9" s="10" customFormat="1" ht="19.5" customHeight="1">
      <c r="A15" s="30">
        <v>1.2</v>
      </c>
      <c r="B15" s="31" t="s">
        <v>71</v>
      </c>
      <c r="C15" s="15"/>
      <c r="D15" s="16"/>
      <c r="E15" s="123"/>
      <c r="F15" s="94"/>
    </row>
    <row r="16" spans="1:9" s="10" customFormat="1" ht="19.5" customHeight="1">
      <c r="A16" s="9"/>
      <c r="B16" s="24" t="s">
        <v>16</v>
      </c>
      <c r="C16" s="15" t="s">
        <v>14</v>
      </c>
      <c r="D16" s="16">
        <v>990000.00000000012</v>
      </c>
      <c r="E16" s="123" t="s">
        <v>182</v>
      </c>
      <c r="F16" s="94"/>
    </row>
    <row r="17" spans="1:6" s="10" customFormat="1" ht="19.5" customHeight="1">
      <c r="A17" s="30">
        <v>1.3</v>
      </c>
      <c r="B17" s="31" t="s">
        <v>72</v>
      </c>
      <c r="C17" s="15"/>
      <c r="D17" s="16"/>
      <c r="E17" s="123"/>
      <c r="F17" s="94"/>
    </row>
    <row r="18" spans="1:6" s="10" customFormat="1" ht="19.5" customHeight="1">
      <c r="A18" s="9"/>
      <c r="B18" s="24" t="s">
        <v>16</v>
      </c>
      <c r="C18" s="15" t="s">
        <v>14</v>
      </c>
      <c r="D18" s="16">
        <v>1185800</v>
      </c>
      <c r="E18" s="123" t="s">
        <v>182</v>
      </c>
      <c r="F18" s="94"/>
    </row>
    <row r="19" spans="1:6" s="10" customFormat="1" ht="19.5" customHeight="1">
      <c r="A19" s="93">
        <v>2</v>
      </c>
      <c r="B19" s="31" t="s">
        <v>153</v>
      </c>
      <c r="C19" s="15"/>
      <c r="D19" s="16"/>
      <c r="E19" s="123"/>
      <c r="F19" s="94"/>
    </row>
    <row r="20" spans="1:6" s="10" customFormat="1" ht="19.5" customHeight="1">
      <c r="A20" s="9"/>
      <c r="B20" s="24" t="s">
        <v>16</v>
      </c>
      <c r="C20" s="15" t="s">
        <v>14</v>
      </c>
      <c r="D20" s="16">
        <v>1455300.0000000002</v>
      </c>
      <c r="E20" s="123" t="s">
        <v>182</v>
      </c>
      <c r="F20" s="94"/>
    </row>
    <row r="21" spans="1:6" s="10" customFormat="1" ht="19.5" customHeight="1">
      <c r="A21" s="30">
        <v>3</v>
      </c>
      <c r="B21" s="31" t="s">
        <v>154</v>
      </c>
      <c r="C21" s="15"/>
      <c r="D21" s="16"/>
      <c r="E21" s="123"/>
      <c r="F21" s="94"/>
    </row>
    <row r="22" spans="1:6" s="10" customFormat="1" ht="19.5" customHeight="1">
      <c r="A22" s="9"/>
      <c r="B22" s="24" t="s">
        <v>16</v>
      </c>
      <c r="C22" s="15" t="s">
        <v>14</v>
      </c>
      <c r="D22" s="16">
        <v>1617000.0000000002</v>
      </c>
      <c r="E22" s="123" t="s">
        <v>182</v>
      </c>
      <c r="F22" s="94"/>
    </row>
    <row r="23" spans="1:6" s="10" customFormat="1" ht="19.5" customHeight="1">
      <c r="A23" s="30">
        <v>4</v>
      </c>
      <c r="B23" s="31" t="s">
        <v>155</v>
      </c>
      <c r="C23" s="15"/>
      <c r="D23" s="16"/>
      <c r="E23" s="123"/>
      <c r="F23" s="94"/>
    </row>
    <row r="24" spans="1:6" s="10" customFormat="1" ht="19.5" customHeight="1">
      <c r="A24" s="9"/>
      <c r="B24" s="24" t="s">
        <v>16</v>
      </c>
      <c r="C24" s="15" t="s">
        <v>14</v>
      </c>
      <c r="D24" s="16">
        <v>1940400.0000000002</v>
      </c>
      <c r="E24" s="123" t="s">
        <v>182</v>
      </c>
      <c r="F24" s="94"/>
    </row>
    <row r="25" spans="1:6" s="10" customFormat="1" ht="19.5" customHeight="1">
      <c r="A25" s="30">
        <v>5</v>
      </c>
      <c r="B25" s="31" t="s">
        <v>156</v>
      </c>
      <c r="C25" s="15"/>
      <c r="D25" s="16"/>
      <c r="E25" s="123"/>
      <c r="F25" s="94"/>
    </row>
    <row r="26" spans="1:6" s="10" customFormat="1" ht="19.5" customHeight="1">
      <c r="A26" s="9"/>
      <c r="B26" s="24" t="s">
        <v>16</v>
      </c>
      <c r="C26" s="15" t="s">
        <v>14</v>
      </c>
      <c r="D26" s="16">
        <v>2479400</v>
      </c>
      <c r="E26" s="123" t="s">
        <v>182</v>
      </c>
      <c r="F26" s="94"/>
    </row>
    <row r="27" spans="1:6" s="10" customFormat="1" ht="16.5" customHeight="1">
      <c r="A27" s="12"/>
    </row>
    <row r="28" spans="1:6" s="5" customFormat="1" ht="23.25" customHeight="1">
      <c r="A28" s="2"/>
      <c r="B28" s="13"/>
      <c r="C28" s="2"/>
      <c r="D28" s="2"/>
      <c r="E28" s="2"/>
    </row>
    <row r="29" spans="1:6" s="10" customFormat="1" ht="29.25" customHeight="1">
      <c r="A29" s="151"/>
      <c r="B29" s="152"/>
      <c r="C29" s="148" t="s">
        <v>64</v>
      </c>
      <c r="D29" s="148"/>
      <c r="E29" s="148"/>
    </row>
    <row r="30" spans="1:6" s="5" customFormat="1" ht="18">
      <c r="C30" s="153"/>
      <c r="D30" s="153"/>
      <c r="E30" s="153"/>
    </row>
    <row r="37" spans="3:5" ht="18">
      <c r="C37" s="158" t="s">
        <v>183</v>
      </c>
      <c r="D37" s="158"/>
      <c r="E37" s="158"/>
    </row>
  </sheetData>
  <mergeCells count="12">
    <mergeCell ref="C37:E37"/>
    <mergeCell ref="A9:E9"/>
    <mergeCell ref="A10:E10"/>
    <mergeCell ref="A29:B29"/>
    <mergeCell ref="C29:E29"/>
    <mergeCell ref="C30:E30"/>
    <mergeCell ref="A8:E8"/>
    <mergeCell ref="A1:E1"/>
    <mergeCell ref="A2:E2"/>
    <mergeCell ref="A3:E3"/>
    <mergeCell ref="A6:E6"/>
    <mergeCell ref="A7:E7"/>
  </mergeCells>
  <printOptions horizontalCentered="1"/>
  <pageMargins left="0" right="0" top="0.5" bottom="0.75" header="0.5" footer="0.3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1"/>
  <sheetViews>
    <sheetView tabSelected="1" zoomScale="85" zoomScaleNormal="85" workbookViewId="0">
      <selection activeCell="A8" sqref="A8"/>
    </sheetView>
  </sheetViews>
  <sheetFormatPr baseColWidth="10" defaultColWidth="9.1640625" defaultRowHeight="14"/>
  <cols>
    <col min="1" max="1" width="8.33203125" style="66" customWidth="1"/>
    <col min="2" max="2" width="14.83203125" style="66" customWidth="1"/>
    <col min="3" max="3" width="15.6640625" style="66" customWidth="1"/>
    <col min="4" max="4" width="5.6640625" style="66" customWidth="1"/>
    <col min="5" max="5" width="9.83203125" style="66" customWidth="1"/>
    <col min="6" max="6" width="7.6640625" style="66" customWidth="1"/>
    <col min="7" max="7" width="10.33203125" style="66" customWidth="1"/>
    <col min="8" max="8" width="8.6640625" style="66" bestFit="1" customWidth="1"/>
    <col min="9" max="9" width="8.83203125" style="66" customWidth="1"/>
    <col min="10" max="10" width="14.83203125" style="66" customWidth="1"/>
    <col min="11" max="11" width="9" style="66" customWidth="1"/>
    <col min="12" max="12" width="12.5" style="66" customWidth="1"/>
    <col min="13" max="14" width="12.1640625" style="66" customWidth="1"/>
    <col min="15" max="15" width="20.6640625" style="66" customWidth="1"/>
    <col min="16" max="16" width="19.5" style="66" customWidth="1"/>
    <col min="17" max="17" width="13" style="66" customWidth="1"/>
    <col min="18" max="18" width="16.5" style="66" customWidth="1"/>
    <col min="19" max="19" width="12.33203125" style="66" customWidth="1"/>
    <col min="20" max="21" width="11.33203125" style="66" hidden="1" customWidth="1"/>
    <col min="22" max="16384" width="9.1640625" style="106"/>
  </cols>
  <sheetData>
    <row r="1" spans="1:52" s="101" customFormat="1" ht="30" customHeight="1">
      <c r="A1" s="38"/>
      <c r="B1" s="39" t="s">
        <v>62</v>
      </c>
      <c r="C1" s="39"/>
      <c r="D1" s="40"/>
      <c r="E1" s="40"/>
      <c r="F1" s="40"/>
      <c r="G1" s="40"/>
      <c r="H1" s="40"/>
      <c r="I1" s="40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52" s="101" customFormat="1" ht="21.75" customHeight="1">
      <c r="A2" s="38"/>
      <c r="B2" s="42" t="s">
        <v>188</v>
      </c>
      <c r="C2" s="42"/>
      <c r="D2" s="43"/>
      <c r="E2" s="43"/>
      <c r="F2" s="43"/>
      <c r="G2" s="43"/>
      <c r="H2" s="43"/>
      <c r="I2" s="43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52" s="101" customFormat="1" ht="21.75" customHeight="1">
      <c r="A3" s="38"/>
      <c r="B3" s="44" t="s">
        <v>34</v>
      </c>
      <c r="C3" s="44"/>
      <c r="D3" s="43"/>
      <c r="E3" s="43"/>
      <c r="F3" s="43"/>
      <c r="G3" s="43"/>
      <c r="H3" s="43"/>
      <c r="I3" s="43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</row>
    <row r="4" spans="1:52" s="47" customFormat="1" ht="9.75" customHeight="1">
      <c r="A4" s="45"/>
      <c r="B4" s="45"/>
      <c r="C4" s="45"/>
      <c r="D4" s="46"/>
      <c r="E4" s="46"/>
      <c r="F4" s="46"/>
      <c r="G4" s="46"/>
      <c r="H4" s="46"/>
      <c r="I4" s="46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</row>
    <row r="5" spans="1:52" s="47" customFormat="1" ht="24.75" customHeight="1">
      <c r="A5" s="163" t="s">
        <v>35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</row>
    <row r="6" spans="1:52" s="47" customFormat="1" ht="16">
      <c r="A6" s="164" t="s">
        <v>192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</row>
    <row r="7" spans="1:52" s="102" customFormat="1" ht="27" customHeight="1">
      <c r="A7" s="49" t="s">
        <v>197</v>
      </c>
      <c r="C7" s="49"/>
      <c r="D7" s="49"/>
      <c r="E7" s="49"/>
      <c r="F7" s="49"/>
      <c r="G7" s="49"/>
      <c r="H7" s="49"/>
      <c r="I7" s="49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</row>
    <row r="8" spans="1:52" s="102" customFormat="1" ht="19.5" customHeight="1">
      <c r="A8" s="44" t="s">
        <v>189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</row>
    <row r="9" spans="1:52" s="102" customFormat="1" ht="18.75" customHeight="1">
      <c r="A9" s="50" t="s">
        <v>36</v>
      </c>
      <c r="C9" s="50"/>
      <c r="D9" s="50"/>
      <c r="E9" s="50"/>
      <c r="F9" s="50"/>
      <c r="G9" s="50"/>
      <c r="H9" s="50"/>
      <c r="I9" s="50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</row>
    <row r="10" spans="1:52" s="47" customFormat="1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</row>
    <row r="11" spans="1:52" s="74" customFormat="1" ht="70.5" customHeight="1" thickBot="1">
      <c r="A11" s="52" t="s">
        <v>3</v>
      </c>
      <c r="B11" s="52" t="s">
        <v>75</v>
      </c>
      <c r="C11" s="52" t="s">
        <v>135</v>
      </c>
      <c r="D11" s="53" t="s">
        <v>22</v>
      </c>
      <c r="E11" s="53" t="s">
        <v>58</v>
      </c>
      <c r="F11" s="53" t="s">
        <v>23</v>
      </c>
      <c r="G11" s="53" t="s">
        <v>159</v>
      </c>
      <c r="H11" s="54" t="s">
        <v>170</v>
      </c>
      <c r="I11" s="54" t="s">
        <v>69</v>
      </c>
      <c r="J11" s="55" t="s">
        <v>37</v>
      </c>
      <c r="K11" s="55" t="s">
        <v>38</v>
      </c>
      <c r="L11" s="55" t="s">
        <v>173</v>
      </c>
      <c r="M11" s="55" t="s">
        <v>174</v>
      </c>
      <c r="N11" s="55" t="s">
        <v>175</v>
      </c>
      <c r="O11" s="55" t="s">
        <v>195</v>
      </c>
      <c r="P11" s="55" t="s">
        <v>196</v>
      </c>
      <c r="Q11" s="55" t="s">
        <v>176</v>
      </c>
      <c r="R11" s="55" t="s">
        <v>194</v>
      </c>
      <c r="S11" s="55" t="s">
        <v>177</v>
      </c>
      <c r="T11" s="55" t="s">
        <v>184</v>
      </c>
      <c r="U11" s="135" t="s">
        <v>168</v>
      </c>
      <c r="V11" s="136"/>
    </row>
    <row r="12" spans="1:52" s="117" customFormat="1" ht="55.5" customHeight="1" thickBot="1">
      <c r="A12" s="108">
        <v>1</v>
      </c>
      <c r="B12" s="109">
        <f>Estimate!B4</f>
        <v>1500064205</v>
      </c>
      <c r="C12" s="110" t="str">
        <f>+Estimate!C4</f>
        <v>Set Camera Tester</v>
      </c>
      <c r="D12" s="111">
        <f>Estimate!H4</f>
        <v>1</v>
      </c>
      <c r="E12" s="111">
        <f>Estimate!G4</f>
        <v>140</v>
      </c>
      <c r="F12" s="111">
        <f>Estimate!P4</f>
        <v>140</v>
      </c>
      <c r="G12" s="112">
        <f>Estimate!O4</f>
        <v>2.16</v>
      </c>
      <c r="H12" s="112">
        <f>Estimate!L4*Estimate!M4</f>
        <v>1.2</v>
      </c>
      <c r="I12" s="113"/>
      <c r="J12" s="114"/>
      <c r="K12" s="111"/>
      <c r="L12" s="115">
        <f>Estimate!AC4</f>
        <v>1436400</v>
      </c>
      <c r="M12" s="115">
        <f>Estimate!U4</f>
        <v>1944000.0000000002</v>
      </c>
      <c r="N12" s="116">
        <f>20000*D12</f>
        <v>20000</v>
      </c>
      <c r="O12" s="115">
        <f>250*F12</f>
        <v>35000</v>
      </c>
      <c r="P12" s="115">
        <f>250*F12</f>
        <v>35000</v>
      </c>
      <c r="Q12" s="116">
        <f t="shared" ref="Q12" si="0">40000*D12</f>
        <v>40000</v>
      </c>
      <c r="R12" s="160">
        <v>750000</v>
      </c>
      <c r="S12" s="160">
        <f>660000*1</f>
        <v>660000</v>
      </c>
      <c r="T12" s="115">
        <f>Estimate!AE4</f>
        <v>78000</v>
      </c>
      <c r="U12" s="115">
        <f>Estimate!AG4</f>
        <v>324000</v>
      </c>
      <c r="V12" s="141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</row>
    <row r="13" spans="1:52" s="117" customFormat="1" ht="55.5" customHeight="1" thickBot="1">
      <c r="A13" s="108">
        <v>2</v>
      </c>
      <c r="B13" s="109">
        <f>Estimate!B5</f>
        <v>1500067875</v>
      </c>
      <c r="C13" s="110" t="str">
        <f>+Estimate!C5</f>
        <v>Set Camera Tester</v>
      </c>
      <c r="D13" s="111">
        <f>Estimate!H5</f>
        <v>1</v>
      </c>
      <c r="E13" s="111">
        <f>Estimate!G5</f>
        <v>140</v>
      </c>
      <c r="F13" s="111">
        <f>Estimate!P5</f>
        <v>140</v>
      </c>
      <c r="G13" s="112">
        <f>Estimate!O5</f>
        <v>2.16</v>
      </c>
      <c r="H13" s="112">
        <f>Estimate!L5*Estimate!M5</f>
        <v>1.2</v>
      </c>
      <c r="I13" s="113"/>
      <c r="J13" s="114"/>
      <c r="K13" s="111"/>
      <c r="L13" s="115">
        <f>Estimate!AC5</f>
        <v>1436400</v>
      </c>
      <c r="M13" s="115">
        <f>Estimate!U5</f>
        <v>1944000.0000000002</v>
      </c>
      <c r="N13" s="116">
        <f t="shared" ref="N13:N15" si="1">20000*D13</f>
        <v>20000</v>
      </c>
      <c r="O13" s="115">
        <f t="shared" ref="O13:O15" si="2">250*F13</f>
        <v>35000</v>
      </c>
      <c r="P13" s="115">
        <f t="shared" ref="P13:P15" si="3">250*F13</f>
        <v>35000</v>
      </c>
      <c r="Q13" s="116">
        <f t="shared" ref="Q13:Q15" si="4">40000*D13</f>
        <v>40000</v>
      </c>
      <c r="R13" s="161"/>
      <c r="S13" s="161"/>
      <c r="T13" s="115">
        <f>Estimate!AE5</f>
        <v>78000</v>
      </c>
      <c r="U13" s="115">
        <f>Estimate!AG5</f>
        <v>324000</v>
      </c>
      <c r="V13" s="141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</row>
    <row r="14" spans="1:52" s="117" customFormat="1" ht="55.5" customHeight="1" thickBot="1">
      <c r="A14" s="108">
        <v>3</v>
      </c>
      <c r="B14" s="109">
        <f>Estimate!B6</f>
        <v>1500063106</v>
      </c>
      <c r="C14" s="110" t="str">
        <f>+Estimate!C6</f>
        <v>Set Camera Tester</v>
      </c>
      <c r="D14" s="111">
        <f>Estimate!H6</f>
        <v>1</v>
      </c>
      <c r="E14" s="111">
        <f>Estimate!G6</f>
        <v>140</v>
      </c>
      <c r="F14" s="111">
        <f>Estimate!P6</f>
        <v>140</v>
      </c>
      <c r="G14" s="112">
        <f>Estimate!O6</f>
        <v>2.16</v>
      </c>
      <c r="H14" s="112">
        <f>Estimate!L6*Estimate!M6</f>
        <v>1.2</v>
      </c>
      <c r="I14" s="113"/>
      <c r="J14" s="114"/>
      <c r="K14" s="111"/>
      <c r="L14" s="115">
        <f>Estimate!AC6</f>
        <v>1436400</v>
      </c>
      <c r="M14" s="115">
        <f>Estimate!U6</f>
        <v>1944000.0000000002</v>
      </c>
      <c r="N14" s="116">
        <f t="shared" ref="N14" si="5">20000*D14</f>
        <v>20000</v>
      </c>
      <c r="O14" s="115">
        <f t="shared" si="2"/>
        <v>35000</v>
      </c>
      <c r="P14" s="115">
        <f t="shared" si="3"/>
        <v>35000</v>
      </c>
      <c r="Q14" s="116">
        <f t="shared" ref="Q14" si="6">40000*D14</f>
        <v>40000</v>
      </c>
      <c r="R14" s="161"/>
      <c r="S14" s="161"/>
      <c r="T14" s="115">
        <f>Estimate!AE6</f>
        <v>78000</v>
      </c>
      <c r="U14" s="115">
        <f>Estimate!AG6</f>
        <v>324000</v>
      </c>
      <c r="V14" s="141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</row>
    <row r="15" spans="1:52" s="117" customFormat="1" ht="55.5" customHeight="1" thickBot="1">
      <c r="A15" s="126">
        <v>4</v>
      </c>
      <c r="B15" s="127">
        <f>Estimate!B7</f>
        <v>1500063105</v>
      </c>
      <c r="C15" s="128" t="str">
        <f>+Estimate!C7</f>
        <v>Set Camera Tester</v>
      </c>
      <c r="D15" s="129">
        <f>Estimate!H7</f>
        <v>1</v>
      </c>
      <c r="E15" s="129">
        <f>Estimate!G7</f>
        <v>140</v>
      </c>
      <c r="F15" s="129">
        <f>Estimate!P7</f>
        <v>140</v>
      </c>
      <c r="G15" s="130">
        <f>Estimate!O7</f>
        <v>2.16</v>
      </c>
      <c r="H15" s="130">
        <f>Estimate!L7*Estimate!M7</f>
        <v>1.2</v>
      </c>
      <c r="I15" s="131"/>
      <c r="J15" s="132"/>
      <c r="K15" s="129"/>
      <c r="L15" s="115">
        <f>Estimate!AC7</f>
        <v>1436400</v>
      </c>
      <c r="M15" s="115">
        <f>Estimate!U7</f>
        <v>1944000.0000000002</v>
      </c>
      <c r="N15" s="116">
        <f t="shared" si="1"/>
        <v>20000</v>
      </c>
      <c r="O15" s="115">
        <f t="shared" si="2"/>
        <v>35000</v>
      </c>
      <c r="P15" s="115">
        <f t="shared" si="3"/>
        <v>35000</v>
      </c>
      <c r="Q15" s="116">
        <f t="shared" si="4"/>
        <v>40000</v>
      </c>
      <c r="R15" s="167"/>
      <c r="S15" s="161"/>
      <c r="T15" s="115">
        <f>Estimate!AE7</f>
        <v>78000</v>
      </c>
      <c r="U15" s="115">
        <f>Estimate!AG7</f>
        <v>324000</v>
      </c>
      <c r="V15" s="141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</row>
    <row r="16" spans="1:52" s="103" customFormat="1" ht="30" customHeight="1">
      <c r="A16" s="165" t="s">
        <v>39</v>
      </c>
      <c r="B16" s="165"/>
      <c r="C16" s="133"/>
      <c r="D16" s="134">
        <f t="shared" ref="D16:U16" si="7">SUM(D12:D15)</f>
        <v>4</v>
      </c>
      <c r="E16" s="134">
        <f t="shared" si="7"/>
        <v>560</v>
      </c>
      <c r="F16" s="134">
        <f t="shared" si="7"/>
        <v>560</v>
      </c>
      <c r="G16" s="143">
        <f t="shared" si="7"/>
        <v>8.64</v>
      </c>
      <c r="H16" s="143">
        <f t="shared" si="7"/>
        <v>4.8</v>
      </c>
      <c r="I16" s="134">
        <f t="shared" si="7"/>
        <v>0</v>
      </c>
      <c r="J16" s="134">
        <f t="shared" si="7"/>
        <v>0</v>
      </c>
      <c r="K16" s="134">
        <f t="shared" si="7"/>
        <v>0</v>
      </c>
      <c r="L16" s="139">
        <f t="shared" si="7"/>
        <v>5745600</v>
      </c>
      <c r="M16" s="140">
        <f t="shared" si="7"/>
        <v>7776000.0000000009</v>
      </c>
      <c r="N16" s="139">
        <f t="shared" si="7"/>
        <v>80000</v>
      </c>
      <c r="O16" s="139">
        <f t="shared" si="7"/>
        <v>140000</v>
      </c>
      <c r="P16" s="139">
        <f t="shared" si="7"/>
        <v>140000</v>
      </c>
      <c r="Q16" s="139">
        <f t="shared" si="7"/>
        <v>160000</v>
      </c>
      <c r="R16" s="139">
        <f t="shared" si="7"/>
        <v>750000</v>
      </c>
      <c r="S16" s="139">
        <f>SUM(S12:S15)</f>
        <v>660000</v>
      </c>
      <c r="T16" s="124">
        <f t="shared" si="7"/>
        <v>312000</v>
      </c>
      <c r="U16" s="124">
        <f t="shared" si="7"/>
        <v>1296000</v>
      </c>
    </row>
    <row r="17" spans="1:21" s="47" customFormat="1" ht="21.75" customHeight="1">
      <c r="A17" s="56" t="s">
        <v>40</v>
      </c>
      <c r="B17" s="56"/>
      <c r="C17" s="56"/>
      <c r="D17" s="63"/>
      <c r="E17" s="56"/>
      <c r="F17" s="166">
        <f>SUM(L16:S16)</f>
        <v>15451600</v>
      </c>
      <c r="G17" s="166"/>
      <c r="H17" s="166"/>
      <c r="I17" s="57" t="s">
        <v>41</v>
      </c>
      <c r="J17" s="58"/>
      <c r="K17" s="58"/>
      <c r="L17" s="59"/>
      <c r="M17" s="59"/>
      <c r="N17" s="59"/>
      <c r="O17" s="59"/>
      <c r="P17" s="59"/>
      <c r="Q17" s="59"/>
      <c r="R17" s="59"/>
      <c r="S17" s="59"/>
      <c r="T17" s="59"/>
      <c r="U17" s="59"/>
    </row>
    <row r="18" spans="1:21" s="104" customFormat="1" ht="16" hidden="1">
      <c r="A18" s="60"/>
      <c r="B18" s="56"/>
      <c r="C18" s="56"/>
      <c r="D18" s="61"/>
      <c r="E18" s="61"/>
      <c r="F18" s="61"/>
      <c r="G18" s="61"/>
      <c r="H18" s="61"/>
      <c r="I18" s="61"/>
      <c r="J18" s="58"/>
      <c r="K18" s="58"/>
      <c r="L18" s="62"/>
      <c r="M18" s="62"/>
      <c r="N18" s="62"/>
      <c r="O18" s="62"/>
      <c r="P18" s="62"/>
      <c r="Q18" s="62"/>
      <c r="R18" s="62"/>
      <c r="S18" s="62"/>
      <c r="T18" s="62"/>
      <c r="U18" s="62"/>
    </row>
    <row r="19" spans="1:21" s="105" customFormat="1" ht="16" hidden="1">
      <c r="A19" s="63"/>
      <c r="B19" s="63"/>
      <c r="C19" s="63"/>
      <c r="D19" s="63"/>
      <c r="E19" s="63"/>
      <c r="F19" s="162"/>
      <c r="G19" s="162"/>
      <c r="H19" s="162"/>
      <c r="I19" s="63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</row>
    <row r="20" spans="1:21" s="105" customFormat="1" ht="16">
      <c r="A20" s="63"/>
      <c r="B20" s="63"/>
      <c r="C20" s="63"/>
      <c r="D20" s="63"/>
      <c r="E20" s="63"/>
      <c r="F20" s="63"/>
      <c r="G20" s="63"/>
      <c r="H20" s="64"/>
      <c r="I20" s="63"/>
      <c r="J20" s="63"/>
      <c r="K20" s="63"/>
      <c r="L20" s="65"/>
      <c r="M20" s="65"/>
      <c r="N20" s="65"/>
      <c r="O20" s="65"/>
      <c r="P20" s="65"/>
      <c r="Q20" s="65"/>
      <c r="R20" s="65"/>
      <c r="S20" s="65"/>
      <c r="T20" s="65"/>
      <c r="U20" s="65"/>
    </row>
    <row r="21" spans="1:21">
      <c r="F21" s="67"/>
      <c r="G21" s="67"/>
      <c r="H21" s="67"/>
      <c r="J21" s="159" t="s">
        <v>190</v>
      </c>
      <c r="K21" s="159"/>
      <c r="L21" s="67"/>
      <c r="M21" s="67"/>
      <c r="N21" s="67"/>
      <c r="O21" s="67"/>
      <c r="P21" s="67"/>
      <c r="Q21" s="67"/>
      <c r="R21" s="67"/>
      <c r="S21" s="67"/>
      <c r="T21" s="67"/>
      <c r="U21" s="67"/>
    </row>
  </sheetData>
  <mergeCells count="8">
    <mergeCell ref="J21:K21"/>
    <mergeCell ref="S12:S15"/>
    <mergeCell ref="F19:H19"/>
    <mergeCell ref="A5:R5"/>
    <mergeCell ref="A6:R6"/>
    <mergeCell ref="A16:B16"/>
    <mergeCell ref="F17:H17"/>
    <mergeCell ref="R12:R15"/>
  </mergeCells>
  <conditionalFormatting sqref="A16">
    <cfRule type="expression" dxfId="0" priority="1" stopIfTrue="1">
      <formula>COUNTIF(#REF!,A16)&gt;1</formula>
    </cfRule>
  </conditionalFormatting>
  <printOptions horizontalCentered="1"/>
  <pageMargins left="0.25" right="0.25" top="0.75" bottom="0.75" header="0.3" footer="0.3"/>
  <pageSetup paperSize="9" scale="8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1"/>
  <sheetViews>
    <sheetView zoomScale="85" zoomScaleNormal="85" workbookViewId="0">
      <selection activeCell="I25" sqref="I25"/>
    </sheetView>
  </sheetViews>
  <sheetFormatPr baseColWidth="10" defaultColWidth="8.83203125" defaultRowHeight="15"/>
  <cols>
    <col min="1" max="1" width="6.5" customWidth="1"/>
    <col min="2" max="2" width="13.83203125" customWidth="1"/>
    <col min="3" max="3" width="21" customWidth="1"/>
    <col min="5" max="5" width="10.83203125" bestFit="1" customWidth="1"/>
    <col min="10" max="10" width="13.83203125" customWidth="1"/>
    <col min="11" max="11" width="10.33203125" hidden="1" customWidth="1"/>
    <col min="15" max="15" width="9"/>
    <col min="16" max="16" width="11.33203125" customWidth="1"/>
    <col min="17" max="17" width="11" customWidth="1"/>
    <col min="18" max="18" width="12.5" customWidth="1"/>
    <col min="19" max="19" width="16.5" customWidth="1"/>
    <col min="20" max="20" width="11.1640625" customWidth="1"/>
    <col min="21" max="21" width="14.5" customWidth="1"/>
    <col min="22" max="22" width="12.83203125" hidden="1" customWidth="1"/>
    <col min="23" max="23" width="15.33203125" hidden="1" customWidth="1"/>
    <col min="24" max="24" width="11.33203125" hidden="1" customWidth="1"/>
    <col min="25" max="25" width="13.83203125" hidden="1" customWidth="1"/>
    <col min="26" max="26" width="12.83203125" hidden="1" customWidth="1"/>
    <col min="27" max="27" width="14.33203125" hidden="1" customWidth="1"/>
    <col min="28" max="28" width="13" customWidth="1"/>
    <col min="29" max="29" width="14.33203125" customWidth="1"/>
    <col min="30" max="30" width="17.6640625" hidden="1" customWidth="1"/>
    <col min="31" max="31" width="15.83203125" hidden="1" customWidth="1"/>
    <col min="32" max="32" width="17.6640625" hidden="1" customWidth="1"/>
    <col min="33" max="33" width="15.83203125" hidden="1" customWidth="1"/>
  </cols>
  <sheetData>
    <row r="1" spans="1:33" s="21" customFormat="1" ht="34">
      <c r="A1" s="68"/>
      <c r="B1" s="68"/>
      <c r="C1" s="68"/>
      <c r="D1" s="68"/>
      <c r="E1" s="68"/>
      <c r="F1" s="68"/>
      <c r="G1" s="68"/>
      <c r="H1" s="68"/>
      <c r="I1" s="68"/>
      <c r="J1" s="68"/>
      <c r="K1" s="68" t="s">
        <v>42</v>
      </c>
      <c r="L1" s="69"/>
    </row>
    <row r="2" spans="1:33" s="21" customFormat="1" ht="15.75" customHeight="1">
      <c r="A2" s="168" t="s">
        <v>24</v>
      </c>
      <c r="B2" s="169" t="s">
        <v>74</v>
      </c>
      <c r="C2" s="169" t="s">
        <v>145</v>
      </c>
      <c r="D2" s="170" t="s">
        <v>43</v>
      </c>
      <c r="E2" s="170"/>
      <c r="F2" s="170"/>
      <c r="G2" s="170"/>
      <c r="H2" s="168" t="s">
        <v>44</v>
      </c>
      <c r="I2" s="70"/>
      <c r="J2" s="168" t="s">
        <v>45</v>
      </c>
      <c r="K2" s="168" t="s">
        <v>46</v>
      </c>
      <c r="L2" s="170" t="s">
        <v>47</v>
      </c>
      <c r="M2" s="170"/>
      <c r="N2" s="170"/>
      <c r="O2" s="170"/>
      <c r="P2" s="170"/>
      <c r="Q2" s="170"/>
      <c r="R2" s="170"/>
      <c r="S2" s="170"/>
      <c r="T2" s="168" t="s">
        <v>48</v>
      </c>
      <c r="U2" s="168"/>
      <c r="V2" s="168" t="s">
        <v>49</v>
      </c>
      <c r="W2" s="168"/>
      <c r="X2" s="168" t="s">
        <v>50</v>
      </c>
      <c r="Y2" s="168"/>
      <c r="Z2" s="168" t="s">
        <v>51</v>
      </c>
      <c r="AA2" s="168"/>
      <c r="AB2" s="168" t="s">
        <v>161</v>
      </c>
      <c r="AC2" s="168"/>
      <c r="AD2" s="168" t="s">
        <v>179</v>
      </c>
      <c r="AE2" s="168"/>
      <c r="AF2" s="168" t="s">
        <v>180</v>
      </c>
      <c r="AG2" s="168"/>
    </row>
    <row r="3" spans="1:33" s="21" customFormat="1" ht="34">
      <c r="A3" s="168" t="s">
        <v>52</v>
      </c>
      <c r="B3" s="169"/>
      <c r="C3" s="169"/>
      <c r="D3" s="70" t="s">
        <v>53</v>
      </c>
      <c r="E3" s="70" t="s">
        <v>25</v>
      </c>
      <c r="F3" s="70" t="s">
        <v>26</v>
      </c>
      <c r="G3" s="70" t="s">
        <v>134</v>
      </c>
      <c r="H3" s="168"/>
      <c r="I3" s="70" t="s">
        <v>163</v>
      </c>
      <c r="J3" s="168"/>
      <c r="K3" s="168"/>
      <c r="L3" s="70" t="s">
        <v>53</v>
      </c>
      <c r="M3" s="70" t="s">
        <v>25</v>
      </c>
      <c r="N3" s="70" t="s">
        <v>26</v>
      </c>
      <c r="O3" s="122" t="s">
        <v>45</v>
      </c>
      <c r="P3" s="70" t="s">
        <v>54</v>
      </c>
      <c r="Q3" s="70" t="s">
        <v>162</v>
      </c>
      <c r="R3" s="70" t="s">
        <v>164</v>
      </c>
      <c r="S3" s="70" t="s">
        <v>46</v>
      </c>
      <c r="T3" s="70" t="s">
        <v>55</v>
      </c>
      <c r="U3" s="70" t="s">
        <v>56</v>
      </c>
      <c r="V3" s="70" t="s">
        <v>55</v>
      </c>
      <c r="W3" s="70" t="s">
        <v>56</v>
      </c>
      <c r="X3" s="70" t="s">
        <v>55</v>
      </c>
      <c r="Y3" s="70" t="s">
        <v>56</v>
      </c>
      <c r="Z3" s="70" t="s">
        <v>55</v>
      </c>
      <c r="AA3" s="70" t="s">
        <v>56</v>
      </c>
      <c r="AB3" s="70" t="s">
        <v>55</v>
      </c>
      <c r="AC3" s="70" t="s">
        <v>56</v>
      </c>
      <c r="AD3" s="70" t="s">
        <v>55</v>
      </c>
      <c r="AE3" s="70" t="s">
        <v>56</v>
      </c>
      <c r="AF3" s="70" t="s">
        <v>55</v>
      </c>
      <c r="AG3" s="70" t="s">
        <v>56</v>
      </c>
    </row>
    <row r="4" spans="1:33" s="21" customFormat="1" ht="33" customHeight="1">
      <c r="A4" s="118">
        <v>1</v>
      </c>
      <c r="B4" s="118">
        <v>1500064205</v>
      </c>
      <c r="C4" s="118" t="s">
        <v>191</v>
      </c>
      <c r="D4" s="118">
        <v>0.9</v>
      </c>
      <c r="E4" s="118">
        <v>0.7</v>
      </c>
      <c r="F4" s="118">
        <v>1.5</v>
      </c>
      <c r="G4" s="119">
        <v>140</v>
      </c>
      <c r="H4" s="118">
        <v>1</v>
      </c>
      <c r="I4" s="118">
        <f>G4*H4</f>
        <v>140</v>
      </c>
      <c r="J4" s="120">
        <f>D4*E4*F4</f>
        <v>0.94500000000000006</v>
      </c>
      <c r="K4" s="120">
        <f>J4*H4</f>
        <v>0.94500000000000006</v>
      </c>
      <c r="L4" s="118">
        <f>D4+0.3</f>
        <v>1.2</v>
      </c>
      <c r="M4" s="118">
        <f t="shared" ref="M4" si="0">E4+0.3</f>
        <v>1</v>
      </c>
      <c r="N4" s="118">
        <f t="shared" ref="N4" si="1">F4+0.3</f>
        <v>1.8</v>
      </c>
      <c r="O4" s="120">
        <f>L4*M4*N4</f>
        <v>2.16</v>
      </c>
      <c r="P4" s="119">
        <v>140</v>
      </c>
      <c r="Q4" s="118">
        <f>H4</f>
        <v>1</v>
      </c>
      <c r="R4" s="118">
        <f>P4*Q4</f>
        <v>140</v>
      </c>
      <c r="S4" s="95">
        <f>O4*Q4</f>
        <v>2.16</v>
      </c>
      <c r="T4" s="125">
        <f>900000</f>
        <v>900000</v>
      </c>
      <c r="U4" s="96">
        <f t="shared" ref="U4:U7" si="2">S4*T4</f>
        <v>1944000.0000000002</v>
      </c>
      <c r="V4" s="97"/>
      <c r="W4" s="97" t="e">
        <f>#REF!*V4</f>
        <v>#REF!</v>
      </c>
      <c r="X4" s="97"/>
      <c r="Y4" s="97">
        <f>U4*X4</f>
        <v>0</v>
      </c>
      <c r="Z4" s="97"/>
      <c r="AA4" s="97" t="e">
        <f>W4*Z4</f>
        <v>#REF!</v>
      </c>
      <c r="AB4" s="96">
        <v>665000</v>
      </c>
      <c r="AC4" s="96">
        <f>AB4*S4</f>
        <v>1436400</v>
      </c>
      <c r="AD4" s="96">
        <v>65000</v>
      </c>
      <c r="AE4" s="96">
        <f>+AD4*L4*M4</f>
        <v>78000</v>
      </c>
      <c r="AF4" s="96">
        <v>150000</v>
      </c>
      <c r="AG4" s="96">
        <f>AF4*O4</f>
        <v>324000</v>
      </c>
    </row>
    <row r="5" spans="1:33" s="21" customFormat="1" ht="33" customHeight="1">
      <c r="A5" s="118">
        <v>2</v>
      </c>
      <c r="B5" s="118">
        <v>1500067875</v>
      </c>
      <c r="C5" s="118" t="s">
        <v>191</v>
      </c>
      <c r="D5" s="118">
        <v>0.9</v>
      </c>
      <c r="E5" s="118">
        <v>0.7</v>
      </c>
      <c r="F5" s="118">
        <v>1.5</v>
      </c>
      <c r="G5" s="119">
        <v>140</v>
      </c>
      <c r="H5" s="118">
        <v>1</v>
      </c>
      <c r="I5" s="118">
        <f>G5*H5</f>
        <v>140</v>
      </c>
      <c r="J5" s="120">
        <f t="shared" ref="J5:J7" si="3">D5*E5*F5</f>
        <v>0.94500000000000006</v>
      </c>
      <c r="K5" s="120">
        <f t="shared" ref="K5:K7" si="4">J5*H5</f>
        <v>0.94500000000000006</v>
      </c>
      <c r="L5" s="118">
        <f t="shared" ref="L5:L7" si="5">D5+0.3</f>
        <v>1.2</v>
      </c>
      <c r="M5" s="118">
        <f t="shared" ref="M5:M7" si="6">E5+0.3</f>
        <v>1</v>
      </c>
      <c r="N5" s="118">
        <f t="shared" ref="N5:N7" si="7">F5+0.3</f>
        <v>1.8</v>
      </c>
      <c r="O5" s="120">
        <f t="shared" ref="O5:O7" si="8">L5*M5*N5</f>
        <v>2.16</v>
      </c>
      <c r="P5" s="119">
        <v>140</v>
      </c>
      <c r="Q5" s="118">
        <f t="shared" ref="Q5:Q7" si="9">H5</f>
        <v>1</v>
      </c>
      <c r="R5" s="118">
        <f t="shared" ref="R5:R7" si="10">P5*Q5</f>
        <v>140</v>
      </c>
      <c r="S5" s="95">
        <f t="shared" ref="S5:S7" si="11">O5*Q5</f>
        <v>2.16</v>
      </c>
      <c r="T5" s="125">
        <f>900000</f>
        <v>900000</v>
      </c>
      <c r="U5" s="96">
        <f t="shared" si="2"/>
        <v>1944000.0000000002</v>
      </c>
      <c r="V5" s="97"/>
      <c r="W5" s="97" t="e">
        <f>#REF!*V5</f>
        <v>#REF!</v>
      </c>
      <c r="X5" s="97"/>
      <c r="Y5" s="97">
        <f t="shared" ref="Y5:Y7" si="12">U5*X5</f>
        <v>0</v>
      </c>
      <c r="Z5" s="97"/>
      <c r="AA5" s="97" t="e">
        <f t="shared" ref="AA5:AA7" si="13">W5*Z5</f>
        <v>#REF!</v>
      </c>
      <c r="AB5" s="96">
        <v>665000</v>
      </c>
      <c r="AC5" s="96">
        <f t="shared" ref="AC5:AC7" si="14">AB5*S5</f>
        <v>1436400</v>
      </c>
      <c r="AD5" s="96">
        <v>65000</v>
      </c>
      <c r="AE5" s="96">
        <f t="shared" ref="AE5:AE7" si="15">+AD5*L5*M5</f>
        <v>78000</v>
      </c>
      <c r="AF5" s="96">
        <v>150000</v>
      </c>
      <c r="AG5" s="96">
        <f t="shared" ref="AG5:AG7" si="16">AF5*O5</f>
        <v>324000</v>
      </c>
    </row>
    <row r="6" spans="1:33" s="21" customFormat="1" ht="33" customHeight="1">
      <c r="A6" s="118">
        <v>3</v>
      </c>
      <c r="B6" s="118">
        <v>1500063106</v>
      </c>
      <c r="C6" s="118" t="s">
        <v>191</v>
      </c>
      <c r="D6" s="118">
        <v>0.9</v>
      </c>
      <c r="E6" s="118">
        <v>0.7</v>
      </c>
      <c r="F6" s="118">
        <v>1.5</v>
      </c>
      <c r="G6" s="119">
        <v>140</v>
      </c>
      <c r="H6" s="118">
        <v>1</v>
      </c>
      <c r="I6" s="118">
        <f t="shared" ref="I6" si="17">G6*H6</f>
        <v>140</v>
      </c>
      <c r="J6" s="120">
        <f t="shared" ref="J6" si="18">D6*E6*F6</f>
        <v>0.94500000000000006</v>
      </c>
      <c r="K6" s="120">
        <f t="shared" ref="K6" si="19">J6*H6</f>
        <v>0.94500000000000006</v>
      </c>
      <c r="L6" s="118">
        <f t="shared" ref="L6" si="20">D6+0.3</f>
        <v>1.2</v>
      </c>
      <c r="M6" s="118">
        <f t="shared" ref="M6" si="21">E6+0.3</f>
        <v>1</v>
      </c>
      <c r="N6" s="118">
        <f t="shared" ref="N6" si="22">F6+0.3</f>
        <v>1.8</v>
      </c>
      <c r="O6" s="120">
        <f t="shared" ref="O6" si="23">L6*M6*N6</f>
        <v>2.16</v>
      </c>
      <c r="P6" s="119">
        <v>140</v>
      </c>
      <c r="Q6" s="118">
        <f t="shared" ref="Q6" si="24">H6</f>
        <v>1</v>
      </c>
      <c r="R6" s="118">
        <f t="shared" ref="R6" si="25">P6*Q6</f>
        <v>140</v>
      </c>
      <c r="S6" s="95">
        <f t="shared" ref="S6" si="26">O6*Q6</f>
        <v>2.16</v>
      </c>
      <c r="T6" s="125">
        <f t="shared" ref="T6:T7" si="27">900000</f>
        <v>900000</v>
      </c>
      <c r="U6" s="96">
        <f t="shared" si="2"/>
        <v>1944000.0000000002</v>
      </c>
      <c r="V6" s="97"/>
      <c r="W6" s="97" t="e">
        <f>#REF!*V6</f>
        <v>#REF!</v>
      </c>
      <c r="X6" s="97"/>
      <c r="Y6" s="97">
        <f t="shared" ref="Y6" si="28">U6*X6</f>
        <v>0</v>
      </c>
      <c r="Z6" s="97"/>
      <c r="AA6" s="97" t="e">
        <f t="shared" ref="AA6" si="29">W6*Z6</f>
        <v>#REF!</v>
      </c>
      <c r="AB6" s="96">
        <v>665000</v>
      </c>
      <c r="AC6" s="96">
        <f t="shared" ref="AC6" si="30">AB6*S6</f>
        <v>1436400</v>
      </c>
      <c r="AD6" s="96">
        <v>65000</v>
      </c>
      <c r="AE6" s="96">
        <f t="shared" ref="AE6" si="31">+AD6*L6*M6</f>
        <v>78000</v>
      </c>
      <c r="AF6" s="96">
        <v>150000</v>
      </c>
      <c r="AG6" s="96">
        <f t="shared" ref="AG6" si="32">AF6*O6</f>
        <v>324000</v>
      </c>
    </row>
    <row r="7" spans="1:33" s="21" customFormat="1" ht="33" customHeight="1">
      <c r="A7" s="118">
        <v>4</v>
      </c>
      <c r="B7" s="118">
        <v>1500063105</v>
      </c>
      <c r="C7" s="118" t="s">
        <v>191</v>
      </c>
      <c r="D7" s="118">
        <v>0.9</v>
      </c>
      <c r="E7" s="118">
        <v>0.7</v>
      </c>
      <c r="F7" s="118">
        <v>1.5</v>
      </c>
      <c r="G7" s="119">
        <v>140</v>
      </c>
      <c r="H7" s="118">
        <v>1</v>
      </c>
      <c r="I7" s="118">
        <f t="shared" ref="I7" si="33">G7*H7</f>
        <v>140</v>
      </c>
      <c r="J7" s="120">
        <f t="shared" si="3"/>
        <v>0.94500000000000006</v>
      </c>
      <c r="K7" s="120">
        <f t="shared" si="4"/>
        <v>0.94500000000000006</v>
      </c>
      <c r="L7" s="118">
        <f t="shared" si="5"/>
        <v>1.2</v>
      </c>
      <c r="M7" s="118">
        <f t="shared" si="6"/>
        <v>1</v>
      </c>
      <c r="N7" s="118">
        <f t="shared" si="7"/>
        <v>1.8</v>
      </c>
      <c r="O7" s="120">
        <f t="shared" si="8"/>
        <v>2.16</v>
      </c>
      <c r="P7" s="119">
        <v>140</v>
      </c>
      <c r="Q7" s="118">
        <f t="shared" si="9"/>
        <v>1</v>
      </c>
      <c r="R7" s="118">
        <f t="shared" si="10"/>
        <v>140</v>
      </c>
      <c r="S7" s="95">
        <f t="shared" si="11"/>
        <v>2.16</v>
      </c>
      <c r="T7" s="125">
        <f t="shared" si="27"/>
        <v>900000</v>
      </c>
      <c r="U7" s="96">
        <f t="shared" si="2"/>
        <v>1944000.0000000002</v>
      </c>
      <c r="V7" s="97"/>
      <c r="W7" s="97" t="e">
        <f>#REF!*V7</f>
        <v>#REF!</v>
      </c>
      <c r="X7" s="97"/>
      <c r="Y7" s="97">
        <f t="shared" si="12"/>
        <v>0</v>
      </c>
      <c r="Z7" s="97"/>
      <c r="AA7" s="97" t="e">
        <f t="shared" si="13"/>
        <v>#REF!</v>
      </c>
      <c r="AB7" s="96">
        <v>665000</v>
      </c>
      <c r="AC7" s="96">
        <f t="shared" si="14"/>
        <v>1436400</v>
      </c>
      <c r="AD7" s="96">
        <v>65000</v>
      </c>
      <c r="AE7" s="96">
        <f t="shared" si="15"/>
        <v>78000</v>
      </c>
      <c r="AF7" s="96">
        <v>150000</v>
      </c>
      <c r="AG7" s="96">
        <f t="shared" si="16"/>
        <v>324000</v>
      </c>
    </row>
    <row r="8" spans="1:33" s="73" customFormat="1" ht="17">
      <c r="A8" s="71"/>
      <c r="B8" s="72" t="s">
        <v>57</v>
      </c>
      <c r="C8" s="72"/>
      <c r="D8" s="71"/>
      <c r="E8" s="71"/>
      <c r="F8" s="71"/>
      <c r="G8" s="100">
        <f>SUM(G4:G7)</f>
        <v>560</v>
      </c>
      <c r="H8" s="71">
        <f>SUM(H4:H7)</f>
        <v>4</v>
      </c>
      <c r="I8" s="71">
        <f>SUM(I4:I7)</f>
        <v>560</v>
      </c>
      <c r="J8" s="98">
        <f>SUM(J4:J7)</f>
        <v>3.7800000000000002</v>
      </c>
      <c r="K8" s="71">
        <f>SUM(K4:K4)</f>
        <v>0.94500000000000006</v>
      </c>
      <c r="L8" s="71">
        <f t="shared" ref="L8:S8" si="34">SUM(L4:L7)</f>
        <v>4.8</v>
      </c>
      <c r="M8" s="71">
        <f t="shared" si="34"/>
        <v>4</v>
      </c>
      <c r="N8" s="71">
        <f t="shared" si="34"/>
        <v>7.2</v>
      </c>
      <c r="O8" s="98">
        <f t="shared" si="34"/>
        <v>8.64</v>
      </c>
      <c r="P8" s="98">
        <f t="shared" si="34"/>
        <v>560</v>
      </c>
      <c r="Q8" s="98">
        <f t="shared" si="34"/>
        <v>4</v>
      </c>
      <c r="R8" s="98">
        <f t="shared" si="34"/>
        <v>560</v>
      </c>
      <c r="S8" s="71">
        <f t="shared" si="34"/>
        <v>8.64</v>
      </c>
      <c r="T8" s="98"/>
      <c r="U8" s="99">
        <f>SUM(U4:U7)</f>
        <v>7776000.0000000009</v>
      </c>
      <c r="V8" s="99">
        <f t="shared" ref="V8:AA8" si="35">SUM(V4:V4)</f>
        <v>0</v>
      </c>
      <c r="W8" s="99" t="e">
        <f t="shared" si="35"/>
        <v>#REF!</v>
      </c>
      <c r="X8" s="99">
        <f t="shared" si="35"/>
        <v>0</v>
      </c>
      <c r="Y8" s="99">
        <f t="shared" si="35"/>
        <v>0</v>
      </c>
      <c r="Z8" s="99">
        <f t="shared" si="35"/>
        <v>0</v>
      </c>
      <c r="AA8" s="99" t="e">
        <f t="shared" si="35"/>
        <v>#REF!</v>
      </c>
      <c r="AB8" s="99"/>
      <c r="AC8" s="99">
        <f>SUM(AC4:AC7)</f>
        <v>5745600</v>
      </c>
      <c r="AD8" s="99"/>
      <c r="AE8" s="99">
        <f>SUM(AE4:AE7)</f>
        <v>312000</v>
      </c>
      <c r="AF8" s="99"/>
      <c r="AG8" s="99">
        <f>SUM(AG4:AG7)</f>
        <v>1296000</v>
      </c>
    </row>
    <row r="9" spans="1:33" ht="16">
      <c r="I9" s="107"/>
    </row>
    <row r="11" spans="1:33">
      <c r="U11" s="75"/>
      <c r="AC11" s="75"/>
      <c r="AE11" s="75"/>
      <c r="AG11" s="75"/>
    </row>
  </sheetData>
  <mergeCells count="15">
    <mergeCell ref="AD2:AE2"/>
    <mergeCell ref="AF2:AG2"/>
    <mergeCell ref="AB2:AC2"/>
    <mergeCell ref="Z2:AA2"/>
    <mergeCell ref="A2:A3"/>
    <mergeCell ref="B2:B3"/>
    <mergeCell ref="H2:H3"/>
    <mergeCell ref="J2:J3"/>
    <mergeCell ref="K2:K3"/>
    <mergeCell ref="L2:S2"/>
    <mergeCell ref="T2:U2"/>
    <mergeCell ref="V2:W2"/>
    <mergeCell ref="X2:Y2"/>
    <mergeCell ref="C2:C3"/>
    <mergeCell ref="D2:G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2"/>
  <sheetViews>
    <sheetView topLeftCell="D2" workbookViewId="0">
      <selection activeCell="D2" sqref="D2:D3"/>
    </sheetView>
  </sheetViews>
  <sheetFormatPr baseColWidth="10" defaultColWidth="8.83203125" defaultRowHeight="15"/>
  <cols>
    <col min="1" max="1" width="23.33203125" customWidth="1"/>
    <col min="2" max="2" width="21.6640625" customWidth="1"/>
    <col min="3" max="3" width="19.83203125" customWidth="1"/>
    <col min="4" max="4" width="13.6640625" customWidth="1"/>
    <col min="7" max="7" width="24.83203125" customWidth="1"/>
    <col min="9" max="9" width="13.1640625" customWidth="1"/>
    <col min="11" max="11" width="16.6640625" customWidth="1"/>
  </cols>
  <sheetData>
    <row r="1" spans="1:17" ht="16" thickBot="1">
      <c r="A1" t="s">
        <v>114</v>
      </c>
    </row>
    <row r="2" spans="1:17" ht="51">
      <c r="A2" s="171" t="s">
        <v>73</v>
      </c>
      <c r="B2" s="173" t="s">
        <v>74</v>
      </c>
      <c r="C2" s="175"/>
      <c r="D2" s="175" t="s">
        <v>75</v>
      </c>
      <c r="E2" s="175" t="s">
        <v>76</v>
      </c>
      <c r="F2" s="175" t="s">
        <v>77</v>
      </c>
      <c r="G2" s="175" t="s">
        <v>78</v>
      </c>
      <c r="H2" s="175" t="s">
        <v>79</v>
      </c>
      <c r="I2" s="177" t="s">
        <v>80</v>
      </c>
      <c r="J2" s="175" t="s">
        <v>81</v>
      </c>
      <c r="K2" s="175" t="s">
        <v>82</v>
      </c>
      <c r="L2" s="175" t="s">
        <v>83</v>
      </c>
      <c r="M2" s="76" t="s">
        <v>84</v>
      </c>
      <c r="N2" s="179" t="s">
        <v>86</v>
      </c>
      <c r="O2" s="179" t="s">
        <v>87</v>
      </c>
      <c r="P2" s="179" t="s">
        <v>88</v>
      </c>
      <c r="Q2" s="179" t="s">
        <v>89</v>
      </c>
    </row>
    <row r="3" spans="1:17" ht="39" thickBot="1">
      <c r="A3" s="172"/>
      <c r="B3" s="174"/>
      <c r="C3" s="176"/>
      <c r="D3" s="176"/>
      <c r="E3" s="176"/>
      <c r="F3" s="176"/>
      <c r="G3" s="176"/>
      <c r="H3" s="176"/>
      <c r="I3" s="178"/>
      <c r="J3" s="176"/>
      <c r="K3" s="176"/>
      <c r="L3" s="176"/>
      <c r="M3" s="77" t="s">
        <v>85</v>
      </c>
      <c r="N3" s="180"/>
      <c r="O3" s="180"/>
      <c r="P3" s="180"/>
      <c r="Q3" s="180"/>
    </row>
    <row r="4" spans="1:17" ht="20" thickTop="1" thickBot="1">
      <c r="A4" s="78" t="s">
        <v>90</v>
      </c>
      <c r="B4" s="79">
        <v>1500011975</v>
      </c>
      <c r="C4" s="80" t="s">
        <v>91</v>
      </c>
      <c r="D4" s="80" t="s">
        <v>92</v>
      </c>
      <c r="E4" s="79">
        <v>1</v>
      </c>
      <c r="F4" s="81" t="s">
        <v>93</v>
      </c>
      <c r="G4" s="81" t="s">
        <v>94</v>
      </c>
      <c r="H4" s="81" t="s">
        <v>95</v>
      </c>
      <c r="I4" s="80" t="s">
        <v>96</v>
      </c>
      <c r="J4" s="80" t="s">
        <v>97</v>
      </c>
      <c r="K4" s="82">
        <v>41851</v>
      </c>
      <c r="L4" s="79" t="s">
        <v>98</v>
      </c>
      <c r="M4" s="80" t="s">
        <v>99</v>
      </c>
      <c r="N4" s="79">
        <v>1.3</v>
      </c>
      <c r="O4" s="79">
        <v>1.05</v>
      </c>
      <c r="P4" s="79">
        <v>1.45</v>
      </c>
      <c r="Q4" s="79">
        <v>950</v>
      </c>
    </row>
    <row r="5" spans="1:17" ht="17" thickBot="1">
      <c r="A5" s="78" t="s">
        <v>90</v>
      </c>
      <c r="B5" s="79">
        <v>1500050301</v>
      </c>
      <c r="C5" s="80" t="s">
        <v>91</v>
      </c>
      <c r="D5" s="80" t="s">
        <v>100</v>
      </c>
      <c r="E5" s="79">
        <v>1</v>
      </c>
      <c r="F5" s="81" t="s">
        <v>101</v>
      </c>
      <c r="G5" s="81" t="s">
        <v>102</v>
      </c>
      <c r="H5" s="81" t="s">
        <v>103</v>
      </c>
      <c r="I5" s="80" t="s">
        <v>104</v>
      </c>
      <c r="J5" s="80" t="s">
        <v>105</v>
      </c>
      <c r="K5" s="82">
        <v>42551</v>
      </c>
      <c r="L5" s="79" t="s">
        <v>106</v>
      </c>
      <c r="M5" s="80" t="s">
        <v>99</v>
      </c>
      <c r="N5" s="79">
        <v>1.3</v>
      </c>
      <c r="O5" s="79">
        <v>1.05</v>
      </c>
      <c r="P5" s="79">
        <v>1.45</v>
      </c>
      <c r="Q5" s="79">
        <v>950</v>
      </c>
    </row>
    <row r="6" spans="1:17" ht="19" thickBot="1">
      <c r="A6" s="78" t="s">
        <v>90</v>
      </c>
      <c r="B6" s="79">
        <v>1500065921</v>
      </c>
      <c r="C6" s="80" t="s">
        <v>91</v>
      </c>
      <c r="D6" s="80" t="s">
        <v>107</v>
      </c>
      <c r="E6" s="79">
        <v>1</v>
      </c>
      <c r="F6" s="81" t="s">
        <v>93</v>
      </c>
      <c r="G6" s="81" t="s">
        <v>94</v>
      </c>
      <c r="H6" s="81" t="s">
        <v>108</v>
      </c>
      <c r="I6" s="80" t="s">
        <v>96</v>
      </c>
      <c r="J6" s="80" t="s">
        <v>97</v>
      </c>
      <c r="K6" s="82">
        <v>43628</v>
      </c>
      <c r="L6" s="79" t="s">
        <v>109</v>
      </c>
      <c r="M6" s="80" t="s">
        <v>110</v>
      </c>
      <c r="N6" s="79">
        <v>1.3</v>
      </c>
      <c r="O6" s="79">
        <v>1.05</v>
      </c>
      <c r="P6" s="79">
        <v>1.45</v>
      </c>
      <c r="Q6" s="79">
        <v>950</v>
      </c>
    </row>
    <row r="7" spans="1:17" ht="19" thickBot="1">
      <c r="A7" s="78" t="s">
        <v>90</v>
      </c>
      <c r="B7" s="79">
        <v>1500065924</v>
      </c>
      <c r="C7" s="80" t="s">
        <v>91</v>
      </c>
      <c r="D7" s="80" t="s">
        <v>107</v>
      </c>
      <c r="E7" s="79">
        <v>1</v>
      </c>
      <c r="F7" s="81" t="s">
        <v>93</v>
      </c>
      <c r="G7" s="81" t="s">
        <v>94</v>
      </c>
      <c r="H7" s="81" t="s">
        <v>111</v>
      </c>
      <c r="I7" s="80" t="s">
        <v>96</v>
      </c>
      <c r="J7" s="80" t="s">
        <v>97</v>
      </c>
      <c r="K7" s="82">
        <v>43628</v>
      </c>
      <c r="L7" s="79" t="s">
        <v>112</v>
      </c>
      <c r="M7" s="80" t="s">
        <v>113</v>
      </c>
      <c r="N7" s="79">
        <v>1.3</v>
      </c>
      <c r="O7" s="79">
        <v>1.05</v>
      </c>
      <c r="P7" s="79">
        <v>1.45</v>
      </c>
      <c r="Q7" s="79">
        <v>950</v>
      </c>
    </row>
    <row r="10" spans="1:17" ht="17" thickBot="1">
      <c r="A10" s="89" t="s">
        <v>133</v>
      </c>
    </row>
    <row r="11" spans="1:17" ht="51">
      <c r="A11" s="171" t="s">
        <v>73</v>
      </c>
      <c r="B11" s="173" t="s">
        <v>74</v>
      </c>
      <c r="C11" s="175"/>
      <c r="D11" s="175" t="s">
        <v>75</v>
      </c>
      <c r="E11" s="175" t="s">
        <v>76</v>
      </c>
      <c r="F11" s="175" t="s">
        <v>77</v>
      </c>
      <c r="G11" s="175" t="s">
        <v>78</v>
      </c>
      <c r="H11" s="175" t="s">
        <v>79</v>
      </c>
      <c r="I11" s="177" t="s">
        <v>80</v>
      </c>
      <c r="J11" s="175" t="s">
        <v>81</v>
      </c>
      <c r="K11" s="175" t="s">
        <v>82</v>
      </c>
      <c r="L11" s="175" t="s">
        <v>83</v>
      </c>
      <c r="M11" s="76" t="s">
        <v>84</v>
      </c>
      <c r="N11" s="179" t="s">
        <v>86</v>
      </c>
      <c r="O11" s="179" t="s">
        <v>87</v>
      </c>
      <c r="P11" s="179" t="s">
        <v>88</v>
      </c>
      <c r="Q11" s="179" t="s">
        <v>89</v>
      </c>
    </row>
    <row r="12" spans="1:17" ht="39" thickBot="1">
      <c r="A12" s="172"/>
      <c r="B12" s="174"/>
      <c r="C12" s="176"/>
      <c r="D12" s="176"/>
      <c r="E12" s="176"/>
      <c r="F12" s="176"/>
      <c r="G12" s="176"/>
      <c r="H12" s="176"/>
      <c r="I12" s="178"/>
      <c r="J12" s="176"/>
      <c r="K12" s="176"/>
      <c r="L12" s="176"/>
      <c r="M12" s="77" t="s">
        <v>85</v>
      </c>
      <c r="N12" s="180"/>
      <c r="O12" s="180"/>
      <c r="P12" s="180"/>
      <c r="Q12" s="180"/>
    </row>
    <row r="13" spans="1:17" ht="20" thickTop="1" thickBot="1">
      <c r="A13" s="83" t="s">
        <v>90</v>
      </c>
      <c r="B13" s="84">
        <v>1500011980</v>
      </c>
      <c r="C13" s="85" t="s">
        <v>115</v>
      </c>
      <c r="D13" s="85" t="s">
        <v>116</v>
      </c>
      <c r="E13" s="84">
        <v>1</v>
      </c>
      <c r="F13" s="86" t="s">
        <v>93</v>
      </c>
      <c r="G13" s="86" t="s">
        <v>94</v>
      </c>
      <c r="H13" s="86" t="s">
        <v>117</v>
      </c>
      <c r="I13" s="85" t="s">
        <v>96</v>
      </c>
      <c r="J13" s="85" t="s">
        <v>97</v>
      </c>
      <c r="K13" s="87">
        <v>41851</v>
      </c>
      <c r="L13" s="84" t="s">
        <v>98</v>
      </c>
      <c r="M13" s="85" t="s">
        <v>99</v>
      </c>
      <c r="N13" s="84">
        <v>1.3</v>
      </c>
      <c r="O13" s="84">
        <v>1.05</v>
      </c>
      <c r="P13" s="84">
        <v>1.45</v>
      </c>
      <c r="Q13" s="84">
        <v>950</v>
      </c>
    </row>
    <row r="14" spans="1:17" ht="19" thickBot="1">
      <c r="A14" s="83" t="s">
        <v>90</v>
      </c>
      <c r="B14" s="84">
        <v>1500050872</v>
      </c>
      <c r="C14" s="85" t="s">
        <v>115</v>
      </c>
      <c r="D14" s="85" t="s">
        <v>118</v>
      </c>
      <c r="E14" s="84">
        <v>1</v>
      </c>
      <c r="F14" s="86" t="s">
        <v>93</v>
      </c>
      <c r="G14" s="86" t="s">
        <v>119</v>
      </c>
      <c r="H14" s="86" t="s">
        <v>120</v>
      </c>
      <c r="I14" s="85" t="s">
        <v>96</v>
      </c>
      <c r="J14" s="85" t="s">
        <v>97</v>
      </c>
      <c r="K14" s="87">
        <v>42582</v>
      </c>
      <c r="L14" s="84" t="s">
        <v>121</v>
      </c>
      <c r="M14" s="85" t="s">
        <v>99</v>
      </c>
      <c r="N14" s="84">
        <v>1.3</v>
      </c>
      <c r="O14" s="84">
        <v>1.05</v>
      </c>
      <c r="P14" s="84">
        <v>1.45</v>
      </c>
      <c r="Q14" s="84">
        <v>950</v>
      </c>
    </row>
    <row r="15" spans="1:17" ht="19" thickBot="1">
      <c r="A15" s="83" t="s">
        <v>90</v>
      </c>
      <c r="B15" s="84">
        <v>1500051071</v>
      </c>
      <c r="C15" s="85" t="s">
        <v>115</v>
      </c>
      <c r="D15" s="85" t="s">
        <v>122</v>
      </c>
      <c r="E15" s="84">
        <v>1</v>
      </c>
      <c r="F15" s="86" t="s">
        <v>93</v>
      </c>
      <c r="G15" s="86" t="s">
        <v>119</v>
      </c>
      <c r="H15" s="86" t="s">
        <v>123</v>
      </c>
      <c r="I15" s="85" t="s">
        <v>96</v>
      </c>
      <c r="J15" s="85" t="s">
        <v>97</v>
      </c>
      <c r="K15" s="87">
        <v>42582</v>
      </c>
      <c r="L15" s="84" t="s">
        <v>124</v>
      </c>
      <c r="M15" s="85" t="s">
        <v>99</v>
      </c>
      <c r="N15" s="84">
        <v>1.65</v>
      </c>
      <c r="O15" s="84">
        <v>1.27</v>
      </c>
      <c r="P15" s="84">
        <v>1.84</v>
      </c>
      <c r="Q15" s="84">
        <v>862</v>
      </c>
    </row>
    <row r="16" spans="1:17" ht="19" thickBot="1">
      <c r="A16" s="83" t="s">
        <v>90</v>
      </c>
      <c r="B16" s="84">
        <v>1500065933</v>
      </c>
      <c r="C16" s="85" t="s">
        <v>115</v>
      </c>
      <c r="D16" s="85" t="s">
        <v>125</v>
      </c>
      <c r="E16" s="84">
        <v>1</v>
      </c>
      <c r="F16" s="86" t="s">
        <v>93</v>
      </c>
      <c r="G16" s="86" t="s">
        <v>94</v>
      </c>
      <c r="H16" s="86" t="s">
        <v>126</v>
      </c>
      <c r="I16" s="85" t="s">
        <v>96</v>
      </c>
      <c r="J16" s="85" t="s">
        <v>97</v>
      </c>
      <c r="K16" s="87">
        <v>43628</v>
      </c>
      <c r="L16" s="84" t="s">
        <v>127</v>
      </c>
      <c r="M16" s="85" t="s">
        <v>128</v>
      </c>
      <c r="N16" s="84">
        <v>1.4</v>
      </c>
      <c r="O16" s="84">
        <v>1.3</v>
      </c>
      <c r="P16" s="84">
        <v>1.5</v>
      </c>
      <c r="Q16" s="84">
        <v>950</v>
      </c>
    </row>
    <row r="17" spans="1:17" ht="19" thickBot="1">
      <c r="A17" s="83" t="s">
        <v>90</v>
      </c>
      <c r="B17" s="84">
        <v>1500065934</v>
      </c>
      <c r="C17" s="85" t="s">
        <v>115</v>
      </c>
      <c r="D17" s="85" t="s">
        <v>125</v>
      </c>
      <c r="E17" s="84">
        <v>1</v>
      </c>
      <c r="F17" s="86" t="s">
        <v>93</v>
      </c>
      <c r="G17" s="86" t="s">
        <v>94</v>
      </c>
      <c r="H17" s="86" t="s">
        <v>129</v>
      </c>
      <c r="I17" s="85" t="s">
        <v>96</v>
      </c>
      <c r="J17" s="85" t="s">
        <v>97</v>
      </c>
      <c r="K17" s="87">
        <v>43628</v>
      </c>
      <c r="L17" s="84" t="s">
        <v>127</v>
      </c>
      <c r="M17" s="85" t="s">
        <v>128</v>
      </c>
      <c r="N17" s="84">
        <v>1.4</v>
      </c>
      <c r="O17" s="84">
        <v>1.3</v>
      </c>
      <c r="P17" s="84">
        <v>1.5</v>
      </c>
      <c r="Q17" s="84">
        <v>950</v>
      </c>
    </row>
    <row r="18" spans="1:17" ht="19" thickBot="1">
      <c r="A18" s="83" t="s">
        <v>90</v>
      </c>
      <c r="B18" s="84">
        <v>1500065939</v>
      </c>
      <c r="C18" s="85" t="s">
        <v>115</v>
      </c>
      <c r="D18" s="85" t="s">
        <v>125</v>
      </c>
      <c r="E18" s="84">
        <v>1</v>
      </c>
      <c r="F18" s="86" t="s">
        <v>93</v>
      </c>
      <c r="G18" s="86" t="s">
        <v>94</v>
      </c>
      <c r="H18" s="86" t="s">
        <v>130</v>
      </c>
      <c r="I18" s="85" t="s">
        <v>96</v>
      </c>
      <c r="J18" s="85" t="s">
        <v>97</v>
      </c>
      <c r="K18" s="87">
        <v>43628</v>
      </c>
      <c r="L18" s="84" t="s">
        <v>131</v>
      </c>
      <c r="M18" s="85" t="s">
        <v>132</v>
      </c>
      <c r="N18" s="84">
        <v>1.3</v>
      </c>
      <c r="O18" s="84">
        <v>1.05</v>
      </c>
      <c r="P18" s="84">
        <v>1.45</v>
      </c>
      <c r="Q18" s="84">
        <v>950</v>
      </c>
    </row>
    <row r="20" spans="1:17" ht="16">
      <c r="A20" s="88"/>
    </row>
    <row r="22" spans="1:17" ht="16">
      <c r="A22" s="88"/>
    </row>
  </sheetData>
  <mergeCells count="32">
    <mergeCell ref="P11:P12"/>
    <mergeCell ref="Q11:Q12"/>
    <mergeCell ref="P2:P3"/>
    <mergeCell ref="Q2:Q3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O11:O12"/>
    <mergeCell ref="J2:J3"/>
    <mergeCell ref="K2:K3"/>
    <mergeCell ref="L2:L3"/>
    <mergeCell ref="N2:N3"/>
    <mergeCell ref="O2:O3"/>
    <mergeCell ref="F2:F3"/>
    <mergeCell ref="G2:G3"/>
    <mergeCell ref="H2:H3"/>
    <mergeCell ref="I2:I3"/>
    <mergeCell ref="N11:N12"/>
    <mergeCell ref="A2:A3"/>
    <mergeCell ref="B2:B3"/>
    <mergeCell ref="C2:C3"/>
    <mergeCell ref="D2:D3"/>
    <mergeCell ref="E2:E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6:F9"/>
  <sheetViews>
    <sheetView workbookViewId="0">
      <selection activeCell="E28" sqref="E28"/>
    </sheetView>
  </sheetViews>
  <sheetFormatPr baseColWidth="10" defaultColWidth="8.83203125" defaultRowHeight="15"/>
  <cols>
    <col min="1" max="1" width="14.1640625" customWidth="1"/>
  </cols>
  <sheetData>
    <row r="6" spans="1:6">
      <c r="B6" t="s">
        <v>136</v>
      </c>
      <c r="D6" t="s">
        <v>137</v>
      </c>
      <c r="E6" t="s">
        <v>138</v>
      </c>
      <c r="F6" t="s">
        <v>139</v>
      </c>
    </row>
    <row r="7" spans="1:6">
      <c r="A7" t="s">
        <v>140</v>
      </c>
      <c r="B7">
        <v>28</v>
      </c>
      <c r="C7" t="s">
        <v>141</v>
      </c>
      <c r="D7">
        <v>5.8979999999999997</v>
      </c>
      <c r="E7">
        <v>2.34</v>
      </c>
      <c r="F7">
        <v>2.395</v>
      </c>
    </row>
    <row r="8" spans="1:6">
      <c r="A8" t="s">
        <v>142</v>
      </c>
      <c r="B8">
        <v>60</v>
      </c>
      <c r="C8" t="s">
        <v>143</v>
      </c>
      <c r="D8">
        <v>12.032</v>
      </c>
      <c r="E8">
        <v>2.35</v>
      </c>
      <c r="F8">
        <v>2.3919999999999999</v>
      </c>
    </row>
    <row r="9" spans="1:6">
      <c r="A9" t="s">
        <v>144</v>
      </c>
      <c r="B9">
        <v>68</v>
      </c>
      <c r="C9" t="s">
        <v>143</v>
      </c>
      <c r="D9">
        <v>12.032</v>
      </c>
      <c r="E9">
        <v>2.35</v>
      </c>
      <c r="F9">
        <v>2.698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Quotation</vt:lpstr>
      <vt:lpstr>Quotation gỗ 10mm</vt:lpstr>
      <vt:lpstr>Debit</vt:lpstr>
      <vt:lpstr>Estimate</vt:lpstr>
      <vt:lpstr>Sheet1</vt:lpstr>
      <vt:lpstr>container</vt:lpstr>
      <vt:lpstr>Quotation!Print_Area</vt:lpstr>
      <vt:lpstr>'Quotation gỗ 10mm'!Print_Area</vt:lpstr>
      <vt:lpstr>Quotation!Print_Titles</vt:lpstr>
      <vt:lpstr>'Quotation gỗ 10mm'!Print_Titles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H61</dc:creator>
  <cp:lastModifiedBy>Nguyen Ngoc Khanh</cp:lastModifiedBy>
  <cp:lastPrinted>2015-10-28T03:33:48Z</cp:lastPrinted>
  <dcterms:created xsi:type="dcterms:W3CDTF">2014-09-04T07:20:33Z</dcterms:created>
  <dcterms:modified xsi:type="dcterms:W3CDTF">2026-01-25T01:08:51Z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