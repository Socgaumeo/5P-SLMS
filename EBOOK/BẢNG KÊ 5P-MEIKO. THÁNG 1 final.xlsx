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5f8bac9881dfa4/Desktop/Tháng 1/"/>
    </mc:Choice>
  </mc:AlternateContent>
  <xr:revisionPtr revIDLastSave="0" documentId="8_{5DAF31E3-354E-429A-9235-FE9268867663}" xr6:coauthVersionLast="47" xr6:coauthVersionMax="47" xr10:uidLastSave="{00000000-0000-0000-0000-000000000000}"/>
  <bookViews>
    <workbookView xWindow="-110" yWindow="-110" windowWidth="19420" windowHeight="10300" activeTab="2" xr2:uid="{3A0FD5E6-9306-4927-B1F7-703CC770D411}"/>
  </bookViews>
  <sheets>
    <sheet name="Bảng kê IM" sheetId="9" r:id="rId1"/>
    <sheet name="Truck" sheetId="10" r:id="rId2"/>
    <sheet name="Debit" sheetId="8" r:id="rId3"/>
  </sheets>
  <externalReferences>
    <externalReference r:id="rId4"/>
    <externalReference r:id="rId5"/>
    <externalReference r:id="rId6"/>
    <externalReference r:id="rId7"/>
  </externalReferences>
  <definedNames>
    <definedName name="_Fill" localSheetId="2" hidden="1">#REF!</definedName>
    <definedName name="_Fill" hidden="1">#REF!</definedName>
    <definedName name="_xlnm._FilterDatabase" localSheetId="0" hidden="1">'Bảng kê IM'!$C$12:$AC$48</definedName>
    <definedName name="_xlnm._FilterDatabase" localSheetId="2" hidden="1">Debit!$A$14:$G$36</definedName>
    <definedName name="_xlnm._FilterDatabase" localSheetId="1" hidden="1">Truck!$A$13:$X$147</definedName>
    <definedName name="_Order1" hidden="1">255</definedName>
    <definedName name="_Order2" hidden="1">255</definedName>
    <definedName name="_Sort" localSheetId="2" hidden="1">#REF!</definedName>
    <definedName name="_Sort" hidden="1">#REF!</definedName>
    <definedName name="AE" localSheetId="2" hidden="1">#REF!</definedName>
    <definedName name="AE" hidden="1">#REF!</definedName>
    <definedName name="App" localSheetId="2">#REF!</definedName>
    <definedName name="App">[1]Table!$B$6</definedName>
    <definedName name="are" localSheetId="2" hidden="1">#REF!</definedName>
    <definedName name="are" hidden="1">#REF!</definedName>
    <definedName name="bao" localSheetId="2" hidden="1">#REF!</definedName>
    <definedName name="bao" hidden="1">#REF!</definedName>
    <definedName name="Category" localSheetId="2">#REF!</definedName>
    <definedName name="Category">[1]Table!$B$2</definedName>
    <definedName name="co" localSheetId="2" hidden="1">#REF!</definedName>
    <definedName name="co" hidden="1">#REF!</definedName>
    <definedName name="Code" localSheetId="2" hidden="1">#REF!</definedName>
    <definedName name="Code" hidden="1">#REF!</definedName>
    <definedName name="cp" localSheetId="0" hidden="1">{"'Sheet1'!$L$16"}</definedName>
    <definedName name="cp" localSheetId="2" hidden="1">{"'Sheet1'!$L$16"}</definedName>
    <definedName name="cp" localSheetId="1" hidden="1">{"'Sheet1'!$L$16"}</definedName>
    <definedName name="cp" hidden="1">{"'Sheet1'!$L$16"}</definedName>
    <definedName name="Curr_Scale" localSheetId="2">#REF!</definedName>
    <definedName name="Curr_Scale">[2]Tables!$B$16</definedName>
    <definedName name="dao" localSheetId="2" hidden="1">#REF!</definedName>
    <definedName name="dao" hidden="1">#REF!</definedName>
    <definedName name="data" localSheetId="2" hidden="1">#REF!</definedName>
    <definedName name="data" hidden="1">#REF!</definedName>
    <definedName name="data1" localSheetId="2" hidden="1">#REF!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u" hidden="1">#REF!</definedName>
    <definedName name="dia" hidden="1">#REF!</definedName>
    <definedName name="dis" hidden="1">#REF!</definedName>
    <definedName name="Discount" hidden="1">#REF!</definedName>
    <definedName name="display_area_2" hidden="1">#REF!</definedName>
    <definedName name="Dollars" localSheetId="2">#REF!</definedName>
    <definedName name="Dollars">[3]Sheet1!$D$3</definedName>
    <definedName name="DSKFD" localSheetId="2" hidden="1">#REF!</definedName>
    <definedName name="DSKFD" hidden="1">#REF!</definedName>
    <definedName name="Entity" localSheetId="2">#REF!</definedName>
    <definedName name="Entity">[1]Table!$B$1</definedName>
    <definedName name="fc" localSheetId="2" hidden="1">#REF!</definedName>
    <definedName name="fc" hidden="1">#REF!</definedName>
    <definedName name="FCode" localSheetId="2" hidden="1">#REF!</definedName>
    <definedName name="FCode" hidden="1">#REF!</definedName>
    <definedName name="fill" localSheetId="2" hidden="1">#REF!</definedName>
    <definedName name="fill" hidden="1">#REF!</definedName>
    <definedName name="fo" hidden="1">#REF!</definedName>
    <definedName name="Forecast" localSheetId="2">#REF!</definedName>
    <definedName name="Forecast">[2]Tables!$C$2</definedName>
    <definedName name="h" localSheetId="2" hidden="1">#REF!</definedName>
    <definedName name="h" hidden="1">#REF!</definedName>
    <definedName name="hi" localSheetId="2" hidden="1">#REF!</definedName>
    <definedName name="hi" hidden="1">#REF!</definedName>
    <definedName name="HiddenRows" localSheetId="2" hidden="1">#REF!</definedName>
    <definedName name="HiddenRows" hidden="1">#REF!</definedName>
    <definedName name="hoa" hidden="1">#REF!</definedName>
    <definedName name="HTML_CodePage" hidden="1">950</definedName>
    <definedName name="HTML_Control" localSheetId="0" hidden="1">{"'Sheet1'!$L$16"}</definedName>
    <definedName name="HTML_Control" localSheetId="2" hidden="1">{"'Sheet1'!$L$16"}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localSheetId="2" hidden="1">{"'Sheet1'!$L$16"}</definedName>
    <definedName name="huy" localSheetId="1" hidden="1">{"'Sheet1'!$L$16"}</definedName>
    <definedName name="huy" hidden="1">{"'Sheet1'!$L$16"}</definedName>
    <definedName name="lc" hidden="1">#REF!</definedName>
    <definedName name="LCD" localSheetId="0" hidden="1">{"'Sheet1'!$L$16"}</definedName>
    <definedName name="LCD" localSheetId="2" hidden="1">{"'Sheet1'!$L$16"}</definedName>
    <definedName name="LCD" localSheetId="1" hidden="1">{"'Sheet1'!$L$16"}</definedName>
    <definedName name="LCD" hidden="1">{"'Sheet1'!$L$16"}</definedName>
    <definedName name="LK" localSheetId="0" hidden="1">{"'Sheet1'!$L$16"}</definedName>
    <definedName name="LK" localSheetId="2" hidden="1">{"'Sheet1'!$L$16"}</definedName>
    <definedName name="LK" localSheetId="1" hidden="1">{"'Sheet1'!$L$16"}</definedName>
    <definedName name="LK" hidden="1">{"'Sheet1'!$L$16"}</definedName>
    <definedName name="mc" hidden="1">#REF!</definedName>
    <definedName name="or" hidden="1">#REF!</definedName>
    <definedName name="OrderTable" hidden="1">#REF!</definedName>
    <definedName name="Plan" localSheetId="2">#REF!</definedName>
    <definedName name="Plan">[2]Tables!$D$2</definedName>
    <definedName name="PlanLastYear" localSheetId="2">#REF!</definedName>
    <definedName name="PlanLastYear">[2]Tables!$E$2</definedName>
    <definedName name="pr" localSheetId="2" hidden="1">#REF!</definedName>
    <definedName name="pr" hidden="1">#REF!</definedName>
    <definedName name="pra" localSheetId="2" hidden="1">#REF!</definedName>
    <definedName name="pra" hidden="1">#REF!</definedName>
    <definedName name="_xlnm.Print_Area" localSheetId="0">'Bảng kê IM'!$A$1:$AC$59</definedName>
    <definedName name="_xlnm.Print_Area" localSheetId="2">Debit!$A$1:$G$44</definedName>
    <definedName name="_xlnm.Print_Area" localSheetId="1">Truck!$A$1:$V$161</definedName>
    <definedName name="_xlnm.Print_Titles" localSheetId="0">'Bảng kê IM'!$12:$13</definedName>
    <definedName name="_xlnm.Print_Titles" localSheetId="1">Truck!$12:$13</definedName>
    <definedName name="PriorYearActual" localSheetId="2">#REF!</definedName>
    <definedName name="PriorYearActual">[2]Tables!$G$2</definedName>
    <definedName name="ProdForm" localSheetId="2" hidden="1">#REF!</definedName>
    <definedName name="ProdForm" hidden="1">#REF!</definedName>
    <definedName name="Product" localSheetId="2" hidden="1">#REF!</definedName>
    <definedName name="Product" hidden="1">#REF!</definedName>
    <definedName name="RCArea" localSheetId="2" hidden="1">#REF!</definedName>
    <definedName name="RCArea" hidden="1">#REF!</definedName>
    <definedName name="Scale" localSheetId="2">#REF!</definedName>
    <definedName name="Scale">[1]Table!$B$8</definedName>
    <definedName name="spe" localSheetId="2" hidden="1">#REF!</definedName>
    <definedName name="spe" hidden="1">#REF!</definedName>
    <definedName name="SpecialPrice" localSheetId="2" hidden="1">#REF!</definedName>
    <definedName name="SpecialPrice" hidden="1">#REF!</definedName>
    <definedName name="tb" localSheetId="2" hidden="1">#REF!</definedName>
    <definedName name="tb" hidden="1">#REF!</definedName>
    <definedName name="tbl_ProdInfo" hidden="1">#REF!</definedName>
    <definedName name="Title1" localSheetId="2">#REF!</definedName>
    <definedName name="Title1">[2]Tables!$B$15</definedName>
    <definedName name="un" localSheetId="2" hidden="1">#REF!</definedName>
    <definedName name="un" hidden="1">#REF!</definedName>
    <definedName name="YearLast" localSheetId="2">#REF!</definedName>
    <definedName name="YearLast">[2]Tables!$B$11</definedName>
    <definedName name="YearNow" localSheetId="2">#REF!</definedName>
    <definedName name="YearNow">[1]Table!$B$10</definedName>
    <definedName name="YearPlan">#N/A</definedName>
    <definedName name="Z_4BC70B9C_2001_464A_9958_EB0BB0C22134_.wvu.FilterData" localSheetId="2" hidden="1">Debit!$A$14:$G$26</definedName>
    <definedName name="Z_4BC70B9C_2001_464A_9958_EB0BB0C22134_.wvu.PrintArea" localSheetId="2" hidden="1">Debit!$A$1:$G$37</definedName>
    <definedName name="Z_70E78429_7A89_4E39_BA52_1FBCFEE3B86D_.wvu.FilterData" localSheetId="2" hidden="1">Debit!$A$14:$G$36</definedName>
    <definedName name="Z_70E78429_7A89_4E39_BA52_1FBCFEE3B86D_.wvu.PrintArea" localSheetId="2" hidden="1">Debit!$A$1:$G$37</definedName>
    <definedName name="Z_7896828E_F207_4323_BD0C_2158D2510A5E_.wvu.FilterData" localSheetId="2" hidden="1">Debit!$A$14:$G$26</definedName>
    <definedName name="Z_7896828E_F207_4323_BD0C_2158D2510A5E_.wvu.PrintArea" localSheetId="2" hidden="1">Debit!$A$1:$G$37</definedName>
    <definedName name="Z_7953779B_D8FD_40B7_8A86_47E6629F9D75_.wvu.FilterData" localSheetId="2" hidden="1">Debit!$A$14:$G$26</definedName>
    <definedName name="Z_7953779B_D8FD_40B7_8A86_47E6629F9D75_.wvu.PrintArea" localSheetId="2" hidden="1">Debit!$A$1:$G$36</definedName>
    <definedName name="Z_7AFB7A81_0199_4EA3_B7B8_EE4FD47C68C3_.wvu.FilterData" localSheetId="2" hidden="1">Debit!$A$14:$G$26</definedName>
    <definedName name="Z_7AFB7A81_0199_4EA3_B7B8_EE4FD47C68C3_.wvu.PrintArea" localSheetId="2" hidden="1">Debit!$A$1:$G$37</definedName>
    <definedName name="Z_8902AE72_1F91_45B8_B367_BA0DB790D297_.wvu.FilterData" localSheetId="2" hidden="1">Debit!$A$14:$G$26</definedName>
    <definedName name="Z_8902AE72_1F91_45B8_B367_BA0DB790D297_.wvu.PrintArea" localSheetId="2" hidden="1">Debit!$A$1:$G$36</definedName>
    <definedName name="Z_8A690A05_24AC_415C_8949_6D6E64BEDF21_.wvu.FilterData" localSheetId="2" hidden="1">Debit!$A$14:$G$26</definedName>
    <definedName name="Z_8A690A05_24AC_415C_8949_6D6E64BEDF21_.wvu.PrintArea" localSheetId="2" hidden="1">Debit!$A$1:$G$36</definedName>
    <definedName name="Z_8C3B2061_F90C_4D8D_B4F1_C893FE9CF4E4_.wvu.FilterData" localSheetId="2" hidden="1">Debit!$A$14:$G$26</definedName>
    <definedName name="Z_8C3B2061_F90C_4D8D_B4F1_C893FE9CF4E4_.wvu.PrintArea" localSheetId="2" hidden="1">Debit!$A$1:$G$36</definedName>
    <definedName name="Z_B46DD8EF_7592_4095_8D97_6F16ADC4C9CD_.wvu.FilterData" localSheetId="2" hidden="1">Debit!$A$14:$G$26</definedName>
    <definedName name="Z_B46DD8EF_7592_4095_8D97_6F16ADC4C9CD_.wvu.PrintArea" localSheetId="2" hidden="1">Debit!$A$1:$G$37</definedName>
    <definedName name="Z_DB880D7F_9781_4ECF_BC22_1F50609E950C_.wvu.FilterData" localSheetId="2" hidden="1">Debit!$A$14:$G$26</definedName>
    <definedName name="Z_DB880D7F_9781_4ECF_BC22_1F50609E950C_.wvu.PrintArea" localSheetId="2" hidden="1">Debit!$A$1:$G$42</definedName>
    <definedName name="Z_DCA4C45F_AD01_46ED_9AB9_C13F2A232433_.wvu.FilterData" localSheetId="2" hidden="1">Debit!$A$14:$G$26</definedName>
    <definedName name="Z_DCA4C45F_AD01_46ED_9AB9_C13F2A232433_.wvu.PrintArea" localSheetId="2" hidden="1">Debit!$A$1:$G$37</definedName>
    <definedName name="Z_E2FD7C96_6484_43ED_8962_80A85A652B81_.wvu.FilterData" localSheetId="2" hidden="1">Debit!$A$14:$G$26</definedName>
    <definedName name="Z_E2FD7C96_6484_43ED_8962_80A85A652B81_.wvu.PrintArea" localSheetId="2" hidden="1">Debit!$A$1:$G$42</definedName>
    <definedName name="Z_F24DE698_E7B4_4F6A_9AF0_E2BFF038543F_.wvu.FilterData" localSheetId="2" hidden="1">Debit!$A$14:$G$26</definedName>
    <definedName name="Z_F24DE698_E7B4_4F6A_9AF0_E2BFF038543F_.wvu.PrintArea" localSheetId="2" hidden="1">Debit!$A$1:$G$36</definedName>
    <definedName name="Z_FA961BDD_C6BC_4C7C_AB10_85B898C1939B_.wvu.FilterData" localSheetId="2" hidden="1">Debit!$A$14:$G$26</definedName>
    <definedName name="Z_FA961BDD_C6BC_4C7C_AB10_85B898C1939B_.wvu.PrintArea" localSheetId="2" hidden="1">Debit!$A$1:$G$36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8" l="1"/>
  <c r="U147" i="10"/>
  <c r="S147" i="10"/>
  <c r="V146" i="10"/>
  <c r="Q146" i="10"/>
  <c r="P146" i="10"/>
  <c r="O146" i="10"/>
  <c r="N146" i="10"/>
  <c r="M146" i="10"/>
  <c r="R146" i="10" s="1"/>
  <c r="T146" i="10" s="1"/>
  <c r="K146" i="10"/>
  <c r="J146" i="10"/>
  <c r="H146" i="10"/>
  <c r="G146" i="10"/>
  <c r="F146" i="10"/>
  <c r="E146" i="10"/>
  <c r="D146" i="10"/>
  <c r="B146" i="10"/>
  <c r="V145" i="10"/>
  <c r="Q145" i="10"/>
  <c r="O145" i="10"/>
  <c r="N145" i="10"/>
  <c r="M145" i="10"/>
  <c r="R145" i="10" s="1"/>
  <c r="T145" i="10" s="1"/>
  <c r="K145" i="10"/>
  <c r="J145" i="10"/>
  <c r="H145" i="10"/>
  <c r="G145" i="10"/>
  <c r="F145" i="10"/>
  <c r="E145" i="10"/>
  <c r="D145" i="10"/>
  <c r="B145" i="10"/>
  <c r="V144" i="10"/>
  <c r="Q144" i="10"/>
  <c r="P144" i="10"/>
  <c r="O144" i="10"/>
  <c r="N144" i="10"/>
  <c r="M144" i="10"/>
  <c r="R144" i="10" s="1"/>
  <c r="T144" i="10" s="1"/>
  <c r="K144" i="10"/>
  <c r="J144" i="10"/>
  <c r="H144" i="10"/>
  <c r="G144" i="10"/>
  <c r="F144" i="10"/>
  <c r="E144" i="10"/>
  <c r="D144" i="10"/>
  <c r="B144" i="10"/>
  <c r="V143" i="10"/>
  <c r="Q143" i="10"/>
  <c r="P143" i="10"/>
  <c r="O143" i="10"/>
  <c r="N143" i="10"/>
  <c r="M143" i="10"/>
  <c r="K143" i="10"/>
  <c r="J143" i="10"/>
  <c r="H143" i="10"/>
  <c r="G143" i="10"/>
  <c r="F143" i="10"/>
  <c r="E143" i="10"/>
  <c r="D143" i="10"/>
  <c r="B143" i="10"/>
  <c r="V142" i="10"/>
  <c r="T142" i="10"/>
  <c r="Q142" i="10"/>
  <c r="P142" i="10"/>
  <c r="O142" i="10"/>
  <c r="N142" i="10"/>
  <c r="M142" i="10"/>
  <c r="R142" i="10" s="1"/>
  <c r="K142" i="10"/>
  <c r="J142" i="10"/>
  <c r="H142" i="10"/>
  <c r="G142" i="10"/>
  <c r="F142" i="10"/>
  <c r="E142" i="10"/>
  <c r="D142" i="10"/>
  <c r="B142" i="10"/>
  <c r="V141" i="10"/>
  <c r="T141" i="10"/>
  <c r="Q141" i="10"/>
  <c r="O141" i="10"/>
  <c r="N141" i="10"/>
  <c r="M141" i="10"/>
  <c r="R141" i="10" s="1"/>
  <c r="K141" i="10"/>
  <c r="J141" i="10"/>
  <c r="H141" i="10"/>
  <c r="G141" i="10"/>
  <c r="F141" i="10"/>
  <c r="E141" i="10"/>
  <c r="D141" i="10"/>
  <c r="B141" i="10"/>
  <c r="V140" i="10"/>
  <c r="T140" i="10"/>
  <c r="R140" i="10"/>
  <c r="Q140" i="10"/>
  <c r="P140" i="10"/>
  <c r="O140" i="10"/>
  <c r="N140" i="10"/>
  <c r="M140" i="10"/>
  <c r="K140" i="10"/>
  <c r="J140" i="10"/>
  <c r="H140" i="10"/>
  <c r="G140" i="10"/>
  <c r="F140" i="10"/>
  <c r="E140" i="10"/>
  <c r="D140" i="10"/>
  <c r="B140" i="10"/>
  <c r="V139" i="10"/>
  <c r="T139" i="10"/>
  <c r="R139" i="10"/>
  <c r="Q139" i="10"/>
  <c r="O139" i="10"/>
  <c r="N139" i="10"/>
  <c r="M139" i="10"/>
  <c r="K139" i="10"/>
  <c r="J139" i="10"/>
  <c r="H139" i="10"/>
  <c r="G139" i="10"/>
  <c r="F139" i="10"/>
  <c r="E139" i="10"/>
  <c r="D139" i="10"/>
  <c r="B139" i="10"/>
  <c r="V138" i="10"/>
  <c r="R138" i="10"/>
  <c r="T138" i="10" s="1"/>
  <c r="Q138" i="10"/>
  <c r="P138" i="10"/>
  <c r="O138" i="10"/>
  <c r="N138" i="10"/>
  <c r="M138" i="10"/>
  <c r="K138" i="10"/>
  <c r="J138" i="10"/>
  <c r="H138" i="10"/>
  <c r="G138" i="10"/>
  <c r="F138" i="10"/>
  <c r="E138" i="10"/>
  <c r="D138" i="10"/>
  <c r="B138" i="10"/>
  <c r="V137" i="10"/>
  <c r="R137" i="10"/>
  <c r="T137" i="10" s="1"/>
  <c r="Q137" i="10"/>
  <c r="P137" i="10"/>
  <c r="O137" i="10"/>
  <c r="N137" i="10"/>
  <c r="M137" i="10"/>
  <c r="K137" i="10"/>
  <c r="J137" i="10"/>
  <c r="H137" i="10"/>
  <c r="G137" i="10"/>
  <c r="F137" i="10"/>
  <c r="E137" i="10"/>
  <c r="D137" i="10"/>
  <c r="B137" i="10"/>
  <c r="V136" i="10"/>
  <c r="R136" i="10"/>
  <c r="T136" i="10" s="1"/>
  <c r="Q136" i="10"/>
  <c r="P136" i="10"/>
  <c r="O136" i="10"/>
  <c r="N136" i="10"/>
  <c r="M136" i="10"/>
  <c r="K136" i="10"/>
  <c r="J136" i="10"/>
  <c r="H136" i="10"/>
  <c r="G136" i="10"/>
  <c r="F136" i="10"/>
  <c r="E136" i="10"/>
  <c r="D136" i="10"/>
  <c r="B136" i="10"/>
  <c r="V135" i="10"/>
  <c r="R135" i="10"/>
  <c r="T135" i="10" s="1"/>
  <c r="Q135" i="10"/>
  <c r="P135" i="10"/>
  <c r="O135" i="10"/>
  <c r="N135" i="10"/>
  <c r="M135" i="10"/>
  <c r="K135" i="10"/>
  <c r="J135" i="10"/>
  <c r="H135" i="10"/>
  <c r="G135" i="10"/>
  <c r="F135" i="10"/>
  <c r="E135" i="10"/>
  <c r="D135" i="10"/>
  <c r="B135" i="10"/>
  <c r="V134" i="10"/>
  <c r="R134" i="10"/>
  <c r="T134" i="10" s="1"/>
  <c r="Q134" i="10"/>
  <c r="O134" i="10"/>
  <c r="N134" i="10"/>
  <c r="M134" i="10"/>
  <c r="K134" i="10"/>
  <c r="J134" i="10"/>
  <c r="H134" i="10"/>
  <c r="G134" i="10"/>
  <c r="F134" i="10"/>
  <c r="E134" i="10"/>
  <c r="D134" i="10"/>
  <c r="B134" i="10"/>
  <c r="V133" i="10"/>
  <c r="Q133" i="10"/>
  <c r="R133" i="10" s="1"/>
  <c r="T133" i="10" s="1"/>
  <c r="P133" i="10"/>
  <c r="O133" i="10"/>
  <c r="N133" i="10"/>
  <c r="M133" i="10"/>
  <c r="K133" i="10"/>
  <c r="J133" i="10"/>
  <c r="H133" i="10"/>
  <c r="G133" i="10"/>
  <c r="F133" i="10"/>
  <c r="E133" i="10"/>
  <c r="D133" i="10"/>
  <c r="B133" i="10"/>
  <c r="V132" i="10"/>
  <c r="Q132" i="10"/>
  <c r="R132" i="10" s="1"/>
  <c r="T132" i="10" s="1"/>
  <c r="O132" i="10"/>
  <c r="N132" i="10"/>
  <c r="M132" i="10"/>
  <c r="K132" i="10"/>
  <c r="J132" i="10"/>
  <c r="H132" i="10"/>
  <c r="G132" i="10"/>
  <c r="F132" i="10"/>
  <c r="E132" i="10"/>
  <c r="D132" i="10"/>
  <c r="B132" i="10"/>
  <c r="V131" i="10"/>
  <c r="Q131" i="10"/>
  <c r="P131" i="10"/>
  <c r="O131" i="10"/>
  <c r="R131" i="10" s="1"/>
  <c r="T131" i="10" s="1"/>
  <c r="N131" i="10"/>
  <c r="M131" i="10"/>
  <c r="K131" i="10"/>
  <c r="J131" i="10"/>
  <c r="H131" i="10"/>
  <c r="G131" i="10"/>
  <c r="F131" i="10"/>
  <c r="E131" i="10"/>
  <c r="D131" i="10"/>
  <c r="B131" i="10"/>
  <c r="V130" i="10"/>
  <c r="Q130" i="10"/>
  <c r="P130" i="10"/>
  <c r="O130" i="10"/>
  <c r="R130" i="10" s="1"/>
  <c r="T130" i="10" s="1"/>
  <c r="N130" i="10"/>
  <c r="M130" i="10"/>
  <c r="K130" i="10"/>
  <c r="J130" i="10"/>
  <c r="H130" i="10"/>
  <c r="G130" i="10"/>
  <c r="F130" i="10"/>
  <c r="E130" i="10"/>
  <c r="D130" i="10"/>
  <c r="B130" i="10"/>
  <c r="V129" i="10"/>
  <c r="R129" i="10"/>
  <c r="T129" i="10" s="1"/>
  <c r="Q129" i="10"/>
  <c r="P129" i="10"/>
  <c r="O129" i="10"/>
  <c r="N129" i="10"/>
  <c r="M129" i="10"/>
  <c r="K129" i="10"/>
  <c r="J129" i="10"/>
  <c r="H129" i="10"/>
  <c r="G129" i="10"/>
  <c r="F129" i="10"/>
  <c r="E129" i="10"/>
  <c r="D129" i="10"/>
  <c r="B129" i="10"/>
  <c r="V128" i="10"/>
  <c r="Q128" i="10"/>
  <c r="R128" i="10" s="1"/>
  <c r="T128" i="10" s="1"/>
  <c r="P128" i="10"/>
  <c r="O128" i="10"/>
  <c r="N128" i="10"/>
  <c r="M128" i="10"/>
  <c r="K128" i="10"/>
  <c r="J128" i="10"/>
  <c r="H128" i="10"/>
  <c r="G128" i="10"/>
  <c r="F128" i="10"/>
  <c r="E128" i="10"/>
  <c r="D128" i="10"/>
  <c r="B128" i="10"/>
  <c r="V127" i="10"/>
  <c r="Q127" i="10"/>
  <c r="P127" i="10"/>
  <c r="R127" i="10" s="1"/>
  <c r="T127" i="10" s="1"/>
  <c r="O127" i="10"/>
  <c r="N127" i="10"/>
  <c r="M127" i="10"/>
  <c r="K127" i="10"/>
  <c r="J127" i="10"/>
  <c r="H127" i="10"/>
  <c r="G127" i="10"/>
  <c r="F127" i="10"/>
  <c r="E127" i="10"/>
  <c r="D127" i="10"/>
  <c r="B127" i="10"/>
  <c r="V126" i="10"/>
  <c r="Q126" i="10"/>
  <c r="O126" i="10"/>
  <c r="N126" i="10"/>
  <c r="R126" i="10" s="1"/>
  <c r="T126" i="10" s="1"/>
  <c r="M126" i="10"/>
  <c r="K126" i="10"/>
  <c r="J126" i="10"/>
  <c r="H126" i="10"/>
  <c r="G126" i="10"/>
  <c r="F126" i="10"/>
  <c r="E126" i="10"/>
  <c r="D126" i="10"/>
  <c r="B126" i="10"/>
  <c r="V125" i="10"/>
  <c r="Q125" i="10"/>
  <c r="O125" i="10"/>
  <c r="N125" i="10"/>
  <c r="M125" i="10"/>
  <c r="K125" i="10"/>
  <c r="J125" i="10"/>
  <c r="H125" i="10"/>
  <c r="G125" i="10"/>
  <c r="F125" i="10"/>
  <c r="E125" i="10"/>
  <c r="D125" i="10"/>
  <c r="B125" i="10"/>
  <c r="V124" i="10"/>
  <c r="Q124" i="10"/>
  <c r="P124" i="10"/>
  <c r="O124" i="10"/>
  <c r="N124" i="10"/>
  <c r="M124" i="10"/>
  <c r="R124" i="10" s="1"/>
  <c r="T124" i="10" s="1"/>
  <c r="K124" i="10"/>
  <c r="J124" i="10"/>
  <c r="H124" i="10"/>
  <c r="G124" i="10"/>
  <c r="F124" i="10"/>
  <c r="E124" i="10"/>
  <c r="D124" i="10"/>
  <c r="B124" i="10"/>
  <c r="V123" i="10"/>
  <c r="Q123" i="10"/>
  <c r="O123" i="10"/>
  <c r="N123" i="10"/>
  <c r="M123" i="10"/>
  <c r="K123" i="10"/>
  <c r="J123" i="10"/>
  <c r="H123" i="10"/>
  <c r="G123" i="10"/>
  <c r="F123" i="10"/>
  <c r="E123" i="10"/>
  <c r="D123" i="10"/>
  <c r="B123" i="10"/>
  <c r="V122" i="10"/>
  <c r="Q122" i="10"/>
  <c r="P122" i="10"/>
  <c r="O122" i="10"/>
  <c r="N122" i="10"/>
  <c r="M122" i="10"/>
  <c r="K122" i="10"/>
  <c r="J122" i="10"/>
  <c r="H122" i="10"/>
  <c r="G122" i="10"/>
  <c r="F122" i="10"/>
  <c r="E122" i="10"/>
  <c r="D122" i="10"/>
  <c r="B122" i="10"/>
  <c r="V121" i="10"/>
  <c r="Q121" i="10"/>
  <c r="P121" i="10"/>
  <c r="O121" i="10"/>
  <c r="N121" i="10"/>
  <c r="M121" i="10"/>
  <c r="R121" i="10" s="1"/>
  <c r="T121" i="10" s="1"/>
  <c r="K121" i="10"/>
  <c r="J121" i="10"/>
  <c r="H121" i="10"/>
  <c r="G121" i="10"/>
  <c r="F121" i="10"/>
  <c r="E121" i="10"/>
  <c r="D121" i="10"/>
  <c r="B121" i="10"/>
  <c r="V120" i="10"/>
  <c r="Q120" i="10"/>
  <c r="P120" i="10"/>
  <c r="O120" i="10"/>
  <c r="N120" i="10"/>
  <c r="M120" i="10"/>
  <c r="R120" i="10" s="1"/>
  <c r="T120" i="10" s="1"/>
  <c r="K120" i="10"/>
  <c r="J120" i="10"/>
  <c r="H120" i="10"/>
  <c r="G120" i="10"/>
  <c r="F120" i="10"/>
  <c r="E120" i="10"/>
  <c r="D120" i="10"/>
  <c r="B120" i="10"/>
  <c r="V119" i="10"/>
  <c r="Q119" i="10"/>
  <c r="O119" i="10"/>
  <c r="N119" i="10"/>
  <c r="M119" i="10"/>
  <c r="R119" i="10" s="1"/>
  <c r="T119" i="10" s="1"/>
  <c r="K119" i="10"/>
  <c r="J119" i="10"/>
  <c r="H119" i="10"/>
  <c r="G119" i="10"/>
  <c r="F119" i="10"/>
  <c r="E119" i="10"/>
  <c r="D119" i="10"/>
  <c r="B119" i="10"/>
  <c r="V118" i="10"/>
  <c r="Q118" i="10"/>
  <c r="P118" i="10"/>
  <c r="O118" i="10"/>
  <c r="N118" i="10"/>
  <c r="M118" i="10"/>
  <c r="R118" i="10" s="1"/>
  <c r="T118" i="10" s="1"/>
  <c r="K118" i="10"/>
  <c r="J118" i="10"/>
  <c r="H118" i="10"/>
  <c r="G118" i="10"/>
  <c r="F118" i="10"/>
  <c r="E118" i="10"/>
  <c r="D118" i="10"/>
  <c r="B118" i="10"/>
  <c r="V117" i="10"/>
  <c r="Q117" i="10"/>
  <c r="P117" i="10"/>
  <c r="O117" i="10"/>
  <c r="N117" i="10"/>
  <c r="M117" i="10"/>
  <c r="K117" i="10"/>
  <c r="J117" i="10"/>
  <c r="H117" i="10"/>
  <c r="G117" i="10"/>
  <c r="F117" i="10"/>
  <c r="E117" i="10"/>
  <c r="D117" i="10"/>
  <c r="B117" i="10"/>
  <c r="V116" i="10"/>
  <c r="T116" i="10"/>
  <c r="Q116" i="10"/>
  <c r="P116" i="10"/>
  <c r="O116" i="10"/>
  <c r="N116" i="10"/>
  <c r="M116" i="10"/>
  <c r="R116" i="10" s="1"/>
  <c r="K116" i="10"/>
  <c r="J116" i="10"/>
  <c r="H116" i="10"/>
  <c r="G116" i="10"/>
  <c r="F116" i="10"/>
  <c r="E116" i="10"/>
  <c r="D116" i="10"/>
  <c r="B116" i="10"/>
  <c r="V115" i="10"/>
  <c r="T115" i="10"/>
  <c r="Q115" i="10"/>
  <c r="O115" i="10"/>
  <c r="N115" i="10"/>
  <c r="M115" i="10"/>
  <c r="R115" i="10" s="1"/>
  <c r="K115" i="10"/>
  <c r="J115" i="10"/>
  <c r="H115" i="10"/>
  <c r="G115" i="10"/>
  <c r="F115" i="10"/>
  <c r="E115" i="10"/>
  <c r="D115" i="10"/>
  <c r="B115" i="10"/>
  <c r="V114" i="10"/>
  <c r="T114" i="10"/>
  <c r="R114" i="10"/>
  <c r="Q114" i="10"/>
  <c r="O114" i="10"/>
  <c r="N114" i="10"/>
  <c r="M114" i="10"/>
  <c r="K114" i="10"/>
  <c r="J114" i="10"/>
  <c r="H114" i="10"/>
  <c r="G114" i="10"/>
  <c r="F114" i="10"/>
  <c r="E114" i="10"/>
  <c r="D114" i="10"/>
  <c r="B114" i="10"/>
  <c r="V113" i="10"/>
  <c r="R113" i="10"/>
  <c r="T113" i="10" s="1"/>
  <c r="Q113" i="10"/>
  <c r="P113" i="10"/>
  <c r="O113" i="10"/>
  <c r="N113" i="10"/>
  <c r="M113" i="10"/>
  <c r="K113" i="10"/>
  <c r="J113" i="10"/>
  <c r="H113" i="10"/>
  <c r="G113" i="10"/>
  <c r="F113" i="10"/>
  <c r="E113" i="10"/>
  <c r="D113" i="10"/>
  <c r="B113" i="10"/>
  <c r="V112" i="10"/>
  <c r="R112" i="10"/>
  <c r="T112" i="10" s="1"/>
  <c r="Q112" i="10"/>
  <c r="O112" i="10"/>
  <c r="N112" i="10"/>
  <c r="M112" i="10"/>
  <c r="K112" i="10"/>
  <c r="J112" i="10"/>
  <c r="H112" i="10"/>
  <c r="G112" i="10"/>
  <c r="F112" i="10"/>
  <c r="E112" i="10"/>
  <c r="D112" i="10"/>
  <c r="B112" i="10"/>
  <c r="V111" i="10"/>
  <c r="Q111" i="10"/>
  <c r="R111" i="10" s="1"/>
  <c r="T111" i="10" s="1"/>
  <c r="P111" i="10"/>
  <c r="O111" i="10"/>
  <c r="N111" i="10"/>
  <c r="M111" i="10"/>
  <c r="K111" i="10"/>
  <c r="J111" i="10"/>
  <c r="H111" i="10"/>
  <c r="G111" i="10"/>
  <c r="F111" i="10"/>
  <c r="E111" i="10"/>
  <c r="D111" i="10"/>
  <c r="B111" i="10"/>
  <c r="V110" i="10"/>
  <c r="Q110" i="10"/>
  <c r="R110" i="10" s="1"/>
  <c r="T110" i="10" s="1"/>
  <c r="O110" i="10"/>
  <c r="N110" i="10"/>
  <c r="M110" i="10"/>
  <c r="K110" i="10"/>
  <c r="J110" i="10"/>
  <c r="H110" i="10"/>
  <c r="G110" i="10"/>
  <c r="F110" i="10"/>
  <c r="E110" i="10"/>
  <c r="D110" i="10"/>
  <c r="B110" i="10"/>
  <c r="V109" i="10"/>
  <c r="Q109" i="10"/>
  <c r="P109" i="10"/>
  <c r="O109" i="10"/>
  <c r="R109" i="10" s="1"/>
  <c r="T109" i="10" s="1"/>
  <c r="N109" i="10"/>
  <c r="M109" i="10"/>
  <c r="K109" i="10"/>
  <c r="J109" i="10"/>
  <c r="H109" i="10"/>
  <c r="G109" i="10"/>
  <c r="F109" i="10"/>
  <c r="E109" i="10"/>
  <c r="D109" i="10"/>
  <c r="B109" i="10"/>
  <c r="V108" i="10"/>
  <c r="Q108" i="10"/>
  <c r="O108" i="10"/>
  <c r="N108" i="10"/>
  <c r="R108" i="10" s="1"/>
  <c r="T108" i="10" s="1"/>
  <c r="M108" i="10"/>
  <c r="K108" i="10"/>
  <c r="J108" i="10"/>
  <c r="H108" i="10"/>
  <c r="G108" i="10"/>
  <c r="F108" i="10"/>
  <c r="E108" i="10"/>
  <c r="D108" i="10"/>
  <c r="B108" i="10"/>
  <c r="V107" i="10"/>
  <c r="Q107" i="10"/>
  <c r="P107" i="10"/>
  <c r="O107" i="10"/>
  <c r="N107" i="10"/>
  <c r="M107" i="10"/>
  <c r="K107" i="10"/>
  <c r="J107" i="10"/>
  <c r="H107" i="10"/>
  <c r="G107" i="10"/>
  <c r="F107" i="10"/>
  <c r="E107" i="10"/>
  <c r="D107" i="10"/>
  <c r="B107" i="10"/>
  <c r="V106" i="10"/>
  <c r="Q106" i="10"/>
  <c r="O106" i="10"/>
  <c r="N106" i="10"/>
  <c r="M106" i="10"/>
  <c r="R106" i="10" s="1"/>
  <c r="T106" i="10" s="1"/>
  <c r="K106" i="10"/>
  <c r="J106" i="10"/>
  <c r="H106" i="10"/>
  <c r="G106" i="10"/>
  <c r="F106" i="10"/>
  <c r="E106" i="10"/>
  <c r="D106" i="10"/>
  <c r="B106" i="10"/>
  <c r="V105" i="10"/>
  <c r="Q105" i="10"/>
  <c r="P105" i="10"/>
  <c r="O105" i="10"/>
  <c r="N105" i="10"/>
  <c r="M105" i="10"/>
  <c r="K105" i="10"/>
  <c r="J105" i="10"/>
  <c r="H105" i="10"/>
  <c r="G105" i="10"/>
  <c r="F105" i="10"/>
  <c r="E105" i="10"/>
  <c r="D105" i="10"/>
  <c r="B105" i="10"/>
  <c r="V104" i="10"/>
  <c r="Q104" i="10"/>
  <c r="P104" i="10"/>
  <c r="O104" i="10"/>
  <c r="N104" i="10"/>
  <c r="M104" i="10"/>
  <c r="R104" i="10" s="1"/>
  <c r="T104" i="10" s="1"/>
  <c r="K104" i="10"/>
  <c r="J104" i="10"/>
  <c r="H104" i="10"/>
  <c r="G104" i="10"/>
  <c r="F104" i="10"/>
  <c r="E104" i="10"/>
  <c r="D104" i="10"/>
  <c r="B104" i="10"/>
  <c r="V103" i="10"/>
  <c r="Q103" i="10"/>
  <c r="P103" i="10"/>
  <c r="O103" i="10"/>
  <c r="N103" i="10"/>
  <c r="M103" i="10"/>
  <c r="K103" i="10"/>
  <c r="J103" i="10"/>
  <c r="H103" i="10"/>
  <c r="G103" i="10"/>
  <c r="F103" i="10"/>
  <c r="E103" i="10"/>
  <c r="D103" i="10"/>
  <c r="B103" i="10"/>
  <c r="V102" i="10"/>
  <c r="Q102" i="10"/>
  <c r="P102" i="10"/>
  <c r="O102" i="10"/>
  <c r="N102" i="10"/>
  <c r="M102" i="10"/>
  <c r="K102" i="10"/>
  <c r="J102" i="10"/>
  <c r="H102" i="10"/>
  <c r="G102" i="10"/>
  <c r="F102" i="10"/>
  <c r="E102" i="10"/>
  <c r="D102" i="10"/>
  <c r="B102" i="10"/>
  <c r="V101" i="10"/>
  <c r="Q101" i="10"/>
  <c r="P101" i="10"/>
  <c r="O101" i="10"/>
  <c r="N101" i="10"/>
  <c r="M101" i="10"/>
  <c r="K101" i="10"/>
  <c r="J101" i="10"/>
  <c r="H101" i="10"/>
  <c r="G101" i="10"/>
  <c r="F101" i="10"/>
  <c r="E101" i="10"/>
  <c r="D101" i="10"/>
  <c r="B101" i="10"/>
  <c r="V100" i="10"/>
  <c r="Q100" i="10"/>
  <c r="P100" i="10"/>
  <c r="O100" i="10"/>
  <c r="N100" i="10"/>
  <c r="M100" i="10"/>
  <c r="R100" i="10" s="1"/>
  <c r="T100" i="10" s="1"/>
  <c r="K100" i="10"/>
  <c r="J100" i="10"/>
  <c r="H100" i="10"/>
  <c r="G100" i="10"/>
  <c r="F100" i="10"/>
  <c r="E100" i="10"/>
  <c r="D100" i="10"/>
  <c r="B100" i="10"/>
  <c r="V99" i="10"/>
  <c r="Q99" i="10"/>
  <c r="P99" i="10"/>
  <c r="O99" i="10"/>
  <c r="N99" i="10"/>
  <c r="M99" i="10"/>
  <c r="K99" i="10"/>
  <c r="J99" i="10"/>
  <c r="H99" i="10"/>
  <c r="G99" i="10"/>
  <c r="F99" i="10"/>
  <c r="E99" i="10"/>
  <c r="D99" i="10"/>
  <c r="B99" i="10"/>
  <c r="V98" i="10"/>
  <c r="Q98" i="10"/>
  <c r="P98" i="10"/>
  <c r="O98" i="10"/>
  <c r="N98" i="10"/>
  <c r="M98" i="10"/>
  <c r="K98" i="10"/>
  <c r="J98" i="10"/>
  <c r="H98" i="10"/>
  <c r="G98" i="10"/>
  <c r="F98" i="10"/>
  <c r="E98" i="10"/>
  <c r="D98" i="10"/>
  <c r="B98" i="10"/>
  <c r="V97" i="10"/>
  <c r="T97" i="10"/>
  <c r="Q97" i="10"/>
  <c r="P97" i="10"/>
  <c r="O97" i="10"/>
  <c r="N97" i="10"/>
  <c r="M97" i="10"/>
  <c r="R97" i="10" s="1"/>
  <c r="K97" i="10"/>
  <c r="J97" i="10"/>
  <c r="H97" i="10"/>
  <c r="G97" i="10"/>
  <c r="F97" i="10"/>
  <c r="E97" i="10"/>
  <c r="D97" i="10"/>
  <c r="B97" i="10"/>
  <c r="V96" i="10"/>
  <c r="T96" i="10"/>
  <c r="Q96" i="10"/>
  <c r="P96" i="10"/>
  <c r="O96" i="10"/>
  <c r="N96" i="10"/>
  <c r="M96" i="10"/>
  <c r="R96" i="10" s="1"/>
  <c r="K96" i="10"/>
  <c r="J96" i="10"/>
  <c r="H96" i="10"/>
  <c r="G96" i="10"/>
  <c r="F96" i="10"/>
  <c r="E96" i="10"/>
  <c r="D96" i="10"/>
  <c r="B96" i="10"/>
  <c r="V95" i="10"/>
  <c r="Q95" i="10"/>
  <c r="P95" i="10"/>
  <c r="O95" i="10"/>
  <c r="N95" i="10"/>
  <c r="M95" i="10"/>
  <c r="K95" i="10"/>
  <c r="J95" i="10"/>
  <c r="H95" i="10"/>
  <c r="G95" i="10"/>
  <c r="F95" i="10"/>
  <c r="E95" i="10"/>
  <c r="D95" i="10"/>
  <c r="B95" i="10"/>
  <c r="V94" i="10"/>
  <c r="Q94" i="10"/>
  <c r="P94" i="10"/>
  <c r="O94" i="10"/>
  <c r="N94" i="10"/>
  <c r="M94" i="10"/>
  <c r="K94" i="10"/>
  <c r="J94" i="10"/>
  <c r="H94" i="10"/>
  <c r="G94" i="10"/>
  <c r="F94" i="10"/>
  <c r="E94" i="10"/>
  <c r="D94" i="10"/>
  <c r="B94" i="10"/>
  <c r="V93" i="10"/>
  <c r="Q93" i="10"/>
  <c r="P93" i="10"/>
  <c r="O93" i="10"/>
  <c r="N93" i="10"/>
  <c r="M93" i="10"/>
  <c r="K93" i="10"/>
  <c r="J93" i="10"/>
  <c r="H93" i="10"/>
  <c r="G93" i="10"/>
  <c r="F93" i="10"/>
  <c r="E93" i="10"/>
  <c r="D93" i="10"/>
  <c r="B93" i="10"/>
  <c r="V92" i="10"/>
  <c r="Q92" i="10"/>
  <c r="P92" i="10"/>
  <c r="O92" i="10"/>
  <c r="N92" i="10"/>
  <c r="M92" i="10"/>
  <c r="R92" i="10" s="1"/>
  <c r="T92" i="10" s="1"/>
  <c r="K92" i="10"/>
  <c r="J92" i="10"/>
  <c r="H92" i="10"/>
  <c r="G92" i="10"/>
  <c r="F92" i="10"/>
  <c r="E92" i="10"/>
  <c r="D92" i="10"/>
  <c r="B92" i="10"/>
  <c r="V91" i="10"/>
  <c r="Q91" i="10"/>
  <c r="P91" i="10"/>
  <c r="O91" i="10"/>
  <c r="N91" i="10"/>
  <c r="M91" i="10"/>
  <c r="K91" i="10"/>
  <c r="J91" i="10"/>
  <c r="H91" i="10"/>
  <c r="G91" i="10"/>
  <c r="F91" i="10"/>
  <c r="E91" i="10"/>
  <c r="D91" i="10"/>
  <c r="B91" i="10"/>
  <c r="V90" i="10"/>
  <c r="Q90" i="10"/>
  <c r="P90" i="10"/>
  <c r="O90" i="10"/>
  <c r="N90" i="10"/>
  <c r="M90" i="10"/>
  <c r="K90" i="10"/>
  <c r="J90" i="10"/>
  <c r="H90" i="10"/>
  <c r="G90" i="10"/>
  <c r="F90" i="10"/>
  <c r="E90" i="10"/>
  <c r="D90" i="10"/>
  <c r="B90" i="10"/>
  <c r="V89" i="10"/>
  <c r="T89" i="10"/>
  <c r="Q89" i="10"/>
  <c r="P89" i="10"/>
  <c r="O89" i="10"/>
  <c r="N89" i="10"/>
  <c r="M89" i="10"/>
  <c r="R89" i="10" s="1"/>
  <c r="K89" i="10"/>
  <c r="J89" i="10"/>
  <c r="H89" i="10"/>
  <c r="G89" i="10"/>
  <c r="F89" i="10"/>
  <c r="E89" i="10"/>
  <c r="D89" i="10"/>
  <c r="B89" i="10"/>
  <c r="V88" i="10"/>
  <c r="T88" i="10"/>
  <c r="Q88" i="10"/>
  <c r="P88" i="10"/>
  <c r="O88" i="10"/>
  <c r="N88" i="10"/>
  <c r="M88" i="10"/>
  <c r="R88" i="10" s="1"/>
  <c r="K88" i="10"/>
  <c r="J88" i="10"/>
  <c r="H88" i="10"/>
  <c r="G88" i="10"/>
  <c r="F88" i="10"/>
  <c r="E88" i="10"/>
  <c r="D88" i="10"/>
  <c r="B88" i="10"/>
  <c r="V87" i="10"/>
  <c r="Q87" i="10"/>
  <c r="P87" i="10"/>
  <c r="O87" i="10"/>
  <c r="N87" i="10"/>
  <c r="M87" i="10"/>
  <c r="K87" i="10"/>
  <c r="J87" i="10"/>
  <c r="H87" i="10"/>
  <c r="G87" i="10"/>
  <c r="F87" i="10"/>
  <c r="E87" i="10"/>
  <c r="D87" i="10"/>
  <c r="B87" i="10"/>
  <c r="V86" i="10"/>
  <c r="Q86" i="10"/>
  <c r="P86" i="10"/>
  <c r="O86" i="10"/>
  <c r="N86" i="10"/>
  <c r="M86" i="10"/>
  <c r="K86" i="10"/>
  <c r="J86" i="10"/>
  <c r="H86" i="10"/>
  <c r="G86" i="10"/>
  <c r="F86" i="10"/>
  <c r="E86" i="10"/>
  <c r="D86" i="10"/>
  <c r="B86" i="10"/>
  <c r="V85" i="10"/>
  <c r="Q85" i="10"/>
  <c r="P85" i="10"/>
  <c r="O85" i="10"/>
  <c r="N85" i="10"/>
  <c r="M85" i="10"/>
  <c r="K85" i="10"/>
  <c r="J85" i="10"/>
  <c r="H85" i="10"/>
  <c r="G85" i="10"/>
  <c r="F85" i="10"/>
  <c r="E85" i="10"/>
  <c r="D85" i="10"/>
  <c r="B85" i="10"/>
  <c r="V84" i="10"/>
  <c r="Q84" i="10"/>
  <c r="P84" i="10"/>
  <c r="O84" i="10"/>
  <c r="N84" i="10"/>
  <c r="M84" i="10"/>
  <c r="R84" i="10" s="1"/>
  <c r="T84" i="10" s="1"/>
  <c r="K84" i="10"/>
  <c r="J84" i="10"/>
  <c r="H84" i="10"/>
  <c r="G84" i="10"/>
  <c r="F84" i="10"/>
  <c r="E84" i="10"/>
  <c r="D84" i="10"/>
  <c r="B84" i="10"/>
  <c r="V83" i="10"/>
  <c r="Q83" i="10"/>
  <c r="P83" i="10"/>
  <c r="O83" i="10"/>
  <c r="N83" i="10"/>
  <c r="M83" i="10"/>
  <c r="K83" i="10"/>
  <c r="J83" i="10"/>
  <c r="H83" i="10"/>
  <c r="G83" i="10"/>
  <c r="F83" i="10"/>
  <c r="E83" i="10"/>
  <c r="D83" i="10"/>
  <c r="B83" i="10"/>
  <c r="V82" i="10"/>
  <c r="Q82" i="10"/>
  <c r="P82" i="10"/>
  <c r="O82" i="10"/>
  <c r="N82" i="10"/>
  <c r="M82" i="10"/>
  <c r="K82" i="10"/>
  <c r="J82" i="10"/>
  <c r="H82" i="10"/>
  <c r="G82" i="10"/>
  <c r="F82" i="10"/>
  <c r="E82" i="10"/>
  <c r="D82" i="10"/>
  <c r="B82" i="10"/>
  <c r="V81" i="10"/>
  <c r="T81" i="10"/>
  <c r="Q81" i="10"/>
  <c r="P81" i="10"/>
  <c r="O81" i="10"/>
  <c r="N81" i="10"/>
  <c r="M81" i="10"/>
  <c r="R81" i="10" s="1"/>
  <c r="K81" i="10"/>
  <c r="J81" i="10"/>
  <c r="H81" i="10"/>
  <c r="G81" i="10"/>
  <c r="F81" i="10"/>
  <c r="E81" i="10"/>
  <c r="D81" i="10"/>
  <c r="B81" i="10"/>
  <c r="V80" i="10"/>
  <c r="T80" i="10"/>
  <c r="Q80" i="10"/>
  <c r="P80" i="10"/>
  <c r="O80" i="10"/>
  <c r="N80" i="10"/>
  <c r="M80" i="10"/>
  <c r="R80" i="10" s="1"/>
  <c r="K80" i="10"/>
  <c r="J80" i="10"/>
  <c r="H80" i="10"/>
  <c r="G80" i="10"/>
  <c r="F80" i="10"/>
  <c r="E80" i="10"/>
  <c r="D80" i="10"/>
  <c r="B80" i="10"/>
  <c r="V79" i="10"/>
  <c r="Q79" i="10"/>
  <c r="P79" i="10"/>
  <c r="O79" i="10"/>
  <c r="N79" i="10"/>
  <c r="M79" i="10"/>
  <c r="K79" i="10"/>
  <c r="J79" i="10"/>
  <c r="H79" i="10"/>
  <c r="G79" i="10"/>
  <c r="F79" i="10"/>
  <c r="E79" i="10"/>
  <c r="D79" i="10"/>
  <c r="B79" i="10"/>
  <c r="V78" i="10"/>
  <c r="Q78" i="10"/>
  <c r="P78" i="10"/>
  <c r="O78" i="10"/>
  <c r="N78" i="10"/>
  <c r="M78" i="10"/>
  <c r="K78" i="10"/>
  <c r="J78" i="10"/>
  <c r="H78" i="10"/>
  <c r="G78" i="10"/>
  <c r="F78" i="10"/>
  <c r="E78" i="10"/>
  <c r="D78" i="10"/>
  <c r="B78" i="10"/>
  <c r="V77" i="10"/>
  <c r="Q77" i="10"/>
  <c r="P77" i="10"/>
  <c r="O77" i="10"/>
  <c r="N77" i="10"/>
  <c r="M77" i="10"/>
  <c r="K77" i="10"/>
  <c r="J77" i="10"/>
  <c r="H77" i="10"/>
  <c r="G77" i="10"/>
  <c r="F77" i="10"/>
  <c r="E77" i="10"/>
  <c r="D77" i="10"/>
  <c r="B77" i="10"/>
  <c r="V76" i="10"/>
  <c r="Q76" i="10"/>
  <c r="P76" i="10"/>
  <c r="O76" i="10"/>
  <c r="N76" i="10"/>
  <c r="M76" i="10"/>
  <c r="R76" i="10" s="1"/>
  <c r="T76" i="10" s="1"/>
  <c r="K76" i="10"/>
  <c r="J76" i="10"/>
  <c r="H76" i="10"/>
  <c r="G76" i="10"/>
  <c r="F76" i="10"/>
  <c r="E76" i="10"/>
  <c r="D76" i="10"/>
  <c r="B76" i="10"/>
  <c r="V75" i="10"/>
  <c r="Q75" i="10"/>
  <c r="P75" i="10"/>
  <c r="O75" i="10"/>
  <c r="N75" i="10"/>
  <c r="M75" i="10"/>
  <c r="K75" i="10"/>
  <c r="J75" i="10"/>
  <c r="H75" i="10"/>
  <c r="G75" i="10"/>
  <c r="F75" i="10"/>
  <c r="E75" i="10"/>
  <c r="D75" i="10"/>
  <c r="B75" i="10"/>
  <c r="V74" i="10"/>
  <c r="Q74" i="10"/>
  <c r="P74" i="10"/>
  <c r="O74" i="10"/>
  <c r="N74" i="10"/>
  <c r="M74" i="10"/>
  <c r="K74" i="10"/>
  <c r="J74" i="10"/>
  <c r="H74" i="10"/>
  <c r="G74" i="10"/>
  <c r="F74" i="10"/>
  <c r="E74" i="10"/>
  <c r="D74" i="10"/>
  <c r="B74" i="10"/>
  <c r="V73" i="10"/>
  <c r="T73" i="10"/>
  <c r="Q73" i="10"/>
  <c r="P73" i="10"/>
  <c r="O73" i="10"/>
  <c r="N73" i="10"/>
  <c r="M73" i="10"/>
  <c r="R73" i="10" s="1"/>
  <c r="K73" i="10"/>
  <c r="J73" i="10"/>
  <c r="H73" i="10"/>
  <c r="G73" i="10"/>
  <c r="F73" i="10"/>
  <c r="E73" i="10"/>
  <c r="D73" i="10"/>
  <c r="B73" i="10"/>
  <c r="V72" i="10"/>
  <c r="T72" i="10"/>
  <c r="Q72" i="10"/>
  <c r="P72" i="10"/>
  <c r="O72" i="10"/>
  <c r="N72" i="10"/>
  <c r="M72" i="10"/>
  <c r="R72" i="10" s="1"/>
  <c r="K72" i="10"/>
  <c r="J72" i="10"/>
  <c r="H72" i="10"/>
  <c r="G72" i="10"/>
  <c r="F72" i="10"/>
  <c r="E72" i="10"/>
  <c r="D72" i="10"/>
  <c r="B72" i="10"/>
  <c r="V71" i="10"/>
  <c r="Q71" i="10"/>
  <c r="P71" i="10"/>
  <c r="O71" i="10"/>
  <c r="N71" i="10"/>
  <c r="M71" i="10"/>
  <c r="K71" i="10"/>
  <c r="J71" i="10"/>
  <c r="H71" i="10"/>
  <c r="G71" i="10"/>
  <c r="F71" i="10"/>
  <c r="E71" i="10"/>
  <c r="D71" i="10"/>
  <c r="B71" i="10"/>
  <c r="V70" i="10"/>
  <c r="Q70" i="10"/>
  <c r="P70" i="10"/>
  <c r="O70" i="10"/>
  <c r="N70" i="10"/>
  <c r="M70" i="10"/>
  <c r="K70" i="10"/>
  <c r="J70" i="10"/>
  <c r="H70" i="10"/>
  <c r="G70" i="10"/>
  <c r="F70" i="10"/>
  <c r="E70" i="10"/>
  <c r="D70" i="10"/>
  <c r="B70" i="10"/>
  <c r="V69" i="10"/>
  <c r="Q69" i="10"/>
  <c r="P69" i="10"/>
  <c r="O69" i="10"/>
  <c r="N69" i="10"/>
  <c r="M69" i="10"/>
  <c r="K69" i="10"/>
  <c r="J69" i="10"/>
  <c r="H69" i="10"/>
  <c r="G69" i="10"/>
  <c r="F69" i="10"/>
  <c r="E69" i="10"/>
  <c r="D69" i="10"/>
  <c r="B69" i="10"/>
  <c r="V68" i="10"/>
  <c r="Q68" i="10"/>
  <c r="P68" i="10"/>
  <c r="O68" i="10"/>
  <c r="N68" i="10"/>
  <c r="M68" i="10"/>
  <c r="R68" i="10" s="1"/>
  <c r="T68" i="10" s="1"/>
  <c r="K68" i="10"/>
  <c r="J68" i="10"/>
  <c r="H68" i="10"/>
  <c r="G68" i="10"/>
  <c r="F68" i="10"/>
  <c r="E68" i="10"/>
  <c r="D68" i="10"/>
  <c r="B68" i="10"/>
  <c r="V67" i="10"/>
  <c r="Q67" i="10"/>
  <c r="P67" i="10"/>
  <c r="O67" i="10"/>
  <c r="N67" i="10"/>
  <c r="M67" i="10"/>
  <c r="K67" i="10"/>
  <c r="J67" i="10"/>
  <c r="H67" i="10"/>
  <c r="G67" i="10"/>
  <c r="F67" i="10"/>
  <c r="E67" i="10"/>
  <c r="D67" i="10"/>
  <c r="B67" i="10"/>
  <c r="V66" i="10"/>
  <c r="Q66" i="10"/>
  <c r="P66" i="10"/>
  <c r="O66" i="10"/>
  <c r="N66" i="10"/>
  <c r="M66" i="10"/>
  <c r="K66" i="10"/>
  <c r="J66" i="10"/>
  <c r="H66" i="10"/>
  <c r="G66" i="10"/>
  <c r="F66" i="10"/>
  <c r="E66" i="10"/>
  <c r="D66" i="10"/>
  <c r="B66" i="10"/>
  <c r="V65" i="10"/>
  <c r="T65" i="10"/>
  <c r="Q65" i="10"/>
  <c r="P65" i="10"/>
  <c r="O65" i="10"/>
  <c r="N65" i="10"/>
  <c r="M65" i="10"/>
  <c r="R65" i="10" s="1"/>
  <c r="K65" i="10"/>
  <c r="J65" i="10"/>
  <c r="H65" i="10"/>
  <c r="G65" i="10"/>
  <c r="F65" i="10"/>
  <c r="E65" i="10"/>
  <c r="D65" i="10"/>
  <c r="B65" i="10"/>
  <c r="V64" i="10"/>
  <c r="T64" i="10"/>
  <c r="Q64" i="10"/>
  <c r="P64" i="10"/>
  <c r="O64" i="10"/>
  <c r="N64" i="10"/>
  <c r="M64" i="10"/>
  <c r="R64" i="10" s="1"/>
  <c r="K64" i="10"/>
  <c r="J64" i="10"/>
  <c r="H64" i="10"/>
  <c r="G64" i="10"/>
  <c r="F64" i="10"/>
  <c r="E64" i="10"/>
  <c r="D64" i="10"/>
  <c r="B64" i="10"/>
  <c r="V63" i="10"/>
  <c r="Q63" i="10"/>
  <c r="P63" i="10"/>
  <c r="O63" i="10"/>
  <c r="N63" i="10"/>
  <c r="M63" i="10"/>
  <c r="K63" i="10"/>
  <c r="J63" i="10"/>
  <c r="H63" i="10"/>
  <c r="G63" i="10"/>
  <c r="F63" i="10"/>
  <c r="E63" i="10"/>
  <c r="D63" i="10"/>
  <c r="B63" i="10"/>
  <c r="V62" i="10"/>
  <c r="Q62" i="10"/>
  <c r="P62" i="10"/>
  <c r="O62" i="10"/>
  <c r="N62" i="10"/>
  <c r="M62" i="10"/>
  <c r="K62" i="10"/>
  <c r="J62" i="10"/>
  <c r="H62" i="10"/>
  <c r="G62" i="10"/>
  <c r="F62" i="10"/>
  <c r="E62" i="10"/>
  <c r="D62" i="10"/>
  <c r="B62" i="10"/>
  <c r="V61" i="10"/>
  <c r="Q61" i="10"/>
  <c r="P61" i="10"/>
  <c r="O61" i="10"/>
  <c r="N61" i="10"/>
  <c r="M61" i="10"/>
  <c r="K61" i="10"/>
  <c r="J61" i="10"/>
  <c r="H61" i="10"/>
  <c r="G61" i="10"/>
  <c r="F61" i="10"/>
  <c r="E61" i="10"/>
  <c r="D61" i="10"/>
  <c r="B61" i="10"/>
  <c r="V60" i="10"/>
  <c r="Q60" i="10"/>
  <c r="P60" i="10"/>
  <c r="O60" i="10"/>
  <c r="N60" i="10"/>
  <c r="M60" i="10"/>
  <c r="R60" i="10" s="1"/>
  <c r="T60" i="10" s="1"/>
  <c r="K60" i="10"/>
  <c r="J60" i="10"/>
  <c r="H60" i="10"/>
  <c r="G60" i="10"/>
  <c r="F60" i="10"/>
  <c r="E60" i="10"/>
  <c r="D60" i="10"/>
  <c r="B60" i="10"/>
  <c r="V59" i="10"/>
  <c r="Q59" i="10"/>
  <c r="P59" i="10"/>
  <c r="O59" i="10"/>
  <c r="N59" i="10"/>
  <c r="M59" i="10"/>
  <c r="K59" i="10"/>
  <c r="J59" i="10"/>
  <c r="H59" i="10"/>
  <c r="G59" i="10"/>
  <c r="F59" i="10"/>
  <c r="E59" i="10"/>
  <c r="D59" i="10"/>
  <c r="B59" i="10"/>
  <c r="V58" i="10"/>
  <c r="Q58" i="10"/>
  <c r="P58" i="10"/>
  <c r="O58" i="10"/>
  <c r="N58" i="10"/>
  <c r="M58" i="10"/>
  <c r="K58" i="10"/>
  <c r="J58" i="10"/>
  <c r="H58" i="10"/>
  <c r="G58" i="10"/>
  <c r="F58" i="10"/>
  <c r="E58" i="10"/>
  <c r="D58" i="10"/>
  <c r="B58" i="10"/>
  <c r="V57" i="10"/>
  <c r="T57" i="10"/>
  <c r="Q57" i="10"/>
  <c r="P57" i="10"/>
  <c r="O57" i="10"/>
  <c r="N57" i="10"/>
  <c r="M57" i="10"/>
  <c r="R57" i="10" s="1"/>
  <c r="K57" i="10"/>
  <c r="J57" i="10"/>
  <c r="H57" i="10"/>
  <c r="G57" i="10"/>
  <c r="F57" i="10"/>
  <c r="E57" i="10"/>
  <c r="D57" i="10"/>
  <c r="B57" i="10"/>
  <c r="V56" i="10"/>
  <c r="T56" i="10"/>
  <c r="Q56" i="10"/>
  <c r="P56" i="10"/>
  <c r="O56" i="10"/>
  <c r="N56" i="10"/>
  <c r="M56" i="10"/>
  <c r="R56" i="10" s="1"/>
  <c r="K56" i="10"/>
  <c r="J56" i="10"/>
  <c r="H56" i="10"/>
  <c r="G56" i="10"/>
  <c r="F56" i="10"/>
  <c r="E56" i="10"/>
  <c r="D56" i="10"/>
  <c r="B56" i="10"/>
  <c r="V55" i="10"/>
  <c r="Q55" i="10"/>
  <c r="P55" i="10"/>
  <c r="O55" i="10"/>
  <c r="N55" i="10"/>
  <c r="M55" i="10"/>
  <c r="K55" i="10"/>
  <c r="J55" i="10"/>
  <c r="H55" i="10"/>
  <c r="G55" i="10"/>
  <c r="F55" i="10"/>
  <c r="E55" i="10"/>
  <c r="D55" i="10"/>
  <c r="B55" i="10"/>
  <c r="V54" i="10"/>
  <c r="Q54" i="10"/>
  <c r="P54" i="10"/>
  <c r="O54" i="10"/>
  <c r="N54" i="10"/>
  <c r="M54" i="10"/>
  <c r="K54" i="10"/>
  <c r="J54" i="10"/>
  <c r="H54" i="10"/>
  <c r="G54" i="10"/>
  <c r="F54" i="10"/>
  <c r="E54" i="10"/>
  <c r="D54" i="10"/>
  <c r="B54" i="10"/>
  <c r="V53" i="10"/>
  <c r="Q53" i="10"/>
  <c r="P53" i="10"/>
  <c r="O53" i="10"/>
  <c r="N53" i="10"/>
  <c r="M53" i="10"/>
  <c r="K53" i="10"/>
  <c r="J53" i="10"/>
  <c r="H53" i="10"/>
  <c r="G53" i="10"/>
  <c r="F53" i="10"/>
  <c r="E53" i="10"/>
  <c r="D53" i="10"/>
  <c r="B53" i="10"/>
  <c r="V52" i="10"/>
  <c r="Q52" i="10"/>
  <c r="P52" i="10"/>
  <c r="O52" i="10"/>
  <c r="N52" i="10"/>
  <c r="M52" i="10"/>
  <c r="R52" i="10" s="1"/>
  <c r="T52" i="10" s="1"/>
  <c r="K52" i="10"/>
  <c r="J52" i="10"/>
  <c r="H52" i="10"/>
  <c r="G52" i="10"/>
  <c r="F52" i="10"/>
  <c r="E52" i="10"/>
  <c r="D52" i="10"/>
  <c r="B52" i="10"/>
  <c r="V51" i="10"/>
  <c r="Q51" i="10"/>
  <c r="P51" i="10"/>
  <c r="O51" i="10"/>
  <c r="N51" i="10"/>
  <c r="M51" i="10"/>
  <c r="K51" i="10"/>
  <c r="J51" i="10"/>
  <c r="H51" i="10"/>
  <c r="G51" i="10"/>
  <c r="F51" i="10"/>
  <c r="E51" i="10"/>
  <c r="D51" i="10"/>
  <c r="B51" i="10"/>
  <c r="V50" i="10"/>
  <c r="Q50" i="10"/>
  <c r="P50" i="10"/>
  <c r="O50" i="10"/>
  <c r="N50" i="10"/>
  <c r="M50" i="10"/>
  <c r="K50" i="10"/>
  <c r="J50" i="10"/>
  <c r="H50" i="10"/>
  <c r="G50" i="10"/>
  <c r="F50" i="10"/>
  <c r="E50" i="10"/>
  <c r="D50" i="10"/>
  <c r="B50" i="10"/>
  <c r="V49" i="10"/>
  <c r="T49" i="10"/>
  <c r="Q49" i="10"/>
  <c r="P49" i="10"/>
  <c r="O49" i="10"/>
  <c r="N49" i="10"/>
  <c r="M49" i="10"/>
  <c r="R49" i="10" s="1"/>
  <c r="K49" i="10"/>
  <c r="J49" i="10"/>
  <c r="H49" i="10"/>
  <c r="G49" i="10"/>
  <c r="F49" i="10"/>
  <c r="E49" i="10"/>
  <c r="D49" i="10"/>
  <c r="B49" i="10"/>
  <c r="V48" i="10"/>
  <c r="T48" i="10"/>
  <c r="Q48" i="10"/>
  <c r="P48" i="10"/>
  <c r="O48" i="10"/>
  <c r="N48" i="10"/>
  <c r="M48" i="10"/>
  <c r="R48" i="10" s="1"/>
  <c r="K48" i="10"/>
  <c r="J48" i="10"/>
  <c r="H48" i="10"/>
  <c r="G48" i="10"/>
  <c r="F48" i="10"/>
  <c r="E48" i="10"/>
  <c r="D48" i="10"/>
  <c r="B48" i="10"/>
  <c r="V47" i="10"/>
  <c r="Q47" i="10"/>
  <c r="P47" i="10"/>
  <c r="O47" i="10"/>
  <c r="N47" i="10"/>
  <c r="M47" i="10"/>
  <c r="K47" i="10"/>
  <c r="J47" i="10"/>
  <c r="H47" i="10"/>
  <c r="G47" i="10"/>
  <c r="F47" i="10"/>
  <c r="E47" i="10"/>
  <c r="D47" i="10"/>
  <c r="B47" i="10"/>
  <c r="V46" i="10"/>
  <c r="Q46" i="10"/>
  <c r="P46" i="10"/>
  <c r="O46" i="10"/>
  <c r="N46" i="10"/>
  <c r="M46" i="10"/>
  <c r="K46" i="10"/>
  <c r="J46" i="10"/>
  <c r="H46" i="10"/>
  <c r="G46" i="10"/>
  <c r="F46" i="10"/>
  <c r="E46" i="10"/>
  <c r="D46" i="10"/>
  <c r="B46" i="10"/>
  <c r="V45" i="10"/>
  <c r="Q45" i="10"/>
  <c r="P45" i="10"/>
  <c r="O45" i="10"/>
  <c r="N45" i="10"/>
  <c r="M45" i="10"/>
  <c r="K45" i="10"/>
  <c r="J45" i="10"/>
  <c r="H45" i="10"/>
  <c r="G45" i="10"/>
  <c r="F45" i="10"/>
  <c r="E45" i="10"/>
  <c r="D45" i="10"/>
  <c r="B45" i="10"/>
  <c r="V44" i="10"/>
  <c r="Q44" i="10"/>
  <c r="P44" i="10"/>
  <c r="O44" i="10"/>
  <c r="N44" i="10"/>
  <c r="M44" i="10"/>
  <c r="R44" i="10" s="1"/>
  <c r="T44" i="10" s="1"/>
  <c r="K44" i="10"/>
  <c r="J44" i="10"/>
  <c r="H44" i="10"/>
  <c r="G44" i="10"/>
  <c r="F44" i="10"/>
  <c r="E44" i="10"/>
  <c r="D44" i="10"/>
  <c r="B44" i="10"/>
  <c r="W43" i="10"/>
  <c r="V43" i="10"/>
  <c r="Q43" i="10"/>
  <c r="P43" i="10"/>
  <c r="O43" i="10"/>
  <c r="N43" i="10"/>
  <c r="M43" i="10"/>
  <c r="K43" i="10"/>
  <c r="J43" i="10"/>
  <c r="H43" i="10"/>
  <c r="G43" i="10"/>
  <c r="F43" i="10"/>
  <c r="E43" i="10"/>
  <c r="D43" i="10"/>
  <c r="B43" i="10"/>
  <c r="V42" i="10"/>
  <c r="Q42" i="10"/>
  <c r="P42" i="10"/>
  <c r="O42" i="10"/>
  <c r="N42" i="10"/>
  <c r="M42" i="10"/>
  <c r="R42" i="10" s="1"/>
  <c r="T42" i="10" s="1"/>
  <c r="K42" i="10"/>
  <c r="J42" i="10"/>
  <c r="H42" i="10"/>
  <c r="G42" i="10"/>
  <c r="F42" i="10"/>
  <c r="E42" i="10"/>
  <c r="D42" i="10"/>
  <c r="B42" i="10"/>
  <c r="V41" i="10"/>
  <c r="Q41" i="10"/>
  <c r="P41" i="10"/>
  <c r="O41" i="10"/>
  <c r="N41" i="10"/>
  <c r="M41" i="10"/>
  <c r="K41" i="10"/>
  <c r="J41" i="10"/>
  <c r="H41" i="10"/>
  <c r="G41" i="10"/>
  <c r="F41" i="10"/>
  <c r="E41" i="10"/>
  <c r="D41" i="10"/>
  <c r="B41" i="10"/>
  <c r="V40" i="10"/>
  <c r="Q40" i="10"/>
  <c r="P40" i="10"/>
  <c r="O40" i="10"/>
  <c r="N40" i="10"/>
  <c r="M40" i="10"/>
  <c r="K40" i="10"/>
  <c r="J40" i="10"/>
  <c r="H40" i="10"/>
  <c r="G40" i="10"/>
  <c r="F40" i="10"/>
  <c r="E40" i="10"/>
  <c r="D40" i="10"/>
  <c r="B40" i="10"/>
  <c r="V39" i="10"/>
  <c r="Q39" i="10"/>
  <c r="P39" i="10"/>
  <c r="O39" i="10"/>
  <c r="N39" i="10"/>
  <c r="M39" i="10"/>
  <c r="K39" i="10"/>
  <c r="J39" i="10"/>
  <c r="H39" i="10"/>
  <c r="G39" i="10"/>
  <c r="F39" i="10"/>
  <c r="E39" i="10"/>
  <c r="D39" i="10"/>
  <c r="B39" i="10"/>
  <c r="V38" i="10"/>
  <c r="Q38" i="10"/>
  <c r="P38" i="10"/>
  <c r="O38" i="10"/>
  <c r="N38" i="10"/>
  <c r="M38" i="10"/>
  <c r="R38" i="10" s="1"/>
  <c r="T38" i="10" s="1"/>
  <c r="K38" i="10"/>
  <c r="J38" i="10"/>
  <c r="H38" i="10"/>
  <c r="G38" i="10"/>
  <c r="F38" i="10"/>
  <c r="E38" i="10"/>
  <c r="D38" i="10"/>
  <c r="B38" i="10"/>
  <c r="V37" i="10"/>
  <c r="Q37" i="10"/>
  <c r="P37" i="10"/>
  <c r="O37" i="10"/>
  <c r="N37" i="10"/>
  <c r="M37" i="10"/>
  <c r="K37" i="10"/>
  <c r="J37" i="10"/>
  <c r="H37" i="10"/>
  <c r="G37" i="10"/>
  <c r="F37" i="10"/>
  <c r="E37" i="10"/>
  <c r="D37" i="10"/>
  <c r="B37" i="10"/>
  <c r="V36" i="10"/>
  <c r="Q36" i="10"/>
  <c r="P36" i="10"/>
  <c r="O36" i="10"/>
  <c r="N36" i="10"/>
  <c r="M36" i="10"/>
  <c r="K36" i="10"/>
  <c r="J36" i="10"/>
  <c r="H36" i="10"/>
  <c r="G36" i="10"/>
  <c r="F36" i="10"/>
  <c r="E36" i="10"/>
  <c r="D36" i="10"/>
  <c r="B36" i="10"/>
  <c r="V35" i="10"/>
  <c r="Q35" i="10"/>
  <c r="P35" i="10"/>
  <c r="O35" i="10"/>
  <c r="N35" i="10"/>
  <c r="M35" i="10"/>
  <c r="K35" i="10"/>
  <c r="J35" i="10"/>
  <c r="H35" i="10"/>
  <c r="G35" i="10"/>
  <c r="F35" i="10"/>
  <c r="E35" i="10"/>
  <c r="D35" i="10"/>
  <c r="B35" i="10"/>
  <c r="V34" i="10"/>
  <c r="Q34" i="10"/>
  <c r="P34" i="10"/>
  <c r="O34" i="10"/>
  <c r="N34" i="10"/>
  <c r="M34" i="10"/>
  <c r="R34" i="10" s="1"/>
  <c r="T34" i="10" s="1"/>
  <c r="K34" i="10"/>
  <c r="J34" i="10"/>
  <c r="H34" i="10"/>
  <c r="G34" i="10"/>
  <c r="F34" i="10"/>
  <c r="E34" i="10"/>
  <c r="D34" i="10"/>
  <c r="B34" i="10"/>
  <c r="V33" i="10"/>
  <c r="Q33" i="10"/>
  <c r="P33" i="10"/>
  <c r="O33" i="10"/>
  <c r="N33" i="10"/>
  <c r="M33" i="10"/>
  <c r="K33" i="10"/>
  <c r="J33" i="10"/>
  <c r="H33" i="10"/>
  <c r="G33" i="10"/>
  <c r="F33" i="10"/>
  <c r="E33" i="10"/>
  <c r="D33" i="10"/>
  <c r="B33" i="10"/>
  <c r="V32" i="10"/>
  <c r="Q32" i="10"/>
  <c r="P32" i="10"/>
  <c r="O32" i="10"/>
  <c r="N32" i="10"/>
  <c r="M32" i="10"/>
  <c r="K32" i="10"/>
  <c r="J32" i="10"/>
  <c r="H32" i="10"/>
  <c r="G32" i="10"/>
  <c r="F32" i="10"/>
  <c r="E32" i="10"/>
  <c r="D32" i="10"/>
  <c r="B32" i="10"/>
  <c r="V31" i="10"/>
  <c r="Q31" i="10"/>
  <c r="P31" i="10"/>
  <c r="O31" i="10"/>
  <c r="N31" i="10"/>
  <c r="M31" i="10"/>
  <c r="R31" i="10" s="1"/>
  <c r="T31" i="10" s="1"/>
  <c r="K31" i="10"/>
  <c r="J31" i="10"/>
  <c r="H31" i="10"/>
  <c r="G31" i="10"/>
  <c r="F31" i="10"/>
  <c r="E31" i="10"/>
  <c r="D31" i="10"/>
  <c r="B31" i="10"/>
  <c r="V30" i="10"/>
  <c r="Q30" i="10"/>
  <c r="P30" i="10"/>
  <c r="O30" i="10"/>
  <c r="N30" i="10"/>
  <c r="M30" i="10"/>
  <c r="R30" i="10" s="1"/>
  <c r="T30" i="10" s="1"/>
  <c r="K30" i="10"/>
  <c r="J30" i="10"/>
  <c r="H30" i="10"/>
  <c r="G30" i="10"/>
  <c r="F30" i="10"/>
  <c r="E30" i="10"/>
  <c r="D30" i="10"/>
  <c r="B30" i="10"/>
  <c r="V29" i="10"/>
  <c r="Q29" i="10"/>
  <c r="P29" i="10"/>
  <c r="O29" i="10"/>
  <c r="N29" i="10"/>
  <c r="M29" i="10"/>
  <c r="K29" i="10"/>
  <c r="J29" i="10"/>
  <c r="H29" i="10"/>
  <c r="G29" i="10"/>
  <c r="F29" i="10"/>
  <c r="E29" i="10"/>
  <c r="D29" i="10"/>
  <c r="B29" i="10"/>
  <c r="V28" i="10"/>
  <c r="Q28" i="10"/>
  <c r="P28" i="10"/>
  <c r="O28" i="10"/>
  <c r="N28" i="10"/>
  <c r="M28" i="10"/>
  <c r="K28" i="10"/>
  <c r="J28" i="10"/>
  <c r="H28" i="10"/>
  <c r="G28" i="10"/>
  <c r="F28" i="10"/>
  <c r="E28" i="10"/>
  <c r="D28" i="10"/>
  <c r="B28" i="10"/>
  <c r="V27" i="10"/>
  <c r="Q27" i="10"/>
  <c r="P27" i="10"/>
  <c r="O27" i="10"/>
  <c r="N27" i="10"/>
  <c r="M27" i="10"/>
  <c r="R27" i="10" s="1"/>
  <c r="T27" i="10" s="1"/>
  <c r="K27" i="10"/>
  <c r="J27" i="10"/>
  <c r="H27" i="10"/>
  <c r="G27" i="10"/>
  <c r="F27" i="10"/>
  <c r="E27" i="10"/>
  <c r="D27" i="10"/>
  <c r="B27" i="10"/>
  <c r="V26" i="10"/>
  <c r="Q26" i="10"/>
  <c r="P26" i="10"/>
  <c r="O26" i="10"/>
  <c r="N26" i="10"/>
  <c r="M26" i="10"/>
  <c r="K26" i="10"/>
  <c r="J26" i="10"/>
  <c r="H26" i="10"/>
  <c r="G26" i="10"/>
  <c r="F26" i="10"/>
  <c r="E26" i="10"/>
  <c r="D26" i="10"/>
  <c r="B26" i="10"/>
  <c r="V25" i="10"/>
  <c r="T25" i="10"/>
  <c r="Q25" i="10"/>
  <c r="P25" i="10"/>
  <c r="O25" i="10"/>
  <c r="N25" i="10"/>
  <c r="N147" i="10" s="1"/>
  <c r="M25" i="10"/>
  <c r="R25" i="10" s="1"/>
  <c r="K25" i="10"/>
  <c r="J25" i="10"/>
  <c r="H25" i="10"/>
  <c r="G25" i="10"/>
  <c r="F25" i="10"/>
  <c r="E25" i="10"/>
  <c r="D25" i="10"/>
  <c r="B25" i="10"/>
  <c r="V24" i="10"/>
  <c r="Q24" i="10"/>
  <c r="P24" i="10"/>
  <c r="O24" i="10"/>
  <c r="N24" i="10"/>
  <c r="M24" i="10"/>
  <c r="K24" i="10"/>
  <c r="J24" i="10"/>
  <c r="H24" i="10"/>
  <c r="G24" i="10"/>
  <c r="F24" i="10"/>
  <c r="E24" i="10"/>
  <c r="D24" i="10"/>
  <c r="B24" i="10"/>
  <c r="V23" i="10"/>
  <c r="Q23" i="10"/>
  <c r="R23" i="10" s="1"/>
  <c r="T23" i="10" s="1"/>
  <c r="P23" i="10"/>
  <c r="O23" i="10"/>
  <c r="N23" i="10"/>
  <c r="M23" i="10"/>
  <c r="K23" i="10"/>
  <c r="J23" i="10"/>
  <c r="H23" i="10"/>
  <c r="G23" i="10"/>
  <c r="F23" i="10"/>
  <c r="E23" i="10"/>
  <c r="D23" i="10"/>
  <c r="B23" i="10"/>
  <c r="V22" i="10"/>
  <c r="Q22" i="10"/>
  <c r="R22" i="10" s="1"/>
  <c r="T22" i="10" s="1"/>
  <c r="P22" i="10"/>
  <c r="O22" i="10"/>
  <c r="N22" i="10"/>
  <c r="M22" i="10"/>
  <c r="K22" i="10"/>
  <c r="J22" i="10"/>
  <c r="H22" i="10"/>
  <c r="G22" i="10"/>
  <c r="F22" i="10"/>
  <c r="E22" i="10"/>
  <c r="D22" i="10"/>
  <c r="B22" i="10"/>
  <c r="V21" i="10"/>
  <c r="Q21" i="10"/>
  <c r="R21" i="10" s="1"/>
  <c r="T21" i="10" s="1"/>
  <c r="P21" i="10"/>
  <c r="O21" i="10"/>
  <c r="N21" i="10"/>
  <c r="M21" i="10"/>
  <c r="K21" i="10"/>
  <c r="J21" i="10"/>
  <c r="H21" i="10"/>
  <c r="G21" i="10"/>
  <c r="F21" i="10"/>
  <c r="E21" i="10"/>
  <c r="D21" i="10"/>
  <c r="B21" i="10"/>
  <c r="V20" i="10"/>
  <c r="Q20" i="10"/>
  <c r="R20" i="10" s="1"/>
  <c r="T20" i="10" s="1"/>
  <c r="P20" i="10"/>
  <c r="O20" i="10"/>
  <c r="N20" i="10"/>
  <c r="M20" i="10"/>
  <c r="K20" i="10"/>
  <c r="J20" i="10"/>
  <c r="H20" i="10"/>
  <c r="G20" i="10"/>
  <c r="F20" i="10"/>
  <c r="E20" i="10"/>
  <c r="D20" i="10"/>
  <c r="B20" i="10"/>
  <c r="V19" i="10"/>
  <c r="Q19" i="10"/>
  <c r="R19" i="10" s="1"/>
  <c r="T19" i="10" s="1"/>
  <c r="P19" i="10"/>
  <c r="O19" i="10"/>
  <c r="N19" i="10"/>
  <c r="M19" i="10"/>
  <c r="K19" i="10"/>
  <c r="J19" i="10"/>
  <c r="H19" i="10"/>
  <c r="G19" i="10"/>
  <c r="F19" i="10"/>
  <c r="E19" i="10"/>
  <c r="D19" i="10"/>
  <c r="B19" i="10"/>
  <c r="V18" i="10"/>
  <c r="Q18" i="10"/>
  <c r="R18" i="10" s="1"/>
  <c r="T18" i="10" s="1"/>
  <c r="P18" i="10"/>
  <c r="O18" i="10"/>
  <c r="N18" i="10"/>
  <c r="M18" i="10"/>
  <c r="K18" i="10"/>
  <c r="J18" i="10"/>
  <c r="H18" i="10"/>
  <c r="G18" i="10"/>
  <c r="F18" i="10"/>
  <c r="E18" i="10"/>
  <c r="D18" i="10"/>
  <c r="B18" i="10"/>
  <c r="V17" i="10"/>
  <c r="Q17" i="10"/>
  <c r="R17" i="10" s="1"/>
  <c r="T17" i="10" s="1"/>
  <c r="P17" i="10"/>
  <c r="O17" i="10"/>
  <c r="N17" i="10"/>
  <c r="M17" i="10"/>
  <c r="K17" i="10"/>
  <c r="J17" i="10"/>
  <c r="H17" i="10"/>
  <c r="G17" i="10"/>
  <c r="F17" i="10"/>
  <c r="E17" i="10"/>
  <c r="D17" i="10"/>
  <c r="B17" i="10"/>
  <c r="V16" i="10"/>
  <c r="Q16" i="10"/>
  <c r="R16" i="10" s="1"/>
  <c r="T16" i="10" s="1"/>
  <c r="P16" i="10"/>
  <c r="O16" i="10"/>
  <c r="N16" i="10"/>
  <c r="M16" i="10"/>
  <c r="K16" i="10"/>
  <c r="J16" i="10"/>
  <c r="H16" i="10"/>
  <c r="G16" i="10"/>
  <c r="F16" i="10"/>
  <c r="E16" i="10"/>
  <c r="D16" i="10"/>
  <c r="B16" i="10"/>
  <c r="V15" i="10"/>
  <c r="Q15" i="10"/>
  <c r="R15" i="10" s="1"/>
  <c r="T15" i="10" s="1"/>
  <c r="P15" i="10"/>
  <c r="O15" i="10"/>
  <c r="N15" i="10"/>
  <c r="M15" i="10"/>
  <c r="K15" i="10"/>
  <c r="J15" i="10"/>
  <c r="H15" i="10"/>
  <c r="G15" i="10"/>
  <c r="F15" i="10"/>
  <c r="E15" i="10"/>
  <c r="D15" i="10"/>
  <c r="B15" i="10"/>
  <c r="V14" i="10"/>
  <c r="Q14" i="10"/>
  <c r="Q147" i="10" s="1"/>
  <c r="P14" i="10"/>
  <c r="O14" i="10"/>
  <c r="O147" i="10" s="1"/>
  <c r="N14" i="10"/>
  <c r="M14" i="10"/>
  <c r="K14" i="10"/>
  <c r="J14" i="10"/>
  <c r="H14" i="10"/>
  <c r="G14" i="10"/>
  <c r="F14" i="10"/>
  <c r="E14" i="10"/>
  <c r="D14" i="10"/>
  <c r="B14" i="10"/>
  <c r="Q46" i="9"/>
  <c r="R46" i="9"/>
  <c r="S46" i="9"/>
  <c r="T46" i="9"/>
  <c r="U46" i="9"/>
  <c r="V46" i="9"/>
  <c r="W46" i="9"/>
  <c r="Y46" i="9"/>
  <c r="X15" i="9"/>
  <c r="Z15" i="9" s="1"/>
  <c r="X16" i="9"/>
  <c r="Z16" i="9" s="1"/>
  <c r="X17" i="9"/>
  <c r="Z17" i="9" s="1"/>
  <c r="X18" i="9"/>
  <c r="Z18" i="9" s="1"/>
  <c r="X19" i="9"/>
  <c r="Z19" i="9" s="1"/>
  <c r="X20" i="9"/>
  <c r="Z20" i="9" s="1"/>
  <c r="X21" i="9"/>
  <c r="Z21" i="9" s="1"/>
  <c r="X22" i="9"/>
  <c r="Z22" i="9" s="1"/>
  <c r="X23" i="9"/>
  <c r="Z23" i="9" s="1"/>
  <c r="X24" i="9"/>
  <c r="Z24" i="9" s="1"/>
  <c r="X25" i="9"/>
  <c r="Z25" i="9" s="1"/>
  <c r="X26" i="9"/>
  <c r="Z26" i="9" s="1"/>
  <c r="X27" i="9"/>
  <c r="Z27" i="9" s="1"/>
  <c r="X28" i="9"/>
  <c r="Z28" i="9" s="1"/>
  <c r="X29" i="9"/>
  <c r="Z29" i="9" s="1"/>
  <c r="X30" i="9"/>
  <c r="Z30" i="9" s="1"/>
  <c r="X31" i="9"/>
  <c r="Z31" i="9" s="1"/>
  <c r="X32" i="9"/>
  <c r="Z32" i="9" s="1"/>
  <c r="X33" i="9"/>
  <c r="Z33" i="9" s="1"/>
  <c r="X34" i="9"/>
  <c r="Z34" i="9" s="1"/>
  <c r="X35" i="9"/>
  <c r="Z35" i="9" s="1"/>
  <c r="X36" i="9"/>
  <c r="Z36" i="9" s="1"/>
  <c r="X37" i="9"/>
  <c r="Z37" i="9" s="1"/>
  <c r="X38" i="9"/>
  <c r="Z38" i="9" s="1"/>
  <c r="X39" i="9"/>
  <c r="Z39" i="9" s="1"/>
  <c r="X40" i="9"/>
  <c r="Z40" i="9" s="1"/>
  <c r="X41" i="9"/>
  <c r="Z41" i="9" s="1"/>
  <c r="X42" i="9"/>
  <c r="Z42" i="9" s="1"/>
  <c r="X43" i="9"/>
  <c r="Z43" i="9" s="1"/>
  <c r="X44" i="9"/>
  <c r="Z44" i="9" s="1"/>
  <c r="X45" i="9"/>
  <c r="Z45" i="9" s="1"/>
  <c r="X14" i="9"/>
  <c r="X46" i="9" l="1"/>
  <c r="D17" i="8"/>
  <c r="R35" i="10"/>
  <c r="T35" i="10" s="1"/>
  <c r="R39" i="10"/>
  <c r="T39" i="10" s="1"/>
  <c r="R43" i="10"/>
  <c r="T43" i="10" s="1"/>
  <c r="R51" i="10"/>
  <c r="T51" i="10" s="1"/>
  <c r="R59" i="10"/>
  <c r="T59" i="10" s="1"/>
  <c r="R67" i="10"/>
  <c r="T67" i="10" s="1"/>
  <c r="R75" i="10"/>
  <c r="T75" i="10" s="1"/>
  <c r="R83" i="10"/>
  <c r="T83" i="10" s="1"/>
  <c r="R91" i="10"/>
  <c r="T91" i="10" s="1"/>
  <c r="R99" i="10"/>
  <c r="T99" i="10" s="1"/>
  <c r="R122" i="10"/>
  <c r="T122" i="10" s="1"/>
  <c r="R26" i="10"/>
  <c r="T26" i="10" s="1"/>
  <c r="R50" i="10"/>
  <c r="T50" i="10" s="1"/>
  <c r="R58" i="10"/>
  <c r="T58" i="10" s="1"/>
  <c r="R66" i="10"/>
  <c r="T66" i="10" s="1"/>
  <c r="R74" i="10"/>
  <c r="T74" i="10" s="1"/>
  <c r="R82" i="10"/>
  <c r="T82" i="10" s="1"/>
  <c r="R90" i="10"/>
  <c r="T90" i="10" s="1"/>
  <c r="R98" i="10"/>
  <c r="T98" i="10" s="1"/>
  <c r="R105" i="10"/>
  <c r="T105" i="10" s="1"/>
  <c r="R117" i="10"/>
  <c r="T117" i="10" s="1"/>
  <c r="R125" i="10"/>
  <c r="T125" i="10" s="1"/>
  <c r="R143" i="10"/>
  <c r="T143" i="10" s="1"/>
  <c r="M147" i="10"/>
  <c r="R29" i="10"/>
  <c r="T29" i="10" s="1"/>
  <c r="R33" i="10"/>
  <c r="T33" i="10" s="1"/>
  <c r="R37" i="10"/>
  <c r="T37" i="10" s="1"/>
  <c r="R41" i="10"/>
  <c r="T41" i="10" s="1"/>
  <c r="R47" i="10"/>
  <c r="T47" i="10" s="1"/>
  <c r="R55" i="10"/>
  <c r="T55" i="10" s="1"/>
  <c r="R63" i="10"/>
  <c r="T63" i="10" s="1"/>
  <c r="R71" i="10"/>
  <c r="T71" i="10" s="1"/>
  <c r="R79" i="10"/>
  <c r="T79" i="10" s="1"/>
  <c r="R87" i="10"/>
  <c r="T87" i="10" s="1"/>
  <c r="R95" i="10"/>
  <c r="T95" i="10" s="1"/>
  <c r="R103" i="10"/>
  <c r="T103" i="10" s="1"/>
  <c r="R107" i="10"/>
  <c r="T107" i="10" s="1"/>
  <c r="R46" i="10"/>
  <c r="T46" i="10" s="1"/>
  <c r="R54" i="10"/>
  <c r="T54" i="10" s="1"/>
  <c r="R62" i="10"/>
  <c r="T62" i="10" s="1"/>
  <c r="R70" i="10"/>
  <c r="T70" i="10" s="1"/>
  <c r="R78" i="10"/>
  <c r="T78" i="10" s="1"/>
  <c r="R86" i="10"/>
  <c r="T86" i="10" s="1"/>
  <c r="R94" i="10"/>
  <c r="T94" i="10" s="1"/>
  <c r="R102" i="10"/>
  <c r="T102" i="10" s="1"/>
  <c r="R14" i="10"/>
  <c r="R24" i="10"/>
  <c r="T24" i="10" s="1"/>
  <c r="P147" i="10"/>
  <c r="R28" i="10"/>
  <c r="T28" i="10" s="1"/>
  <c r="R32" i="10"/>
  <c r="T32" i="10" s="1"/>
  <c r="R36" i="10"/>
  <c r="T36" i="10" s="1"/>
  <c r="R40" i="10"/>
  <c r="T40" i="10" s="1"/>
  <c r="R45" i="10"/>
  <c r="T45" i="10" s="1"/>
  <c r="R53" i="10"/>
  <c r="T53" i="10" s="1"/>
  <c r="R61" i="10"/>
  <c r="T61" i="10" s="1"/>
  <c r="R69" i="10"/>
  <c r="T69" i="10" s="1"/>
  <c r="R77" i="10"/>
  <c r="T77" i="10" s="1"/>
  <c r="R85" i="10"/>
  <c r="T85" i="10" s="1"/>
  <c r="R93" i="10"/>
  <c r="T93" i="10" s="1"/>
  <c r="R101" i="10"/>
  <c r="T101" i="10" s="1"/>
  <c r="R123" i="10"/>
  <c r="T123" i="10" s="1"/>
  <c r="P43" i="9"/>
  <c r="R147" i="10" l="1"/>
  <c r="T14" i="10"/>
  <c r="T147" i="10" s="1"/>
  <c r="V26" i="9"/>
  <c r="V43" i="9"/>
  <c r="V32" i="9"/>
  <c r="V42" i="9" l="1"/>
  <c r="V25" i="9"/>
  <c r="Z14" i="9"/>
  <c r="P46" i="9" l="1"/>
  <c r="C17" i="8" l="1"/>
  <c r="Z46" i="9"/>
  <c r="AA46" i="9"/>
  <c r="AB46" i="9"/>
  <c r="G25" i="8" l="1"/>
  <c r="O26" i="8"/>
  <c r="N26" i="8"/>
  <c r="M26" i="8"/>
  <c r="L26" i="8"/>
  <c r="K26" i="8"/>
  <c r="J26" i="8"/>
  <c r="I26" i="8"/>
  <c r="F26" i="8"/>
  <c r="E26" i="8"/>
  <c r="P25" i="8"/>
  <c r="P24" i="8"/>
  <c r="Q24" i="8" s="1"/>
  <c r="P23" i="8"/>
  <c r="Q23" i="8" s="1"/>
  <c r="P22" i="8"/>
  <c r="Q22" i="8" s="1"/>
  <c r="P21" i="8"/>
  <c r="Q21" i="8" s="1"/>
  <c r="P20" i="8"/>
  <c r="Q20" i="8" s="1"/>
  <c r="P19" i="8"/>
  <c r="Q19" i="8" s="1"/>
  <c r="P18" i="8"/>
  <c r="Q18" i="8" s="1"/>
  <c r="P17" i="8"/>
  <c r="D26" i="8"/>
  <c r="C26" i="8"/>
  <c r="P16" i="8"/>
  <c r="Q16" i="8" s="1"/>
  <c r="P15" i="8"/>
  <c r="Q15" i="8" s="1"/>
  <c r="Q25" i="8" l="1"/>
  <c r="G17" i="8"/>
  <c r="Q17" i="8" l="1"/>
  <c r="G26" i="8"/>
</calcChain>
</file>

<file path=xl/sharedStrings.xml><?xml version="1.0" encoding="utf-8"?>
<sst xmlns="http://schemas.openxmlformats.org/spreadsheetml/2006/main" count="799" uniqueCount="244">
  <si>
    <t>CÔNG TY TNHH THƯƠNG MẠI VÀ DỊCH VỤ 5P VIỆT NAM</t>
  </si>
  <si>
    <t>MST: 01105023309</t>
  </si>
  <si>
    <t xml:space="preserve">Kính gửi:  </t>
  </si>
  <si>
    <t>CÔNG TY TNHH ĐIỆN TỬ MEIKO</t>
  </si>
  <si>
    <t>Địa chỉ:</t>
  </si>
  <si>
    <t>Mã số thuế:</t>
  </si>
  <si>
    <t>0500551830</t>
  </si>
  <si>
    <t>STT</t>
  </si>
  <si>
    <t>Số JOB</t>
  </si>
  <si>
    <t>Loại hình</t>
  </si>
  <si>
    <t>Số hóa đơn</t>
  </si>
  <si>
    <t>Tuyến đường</t>
  </si>
  <si>
    <t>Loại xe</t>
  </si>
  <si>
    <t>Trọng lượng (kg)</t>
  </si>
  <si>
    <t>Phí chờ giờ</t>
  </si>
  <si>
    <t>Tổng số tiền trước thuế</t>
  </si>
  <si>
    <t>VAT  0%</t>
  </si>
  <si>
    <t>Tổng thanh toán</t>
  </si>
  <si>
    <t>Ghi Chú</t>
  </si>
  <si>
    <t>TỔNG</t>
  </si>
  <si>
    <t>CONFIRMED BY</t>
  </si>
  <si>
    <t>Thông tin chuyển khoản:</t>
  </si>
  <si>
    <t>Tên tài khoản</t>
  </si>
  <si>
    <t>Công ty TNHH Thương Mại và Dịch vụ 5P Việt Nam</t>
  </si>
  <si>
    <t>Số tài khoản</t>
  </si>
  <si>
    <t>Tên ngân hàng</t>
  </si>
  <si>
    <t>Techcombank- Chi nhánh Đông Đô</t>
  </si>
  <si>
    <t>Số nhà 02, ngõ 1H, Phố Trần Quang Diệu, Phường  Đống Đa, thành phố Hà Nội Việt Nam</t>
  </si>
  <si>
    <t>Lô CN9, KCN THẠCH THẤT- QUỐC OAI, XÃ TÂY PHƯƠNG, THÀNH PHỐ HÀ NỘI, VIỆT NAM</t>
  </si>
  <si>
    <t>Ngày bắt đấu</t>
  </si>
  <si>
    <t>Ngày kết thúc</t>
  </si>
  <si>
    <t>Số tờ khai</t>
  </si>
  <si>
    <t>Biển số xe Trung Quốc</t>
  </si>
  <si>
    <t>Biển số xe Việt Nam</t>
  </si>
  <si>
    <t>Số lượng pallet</t>
  </si>
  <si>
    <t xml:space="preserve">Phí sang tải </t>
  </si>
  <si>
    <t>Phí Cơ Sở Hạ Tầng</t>
  </si>
  <si>
    <t>Phí ra vào bãi</t>
  </si>
  <si>
    <t>Phí mở tờ khai</t>
  </si>
  <si>
    <t>Phí vận tải nội địa</t>
  </si>
  <si>
    <t>Thủ tục giao nhận tại cửa khẩu</t>
  </si>
  <si>
    <t>Nhập</t>
  </si>
  <si>
    <t>Hữu Nghị - Thạch Thất</t>
  </si>
  <si>
    <t>45'</t>
  </si>
  <si>
    <t>8T</t>
  </si>
  <si>
    <t>ABP762</t>
  </si>
  <si>
    <t>5P VIET NAM TAS CO., LTD</t>
  </si>
  <si>
    <t xml:space="preserve">Add: No 2, 1H Alley, Tran Quang Dieu Str., Dong Da Ward., Ha Noi  
</t>
  </si>
  <si>
    <t>Tel:'+84.84834.6886</t>
  </si>
  <si>
    <t>DEBIT NOTE</t>
  </si>
  <si>
    <t xml:space="preserve">MESSRS:  </t>
  </si>
  <si>
    <t>CÔNG TY TNHH ĐIỆN TỬ MEIKO VIỆT NAM</t>
  </si>
  <si>
    <t>LÔ CN9, KCN THẠCH THẤT – QUỐC OAI, XÃ TÂY PHƯƠNG, TP HÀ NỘI, VIỆT NAM</t>
  </si>
  <si>
    <t>Exchange :</t>
  </si>
  <si>
    <t>We debited your accounts as follows</t>
  </si>
  <si>
    <t>NO.</t>
  </si>
  <si>
    <t>DESCRIPTION</t>
  </si>
  <si>
    <t>Freight+surcharge</t>
  </si>
  <si>
    <t>Service</t>
  </si>
  <si>
    <t>At cost</t>
  </si>
  <si>
    <t>Unloading</t>
  </si>
  <si>
    <t>Total (VND)</t>
  </si>
  <si>
    <t>CC</t>
  </si>
  <si>
    <t>TRD</t>
  </si>
  <si>
    <t>HCM</t>
  </si>
  <si>
    <t>CS</t>
  </si>
  <si>
    <t>Yunas</t>
  </si>
  <si>
    <t>BTB</t>
  </si>
  <si>
    <t>Nhập Air</t>
  </si>
  <si>
    <t>Nhập Sea</t>
  </si>
  <si>
    <t>Nhập Truck</t>
  </si>
  <si>
    <t>Nhập BWH</t>
  </si>
  <si>
    <t>Nhập DOM</t>
  </si>
  <si>
    <t>Xuất Air</t>
  </si>
  <si>
    <t>Xuất Sea</t>
  </si>
  <si>
    <t>Xuất DOM</t>
  </si>
  <si>
    <t>Xuất Truck</t>
  </si>
  <si>
    <t>Thu cước trước + trả hộ</t>
  </si>
  <si>
    <t>Trucking</t>
  </si>
  <si>
    <t>TOTAL (VND)</t>
  </si>
  <si>
    <t>Please remit to:</t>
  </si>
  <si>
    <t>Tax code: 0110523309</t>
  </si>
  <si>
    <t>Add: No 2, 1H Alley, Tran Quang Dieu Str., Dong Da Ward., Ha Noi  </t>
  </si>
  <si>
    <t xml:space="preserve">Bank account: </t>
  </si>
  <si>
    <t>VND: 346886</t>
  </si>
  <si>
    <t>Bank:  Ngân hàng Techcombank- Chi nhánh Đông Đô</t>
  </si>
  <si>
    <t>Account Name: Công ty TNHH Thương Mại và Dịch vụ 5P Việt Nam</t>
  </si>
  <si>
    <t>DATE: 30/10/2025</t>
  </si>
  <si>
    <t>Ref No: BK-20251030-001</t>
  </si>
  <si>
    <t>CÔNG TY TNHH THƯƠNG MẠI &amp; DỊCH VỤ 5P VIỆT NAM</t>
  </si>
  <si>
    <t>98G00302</t>
  </si>
  <si>
    <t>45RF</t>
  </si>
  <si>
    <t>1.25T</t>
  </si>
  <si>
    <t>Tân Thanh - Thạch Thất</t>
  </si>
  <si>
    <t>9</t>
  </si>
  <si>
    <t>19</t>
  </si>
  <si>
    <t>20</t>
  </si>
  <si>
    <t>ACU356</t>
  </si>
  <si>
    <t>ACY509</t>
  </si>
  <si>
    <t>98H06583</t>
  </si>
  <si>
    <t>10</t>
  </si>
  <si>
    <t>98H07643</t>
  </si>
  <si>
    <t>12H04302</t>
  </si>
  <si>
    <t>29H92049</t>
  </si>
  <si>
    <t>12</t>
  </si>
  <si>
    <t>GB9089</t>
  </si>
  <si>
    <t>4</t>
  </si>
  <si>
    <t>8T RF</t>
  </si>
  <si>
    <t>10T RF</t>
  </si>
  <si>
    <t>98H07628</t>
  </si>
  <si>
    <t>10T</t>
  </si>
  <si>
    <t>15T</t>
  </si>
  <si>
    <t>A</t>
  </si>
  <si>
    <t>B</t>
  </si>
  <si>
    <t>BẢNG KÊ DỊCH VỤ THÁNG 1.2026</t>
  </si>
  <si>
    <t>B260100006</t>
  </si>
  <si>
    <t xml:space="preserve"> VHK-5</t>
  </si>
  <si>
    <t>KE0977</t>
  </si>
  <si>
    <t>B260100049</t>
  </si>
  <si>
    <t xml:space="preserve"> VG26-01116</t>
  </si>
  <si>
    <t>98H06813</t>
  </si>
  <si>
    <t>B260100050</t>
  </si>
  <si>
    <t>B260100051</t>
  </si>
  <si>
    <t xml:space="preserve"> WH-HK-VN-0029</t>
  </si>
  <si>
    <t>BEC122</t>
  </si>
  <si>
    <t>98H04728</t>
  </si>
  <si>
    <t>B260100079</t>
  </si>
  <si>
    <t xml:space="preserve"> VG26-01117</t>
  </si>
  <si>
    <t>AGG589</t>
  </si>
  <si>
    <t>98C05925</t>
  </si>
  <si>
    <t>B260100131</t>
  </si>
  <si>
    <t xml:space="preserve"> WH-HK-VN-0030</t>
  </si>
  <si>
    <t>BMN100</t>
  </si>
  <si>
    <t>B260100137</t>
  </si>
  <si>
    <t xml:space="preserve"> DSG-CN-260057</t>
  </si>
  <si>
    <t>T68011</t>
  </si>
  <si>
    <t>98H07703</t>
  </si>
  <si>
    <t>B260100140</t>
  </si>
  <si>
    <t xml:space="preserve"> VG26-01118</t>
  </si>
  <si>
    <t>98H04787</t>
  </si>
  <si>
    <t>B260100141</t>
  </si>
  <si>
    <t>B260100144</t>
  </si>
  <si>
    <t>BKY625</t>
  </si>
  <si>
    <t>98H06534</t>
  </si>
  <si>
    <t>B260100146</t>
  </si>
  <si>
    <t xml:space="preserve"> VG26-01119</t>
  </si>
  <si>
    <t>HG7833</t>
  </si>
  <si>
    <t>77C15337</t>
  </si>
  <si>
    <t>B260100147</t>
  </si>
  <si>
    <t>29H70641</t>
  </si>
  <si>
    <t>B260100149</t>
  </si>
  <si>
    <t xml:space="preserve"> VG26-01121</t>
  </si>
  <si>
    <t>98H05350</t>
  </si>
  <si>
    <t>B260100150</t>
  </si>
  <si>
    <t>98H07351</t>
  </si>
  <si>
    <t>B260100153</t>
  </si>
  <si>
    <t>FB8578</t>
  </si>
  <si>
    <t>98H04796</t>
  </si>
  <si>
    <t>B260100164</t>
  </si>
  <si>
    <t xml:space="preserve"> DSG-CN-260094</t>
  </si>
  <si>
    <t>B260100167</t>
  </si>
  <si>
    <t xml:space="preserve"> VG26-01122</t>
  </si>
  <si>
    <t>FA2901</t>
  </si>
  <si>
    <t>B260100169</t>
  </si>
  <si>
    <t>BFK519</t>
  </si>
  <si>
    <t xml:space="preserve"> SPDMEIKO20260117</t>
  </si>
  <si>
    <t>FGM377</t>
  </si>
  <si>
    <t>98H08062</t>
  </si>
  <si>
    <t xml:space="preserve"> SPDMEIKO20260116</t>
  </si>
  <si>
    <t>EN2125</t>
  </si>
  <si>
    <t>CD1503</t>
  </si>
  <si>
    <t>KA2985</t>
  </si>
  <si>
    <t>B69658</t>
  </si>
  <si>
    <t>98H06536</t>
  </si>
  <si>
    <t xml:space="preserve"> VG26-01123</t>
  </si>
  <si>
    <t>AS2073</t>
  </si>
  <si>
    <t>15H18762</t>
  </si>
  <si>
    <t>LK9276</t>
  </si>
  <si>
    <t>98H01645</t>
  </si>
  <si>
    <t>18/35</t>
  </si>
  <si>
    <t>17/35</t>
  </si>
  <si>
    <t>7</t>
  </si>
  <si>
    <t>20/29</t>
  </si>
  <si>
    <t>9/29</t>
  </si>
  <si>
    <t>16</t>
  </si>
  <si>
    <t>16/19</t>
  </si>
  <si>
    <t>3/19</t>
  </si>
  <si>
    <t>20/21</t>
  </si>
  <si>
    <t>1/21</t>
  </si>
  <si>
    <t>6</t>
  </si>
  <si>
    <t>13</t>
  </si>
  <si>
    <t>5</t>
  </si>
  <si>
    <t>8</t>
  </si>
  <si>
    <t>18</t>
  </si>
  <si>
    <t>15</t>
  </si>
  <si>
    <t>14</t>
  </si>
  <si>
    <t xml:space="preserve"> VHK-6</t>
  </si>
  <si>
    <t>VHK-7</t>
  </si>
  <si>
    <t>3.5T RF</t>
  </si>
  <si>
    <t xml:space="preserve"> WH-HK-VN-0031
</t>
  </si>
  <si>
    <t xml:space="preserve">
 VNHK-1</t>
  </si>
  <si>
    <t xml:space="preserve"> VNHK-2</t>
  </si>
  <si>
    <t xml:space="preserve">
 WH-HK-VN-0032</t>
  </si>
  <si>
    <t xml:space="preserve">
107909203510</t>
  </si>
  <si>
    <t xml:space="preserve">107920170520 
</t>
  </si>
  <si>
    <t xml:space="preserve"> WH-HK-VN-0034 
</t>
  </si>
  <si>
    <t xml:space="preserve">
 VNHK-4</t>
  </si>
  <si>
    <t xml:space="preserve">
107920081620</t>
  </si>
  <si>
    <t xml:space="preserve"> WH-HK-VN-0033
</t>
  </si>
  <si>
    <t xml:space="preserve">107919811310 
</t>
  </si>
  <si>
    <t xml:space="preserve">
107919796350</t>
  </si>
  <si>
    <t xml:space="preserve">
 VNHK-3</t>
  </si>
  <si>
    <t xml:space="preserve">107926413340
</t>
  </si>
  <si>
    <t xml:space="preserve"> WH-HK-VN-0035
</t>
  </si>
  <si>
    <t xml:space="preserve">
 VNHK-5</t>
  </si>
  <si>
    <t>Phát sinh</t>
  </si>
  <si>
    <t>Lưu ca xe</t>
  </si>
  <si>
    <t>Xe ra bãi muộn</t>
  </si>
  <si>
    <t>Chờ giờ 13 tiếng</t>
  </si>
  <si>
    <t>Chờ giờ 12 tiếng</t>
  </si>
  <si>
    <t>Ra muộn thuê tài</t>
  </si>
  <si>
    <t>chờ 17 giờ</t>
  </si>
  <si>
    <t>chờ giờ 7 tiếng</t>
  </si>
  <si>
    <t>Chờ giờ 18 tiếng</t>
  </si>
  <si>
    <t xml:space="preserve"> VHK-8 </t>
  </si>
  <si>
    <t>VG26-01124</t>
  </si>
  <si>
    <t>FA6067</t>
  </si>
  <si>
    <t>29K05432</t>
  </si>
  <si>
    <t>Số nhà 02, ngõ 1H, Phố Trần Quang Diệu, Phường Đống Đa, thành phố Hà Nội Việt Nam</t>
  </si>
  <si>
    <t xml:space="preserve">BẢNG KÊ DỊCH VỤ VẬN CHUYỂN NỘI ĐỊA THÁNG 01.2026 </t>
  </si>
  <si>
    <t>Lô CN9, KCN THẠCH THẤT- QUỐC OAI, XÃ TÂY PHƯƠNG, HÀ NỘI, VIỆT NAM</t>
  </si>
  <si>
    <t>Ngày thực hiện</t>
  </si>
  <si>
    <t>Khách hàng</t>
  </si>
  <si>
    <t xml:space="preserve">Biển số xe </t>
  </si>
  <si>
    <t>Tỉnh</t>
  </si>
  <si>
    <t>Số lượng kiện</t>
  </si>
  <si>
    <t>Phí vận chuyển</t>
  </si>
  <si>
    <t>Phí Bốc xếp</t>
  </si>
  <si>
    <t>Phụ phí</t>
  </si>
  <si>
    <t>Phí khác</t>
  </si>
  <si>
    <t>Vận chuyển đường bộ</t>
  </si>
  <si>
    <t>Bắc Ninh</t>
  </si>
  <si>
    <t/>
  </si>
  <si>
    <t>Phú Thọ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</si>
</sst>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_-* #,##0\ _₫_-;\-* #,##0\ _₫_-;_-* &quot;-&quot;??\ _₫_-;_-@_-"/>
    <numFmt numFmtId="166" formatCode="_-* #,##0.00\ _₫_-;\-* #,##0.00\ _₫_-;_-* &quot;-&quot;??\ _₫_-;_-@_-"/>
    <numFmt numFmtId="167" formatCode="_(* #,##0_);_(* \(#,##0\);_(* &quot;-&quot;??_);_(@_)"/>
    <numFmt numFmtId="168" formatCode="0.0"/>
    <numFmt numFmtId="169" formatCode="_-* #,##0.00_-;\-* #,##0.00_-;_-* &quot;-&quot;??_-;_-@_-"/>
    <numFmt numFmtId="170" formatCode="_-* #,##0_-;\-* #,##0_-;_-* &quot;-&quot;??_-;_-@_-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63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rgb="FF000000"/>
      <name val="Times New Roman"/>
      <family val="1"/>
    </font>
    <font>
      <sz val="11"/>
      <color rgb="FFFF0000"/>
      <name val="Calibri"/>
      <family val="2"/>
      <scheme val="minor"/>
    </font>
    <font>
      <b/>
      <sz val="12"/>
      <color theme="9" tint="-0.249977111117893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1"/>
      <name val="Calibri"/>
      <family val="2"/>
      <scheme val="minor"/>
    </font>
    <font>
      <b/>
      <i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name val="Times New Roman"/>
      <family val="1"/>
    </font>
    <font>
      <b/>
      <sz val="12"/>
      <name val="Courier New"/>
      <family val="3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indexed="10"/>
      <name val="Calibri"/>
      <family val="2"/>
      <scheme val="minor"/>
    </font>
    <font>
      <sz val="7"/>
      <color rgb="FF333E48"/>
      <name val="Arial"/>
      <family val="2"/>
    </font>
    <font>
      <sz val="11"/>
      <color rgb="FF7F7F7F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TimesNewRomanPSMT"/>
    </font>
    <font>
      <b/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sz val="20"/>
      <color theme="1"/>
      <name val="Times New Roman"/>
      <family val="1"/>
    </font>
    <font>
      <sz val="20"/>
      <name val="Times New Roman"/>
      <family val="1"/>
    </font>
    <font>
      <sz val="20"/>
      <color rgb="FFFF0000"/>
      <name val="Times New Roman"/>
      <family val="1"/>
    </font>
    <font>
      <b/>
      <sz val="14"/>
      <color theme="1"/>
      <name val="Times New Roman"/>
      <family val="1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Times New Roman"/>
      <family val="1"/>
    </font>
    <font>
      <sz val="13"/>
      <color rgb="FF000000"/>
      <name val="Times New Roman"/>
      <family val="1"/>
    </font>
    <font>
      <b/>
      <sz val="11"/>
      <color rgb="FFFF0000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3" fillId="0" borderId="0"/>
    <xf numFmtId="43" fontId="3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" fillId="0" borderId="0"/>
    <xf numFmtId="0" fontId="3" fillId="0" borderId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</cellStyleXfs>
  <cellXfs count="381">
    <xf numFmtId="0" fontId="0" fillId="0" borderId="0" xfId="0"/>
    <xf numFmtId="0" fontId="10" fillId="0" borderId="0" xfId="0" applyFont="1" applyAlignment="1">
      <alignment horizontal="left"/>
    </xf>
    <xf numFmtId="0" fontId="11" fillId="0" borderId="0" xfId="9" applyFont="1" applyAlignment="1">
      <alignment horizontal="center" vertical="center"/>
    </xf>
    <xf numFmtId="167" fontId="12" fillId="0" borderId="0" xfId="1" applyNumberFormat="1" applyFont="1" applyAlignment="1">
      <alignment horizontal="center"/>
    </xf>
    <xf numFmtId="167" fontId="1" fillId="0" borderId="0" xfId="1" applyNumberFormat="1" applyFont="1"/>
    <xf numFmtId="0" fontId="5" fillId="0" borderId="0" xfId="9" applyFont="1"/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9" applyFont="1" applyAlignment="1">
      <alignment horizontal="center" vertical="center"/>
    </xf>
    <xf numFmtId="0" fontId="13" fillId="0" borderId="0" xfId="9" applyFont="1" applyAlignment="1">
      <alignment vertical="center"/>
    </xf>
    <xf numFmtId="167" fontId="14" fillId="0" borderId="0" xfId="1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167" fontId="5" fillId="0" borderId="0" xfId="1" applyNumberFormat="1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167" fontId="5" fillId="0" borderId="0" xfId="1" applyNumberFormat="1" applyFont="1" applyAlignment="1">
      <alignment horizontal="center" vertical="center" wrapText="1"/>
    </xf>
    <xf numFmtId="14" fontId="5" fillId="0" borderId="0" xfId="0" applyNumberFormat="1" applyFont="1" applyAlignment="1">
      <alignment horizontal="left" vertical="center"/>
    </xf>
    <xf numFmtId="2" fontId="16" fillId="0" borderId="0" xfId="0" applyNumberFormat="1" applyFont="1" applyAlignment="1">
      <alignment horizontal="left" vertical="center"/>
    </xf>
    <xf numFmtId="167" fontId="12" fillId="0" borderId="0" xfId="0" applyNumberFormat="1" applyFont="1" applyAlignment="1">
      <alignment horizontal="left" vertical="center"/>
    </xf>
    <xf numFmtId="167" fontId="12" fillId="0" borderId="0" xfId="1" applyNumberFormat="1" applyFont="1" applyAlignment="1">
      <alignment horizontal="center" vertical="center"/>
    </xf>
    <xf numFmtId="0" fontId="12" fillId="0" borderId="0" xfId="9" applyFont="1" applyAlignment="1">
      <alignment horizontal="center" vertical="center"/>
    </xf>
    <xf numFmtId="0" fontId="12" fillId="0" borderId="0" xfId="9" applyFont="1" applyAlignment="1">
      <alignment vertical="center"/>
    </xf>
    <xf numFmtId="0" fontId="12" fillId="0" borderId="0" xfId="9" applyFont="1"/>
    <xf numFmtId="49" fontId="5" fillId="0" borderId="0" xfId="9" applyNumberFormat="1" applyFont="1" applyAlignment="1">
      <alignment horizontal="center" vertical="center"/>
    </xf>
    <xf numFmtId="49" fontId="5" fillId="0" borderId="0" xfId="9" applyNumberFormat="1" applyFont="1" applyAlignment="1">
      <alignment vertical="center"/>
    </xf>
    <xf numFmtId="0" fontId="12" fillId="0" borderId="0" xfId="9" applyFont="1" applyAlignment="1">
      <alignment horizontal="center"/>
    </xf>
    <xf numFmtId="167" fontId="12" fillId="0" borderId="0" xfId="10" applyNumberFormat="1" applyFont="1"/>
    <xf numFmtId="167" fontId="7" fillId="0" borderId="0" xfId="10" applyNumberFormat="1" applyFont="1" applyFill="1" applyAlignment="1">
      <alignment horizontal="center"/>
    </xf>
    <xf numFmtId="167" fontId="5" fillId="0" borderId="0" xfId="1" applyNumberFormat="1" applyFont="1"/>
    <xf numFmtId="0" fontId="5" fillId="0" borderId="0" xfId="9" applyFont="1" applyAlignment="1">
      <alignment horizontal="center"/>
    </xf>
    <xf numFmtId="49" fontId="12" fillId="0" borderId="0" xfId="9" applyNumberFormat="1" applyFont="1"/>
    <xf numFmtId="49" fontId="12" fillId="0" borderId="0" xfId="9" applyNumberFormat="1" applyFont="1" applyAlignment="1">
      <alignment vertical="center"/>
    </xf>
    <xf numFmtId="167" fontId="12" fillId="0" borderId="0" xfId="10" applyNumberFormat="1" applyFont="1" applyAlignment="1">
      <alignment horizontal="center"/>
    </xf>
    <xf numFmtId="167" fontId="7" fillId="0" borderId="0" xfId="10" applyNumberFormat="1" applyFont="1" applyAlignment="1">
      <alignment horizontal="center"/>
    </xf>
    <xf numFmtId="0" fontId="5" fillId="0" borderId="0" xfId="9" applyFont="1" applyAlignment="1">
      <alignment vertical="center"/>
    </xf>
    <xf numFmtId="167" fontId="12" fillId="0" borderId="0" xfId="10" applyNumberFormat="1" applyFont="1" applyAlignment="1">
      <alignment horizontal="center" vertical="center"/>
    </xf>
    <xf numFmtId="167" fontId="7" fillId="0" borderId="0" xfId="10" applyNumberFormat="1" applyFont="1" applyAlignment="1">
      <alignment horizontal="center" vertical="center"/>
    </xf>
    <xf numFmtId="167" fontId="5" fillId="0" borderId="0" xfId="10" applyNumberFormat="1" applyFont="1"/>
    <xf numFmtId="0" fontId="16" fillId="0" borderId="0" xfId="0" applyFont="1"/>
    <xf numFmtId="0" fontId="5" fillId="0" borderId="0" xfId="9" applyFont="1" applyAlignment="1">
      <alignment horizontal="center" vertical="center"/>
    </xf>
    <xf numFmtId="0" fontId="6" fillId="0" borderId="0" xfId="9" applyFont="1" applyAlignment="1">
      <alignment horizontal="center" vertical="center"/>
    </xf>
    <xf numFmtId="0" fontId="5" fillId="0" borderId="0" xfId="9" applyFont="1" applyAlignment="1">
      <alignment horizontal="left" vertical="center"/>
    </xf>
    <xf numFmtId="167" fontId="5" fillId="0" borderId="0" xfId="1" applyNumberFormat="1" applyFont="1" applyAlignment="1">
      <alignment horizontal="center"/>
    </xf>
    <xf numFmtId="167" fontId="6" fillId="0" borderId="0" xfId="10" applyNumberFormat="1" applyFont="1"/>
    <xf numFmtId="49" fontId="5" fillId="0" borderId="0" xfId="9" applyNumberFormat="1" applyFont="1"/>
    <xf numFmtId="167" fontId="6" fillId="0" borderId="0" xfId="10" applyNumberFormat="1" applyFont="1" applyFill="1" applyAlignment="1">
      <alignment horizontal="center"/>
    </xf>
    <xf numFmtId="0" fontId="12" fillId="0" borderId="2" xfId="9" applyFont="1" applyBorder="1" applyAlignment="1">
      <alignment horizontal="center" vertical="center" wrapText="1"/>
    </xf>
    <xf numFmtId="14" fontId="11" fillId="0" borderId="0" xfId="9" applyNumberFormat="1" applyFont="1" applyAlignment="1">
      <alignment horizontal="center" vertical="center"/>
    </xf>
    <xf numFmtId="167" fontId="1" fillId="0" borderId="0" xfId="1" applyNumberFormat="1" applyFont="1" applyFill="1"/>
    <xf numFmtId="167" fontId="15" fillId="0" borderId="0" xfId="1" applyNumberFormat="1" applyFont="1"/>
    <xf numFmtId="167" fontId="14" fillId="0" borderId="0" xfId="1" applyNumberFormat="1" applyFont="1" applyFill="1" applyAlignment="1">
      <alignment horizontal="center" vertical="center"/>
    </xf>
    <xf numFmtId="167" fontId="21" fillId="0" borderId="0" xfId="1" applyNumberFormat="1" applyFont="1" applyAlignment="1">
      <alignment horizontal="center" vertical="center"/>
    </xf>
    <xf numFmtId="0" fontId="14" fillId="0" borderId="0" xfId="9" applyFont="1" applyAlignment="1">
      <alignment horizontal="center" vertical="center"/>
    </xf>
    <xf numFmtId="14" fontId="13" fillId="0" borderId="0" xfId="9" applyNumberFormat="1" applyFont="1" applyAlignment="1">
      <alignment horizontal="center" vertical="center"/>
    </xf>
    <xf numFmtId="167" fontId="14" fillId="0" borderId="0" xfId="1" applyNumberFormat="1" applyFont="1" applyFill="1" applyAlignment="1">
      <alignment horizontal="right" vertical="center"/>
    </xf>
    <xf numFmtId="168" fontId="5" fillId="0" borderId="0" xfId="1" applyNumberFormat="1" applyFont="1" applyAlignment="1">
      <alignment horizontal="right" vertical="center"/>
    </xf>
    <xf numFmtId="167" fontId="9" fillId="0" borderId="0" xfId="1" applyNumberFormat="1" applyFont="1" applyAlignment="1">
      <alignment horizontal="right"/>
    </xf>
    <xf numFmtId="167" fontId="1" fillId="0" borderId="0" xfId="1" applyNumberFormat="1" applyFont="1" applyFill="1" applyAlignment="1">
      <alignment horizontal="right"/>
    </xf>
    <xf numFmtId="168" fontId="5" fillId="0" borderId="0" xfId="1" applyNumberFormat="1" applyFont="1" applyAlignment="1">
      <alignment horizontal="right" vertical="center" wrapText="1"/>
    </xf>
    <xf numFmtId="14" fontId="12" fillId="0" borderId="0" xfId="9" applyNumberFormat="1" applyFont="1" applyAlignment="1">
      <alignment horizontal="center" vertical="center"/>
    </xf>
    <xf numFmtId="3" fontId="7" fillId="0" borderId="0" xfId="9" applyNumberFormat="1" applyFont="1" applyAlignment="1">
      <alignment horizontal="center" vertical="center"/>
    </xf>
    <xf numFmtId="167" fontId="6" fillId="0" borderId="0" xfId="1" applyNumberFormat="1" applyFont="1" applyAlignment="1">
      <alignment horizontal="right" vertical="center"/>
    </xf>
    <xf numFmtId="167" fontId="6" fillId="0" borderId="0" xfId="1" applyNumberFormat="1" applyFont="1" applyFill="1" applyAlignment="1">
      <alignment horizontal="right" vertical="center"/>
    </xf>
    <xf numFmtId="167" fontId="6" fillId="0" borderId="0" xfId="1" applyNumberFormat="1" applyFont="1" applyAlignment="1">
      <alignment horizontal="center" vertical="center"/>
    </xf>
    <xf numFmtId="3" fontId="6" fillId="0" borderId="0" xfId="9" applyNumberFormat="1" applyFont="1" applyAlignment="1">
      <alignment horizontal="center" vertical="center"/>
    </xf>
    <xf numFmtId="0" fontId="12" fillId="0" borderId="3" xfId="9" applyFont="1" applyBorder="1" applyAlignment="1">
      <alignment horizontal="center" vertical="center" wrapText="1"/>
    </xf>
    <xf numFmtId="3" fontId="7" fillId="0" borderId="1" xfId="9" applyNumberFormat="1" applyFont="1" applyBorder="1" applyAlignment="1">
      <alignment horizontal="center" vertical="center"/>
    </xf>
    <xf numFmtId="14" fontId="5" fillId="0" borderId="0" xfId="9" applyNumberFormat="1" applyFont="1" applyAlignment="1">
      <alignment horizontal="center" vertical="center"/>
    </xf>
    <xf numFmtId="168" fontId="5" fillId="0" borderId="0" xfId="1" applyNumberFormat="1" applyFont="1" applyAlignment="1">
      <alignment horizontal="right"/>
    </xf>
    <xf numFmtId="167" fontId="18" fillId="0" borderId="0" xfId="1" applyNumberFormat="1" applyFont="1" applyAlignment="1">
      <alignment horizontal="right"/>
    </xf>
    <xf numFmtId="167" fontId="5" fillId="0" borderId="0" xfId="1" applyNumberFormat="1" applyFont="1" applyFill="1" applyAlignment="1">
      <alignment horizontal="right"/>
    </xf>
    <xf numFmtId="167" fontId="5" fillId="0" borderId="0" xfId="1" applyNumberFormat="1" applyFont="1" applyFill="1"/>
    <xf numFmtId="167" fontId="6" fillId="0" borderId="0" xfId="1" applyNumberFormat="1" applyFont="1"/>
    <xf numFmtId="0" fontId="6" fillId="0" borderId="0" xfId="9" applyFont="1" applyAlignment="1">
      <alignment horizontal="center"/>
    </xf>
    <xf numFmtId="14" fontId="5" fillId="0" borderId="0" xfId="9" applyNumberFormat="1" applyFont="1"/>
    <xf numFmtId="0" fontId="6" fillId="0" borderId="0" xfId="9" applyFont="1"/>
    <xf numFmtId="14" fontId="5" fillId="0" borderId="0" xfId="9" applyNumberFormat="1" applyFont="1" applyAlignment="1">
      <alignment horizontal="left" vertical="center"/>
    </xf>
    <xf numFmtId="0" fontId="24" fillId="0" borderId="0" xfId="12" applyFont="1" applyAlignment="1">
      <alignment horizontal="center" vertical="center"/>
    </xf>
    <xf numFmtId="0" fontId="1" fillId="0" borderId="0" xfId="13" applyFont="1" applyAlignment="1">
      <alignment horizontal="center" vertical="center"/>
    </xf>
    <xf numFmtId="167" fontId="1" fillId="0" borderId="0" xfId="1" applyNumberFormat="1" applyFont="1" applyAlignment="1">
      <alignment horizontal="center" vertical="center"/>
    </xf>
    <xf numFmtId="0" fontId="25" fillId="0" borderId="0" xfId="12" applyFont="1" applyAlignment="1">
      <alignment horizontal="center" vertical="center"/>
    </xf>
    <xf numFmtId="0" fontId="27" fillId="0" borderId="0" xfId="12" applyFont="1" applyAlignment="1">
      <alignment horizontal="center" vertical="center"/>
    </xf>
    <xf numFmtId="14" fontId="28" fillId="0" borderId="0" xfId="1" applyNumberFormat="1" applyFont="1" applyAlignment="1">
      <alignment horizontal="center" vertical="center"/>
    </xf>
    <xf numFmtId="0" fontId="27" fillId="0" borderId="0" xfId="12" applyFont="1" applyAlignment="1">
      <alignment horizontal="left" vertical="center"/>
    </xf>
    <xf numFmtId="43" fontId="27" fillId="0" borderId="0" xfId="1" applyFont="1" applyAlignment="1">
      <alignment horizontal="center" vertical="center"/>
    </xf>
    <xf numFmtId="43" fontId="25" fillId="0" borderId="0" xfId="1" applyFont="1" applyAlignment="1">
      <alignment horizontal="center" vertical="center"/>
    </xf>
    <xf numFmtId="0" fontId="25" fillId="0" borderId="0" xfId="12" applyFont="1" applyAlignment="1">
      <alignment horizontal="left" vertical="center"/>
    </xf>
    <xf numFmtId="167" fontId="25" fillId="0" borderId="0" xfId="1" applyNumberFormat="1" applyFont="1" applyAlignment="1">
      <alignment horizontal="center" vertical="center"/>
    </xf>
    <xf numFmtId="0" fontId="29" fillId="0" borderId="0" xfId="12" applyFont="1" applyAlignment="1">
      <alignment horizontal="left" vertical="center"/>
    </xf>
    <xf numFmtId="0" fontId="27" fillId="4" borderId="1" xfId="12" applyFont="1" applyFill="1" applyBorder="1" applyAlignment="1">
      <alignment horizontal="center" vertical="center"/>
    </xf>
    <xf numFmtId="165" fontId="27" fillId="4" borderId="1" xfId="14" applyNumberFormat="1" applyFont="1" applyFill="1" applyBorder="1" applyAlignment="1">
      <alignment horizontal="center" vertical="center"/>
    </xf>
    <xf numFmtId="167" fontId="27" fillId="4" borderId="1" xfId="12" applyNumberFormat="1" applyFont="1" applyFill="1" applyBorder="1" applyAlignment="1">
      <alignment horizontal="center" vertical="center" wrapText="1"/>
    </xf>
    <xf numFmtId="43" fontId="27" fillId="4" borderId="1" xfId="1" applyFont="1" applyFill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0" fontId="25" fillId="0" borderId="1" xfId="12" applyFont="1" applyBorder="1" applyAlignment="1">
      <alignment horizontal="center" vertical="center"/>
    </xf>
    <xf numFmtId="167" fontId="25" fillId="0" borderId="1" xfId="1" applyNumberFormat="1" applyFont="1" applyFill="1" applyBorder="1" applyAlignment="1">
      <alignment horizontal="center" vertical="center"/>
    </xf>
    <xf numFmtId="167" fontId="30" fillId="0" borderId="1" xfId="1" applyNumberFormat="1" applyFont="1" applyFill="1" applyBorder="1" applyAlignment="1">
      <alignment horizontal="center" vertical="center"/>
    </xf>
    <xf numFmtId="167" fontId="31" fillId="0" borderId="1" xfId="1" applyNumberFormat="1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 vertical="center"/>
    </xf>
    <xf numFmtId="167" fontId="1" fillId="0" borderId="0" xfId="13" applyNumberFormat="1" applyFont="1" applyAlignment="1">
      <alignment horizontal="center" vertical="center"/>
    </xf>
    <xf numFmtId="165" fontId="1" fillId="0" borderId="0" xfId="15" applyNumberFormat="1" applyFont="1" applyFill="1" applyAlignment="1">
      <alignment horizontal="center" vertical="center"/>
    </xf>
    <xf numFmtId="167" fontId="27" fillId="5" borderId="1" xfId="1" applyNumberFormat="1" applyFont="1" applyFill="1" applyBorder="1" applyAlignment="1">
      <alignment horizontal="center" vertical="center"/>
    </xf>
    <xf numFmtId="43" fontId="1" fillId="0" borderId="0" xfId="1" applyFont="1" applyAlignment="1">
      <alignment horizontal="center" vertical="center"/>
    </xf>
    <xf numFmtId="167" fontId="19" fillId="0" borderId="0" xfId="1" applyNumberFormat="1" applyFont="1" applyAlignment="1">
      <alignment horizontal="center" vertical="center"/>
    </xf>
    <xf numFmtId="170" fontId="27" fillId="0" borderId="0" xfId="16" applyNumberFormat="1" applyFont="1" applyBorder="1" applyAlignment="1">
      <alignment horizontal="center" vertical="center"/>
    </xf>
    <xf numFmtId="43" fontId="25" fillId="0" borderId="0" xfId="1" applyFont="1" applyBorder="1" applyAlignment="1">
      <alignment horizontal="center" vertical="center"/>
    </xf>
    <xf numFmtId="167" fontId="31" fillId="0" borderId="0" xfId="1" applyNumberFormat="1" applyFont="1" applyAlignment="1">
      <alignment horizontal="center" vertical="center"/>
    </xf>
    <xf numFmtId="0" fontId="24" fillId="0" borderId="0" xfId="17" applyFont="1" applyAlignment="1">
      <alignment horizontal="left" vertical="center"/>
    </xf>
    <xf numFmtId="0" fontId="15" fillId="0" borderId="0" xfId="12" applyFont="1" applyAlignment="1">
      <alignment horizontal="center" vertical="center"/>
    </xf>
    <xf numFmtId="0" fontId="24" fillId="0" borderId="0" xfId="17" applyFont="1" applyAlignment="1">
      <alignment horizontal="center" vertical="center"/>
    </xf>
    <xf numFmtId="165" fontId="15" fillId="0" borderId="0" xfId="12" applyNumberFormat="1" applyFont="1" applyAlignment="1">
      <alignment horizontal="center" vertical="center"/>
    </xf>
    <xf numFmtId="43" fontId="24" fillId="0" borderId="0" xfId="1" applyFont="1" applyBorder="1" applyAlignment="1">
      <alignment horizontal="center" vertical="center"/>
    </xf>
    <xf numFmtId="170" fontId="1" fillId="0" borderId="0" xfId="13" applyNumberFormat="1" applyFont="1" applyAlignment="1">
      <alignment horizontal="center" vertical="center"/>
    </xf>
    <xf numFmtId="0" fontId="15" fillId="0" borderId="0" xfId="17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43" fontId="32" fillId="0" borderId="0" xfId="1" applyFont="1" applyAlignment="1">
      <alignment horizontal="center" vertical="center"/>
    </xf>
    <xf numFmtId="0" fontId="33" fillId="0" borderId="0" xfId="12" applyFont="1" applyAlignment="1">
      <alignment horizontal="center" vertical="center"/>
    </xf>
    <xf numFmtId="0" fontId="20" fillId="0" borderId="0" xfId="12" applyFont="1" applyAlignment="1">
      <alignment horizontal="center" vertical="center"/>
    </xf>
    <xf numFmtId="0" fontId="34" fillId="0" borderId="0" xfId="0" applyFont="1"/>
    <xf numFmtId="0" fontId="35" fillId="0" borderId="0" xfId="0" applyFont="1" applyAlignment="1">
      <alignment horizontal="center" vertical="center"/>
    </xf>
    <xf numFmtId="43" fontId="35" fillId="0" borderId="0" xfId="1" applyFont="1" applyAlignment="1">
      <alignment horizontal="center" vertical="center"/>
    </xf>
    <xf numFmtId="0" fontId="36" fillId="0" borderId="0" xfId="17" applyFont="1" applyAlignment="1">
      <alignment horizontal="center" vertical="center"/>
    </xf>
    <xf numFmtId="170" fontId="15" fillId="0" borderId="0" xfId="12" applyNumberFormat="1" applyFont="1" applyAlignment="1">
      <alignment horizontal="center" vertical="center"/>
    </xf>
    <xf numFmtId="43" fontId="15" fillId="0" borderId="0" xfId="1" applyFont="1" applyAlignment="1">
      <alignment horizontal="center" vertical="center"/>
    </xf>
    <xf numFmtId="0" fontId="37" fillId="0" borderId="0" xfId="12" applyFont="1" applyAlignment="1">
      <alignment horizontal="center" vertical="center"/>
    </xf>
    <xf numFmtId="0" fontId="24" fillId="0" borderId="0" xfId="12" applyFont="1" applyAlignment="1">
      <alignment horizontal="left" vertical="center"/>
    </xf>
    <xf numFmtId="0" fontId="4" fillId="0" borderId="0" xfId="12" applyFont="1" applyAlignment="1">
      <alignment horizontal="center" vertical="center"/>
    </xf>
    <xf numFmtId="165" fontId="25" fillId="0" borderId="0" xfId="14" applyNumberFormat="1" applyFont="1" applyAlignment="1">
      <alignment horizontal="center" vertical="center"/>
    </xf>
    <xf numFmtId="1" fontId="12" fillId="0" borderId="0" xfId="0" applyNumberFormat="1" applyFont="1" applyAlignment="1">
      <alignment horizontal="left" vertical="center" wrapText="1"/>
    </xf>
    <xf numFmtId="167" fontId="6" fillId="0" borderId="0" xfId="1" applyNumberFormat="1" applyFont="1" applyFill="1" applyAlignment="1">
      <alignment horizontal="center" vertical="center"/>
    </xf>
    <xf numFmtId="0" fontId="6" fillId="0" borderId="3" xfId="9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 readingOrder="1"/>
    </xf>
    <xf numFmtId="0" fontId="6" fillId="2" borderId="1" xfId="9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 readingOrder="1"/>
    </xf>
    <xf numFmtId="167" fontId="6" fillId="0" borderId="3" xfId="1" applyNumberFormat="1" applyFont="1" applyBorder="1" applyAlignment="1">
      <alignment horizontal="right" vertical="center" wrapText="1"/>
    </xf>
    <xf numFmtId="167" fontId="6" fillId="0" borderId="3" xfId="1" applyNumberFormat="1" applyFont="1" applyFill="1" applyBorder="1" applyAlignment="1">
      <alignment horizontal="center" vertical="center" wrapText="1"/>
    </xf>
    <xf numFmtId="167" fontId="6" fillId="0" borderId="4" xfId="1" applyNumberFormat="1" applyFont="1" applyBorder="1" applyAlignment="1">
      <alignment horizontal="center" vertical="center" wrapText="1"/>
    </xf>
    <xf numFmtId="167" fontId="6" fillId="0" borderId="3" xfId="1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 readingOrder="1"/>
    </xf>
    <xf numFmtId="11" fontId="6" fillId="0" borderId="1" xfId="0" quotePrefix="1" applyNumberFormat="1" applyFont="1" applyBorder="1" applyAlignment="1">
      <alignment horizontal="center" vertical="center"/>
    </xf>
    <xf numFmtId="11" fontId="6" fillId="0" borderId="1" xfId="0" applyNumberFormat="1" applyFont="1" applyBorder="1" applyAlignment="1">
      <alignment horizontal="center" vertical="center"/>
    </xf>
    <xf numFmtId="167" fontId="6" fillId="0" borderId="3" xfId="1" applyNumberFormat="1" applyFont="1" applyFill="1" applyBorder="1" applyAlignment="1">
      <alignment horizontal="right" vertical="center" wrapText="1"/>
    </xf>
    <xf numFmtId="167" fontId="6" fillId="0" borderId="4" xfId="1" applyNumberFormat="1" applyFont="1" applyFill="1" applyBorder="1" applyAlignment="1">
      <alignment horizontal="center" vertical="center" wrapText="1"/>
    </xf>
    <xf numFmtId="167" fontId="6" fillId="0" borderId="3" xfId="9" applyNumberFormat="1" applyFont="1" applyBorder="1" applyAlignment="1">
      <alignment horizontal="center" vertical="center" wrapText="1"/>
    </xf>
    <xf numFmtId="0" fontId="17" fillId="0" borderId="3" xfId="9" applyFont="1" applyBorder="1" applyAlignment="1">
      <alignment horizontal="center" vertical="center" wrapText="1"/>
    </xf>
    <xf numFmtId="0" fontId="17" fillId="5" borderId="3" xfId="9" applyFont="1" applyFill="1" applyBorder="1" applyAlignment="1">
      <alignment horizontal="center" vertical="center" wrapText="1"/>
    </xf>
    <xf numFmtId="0" fontId="17" fillId="0" borderId="1" xfId="9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 readingOrder="1"/>
    </xf>
    <xf numFmtId="0" fontId="6" fillId="2" borderId="5" xfId="9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0" fontId="38" fillId="0" borderId="1" xfId="0" applyFont="1" applyBorder="1" applyAlignment="1">
      <alignment vertical="center" wrapText="1"/>
    </xf>
    <xf numFmtId="0" fontId="6" fillId="0" borderId="5" xfId="9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" fontId="6" fillId="0" borderId="1" xfId="0" quotePrefix="1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3" fontId="6" fillId="2" borderId="1" xfId="9" applyNumberFormat="1" applyFont="1" applyFill="1" applyBorder="1" applyAlignment="1">
      <alignment horizontal="center" vertical="center" wrapText="1"/>
    </xf>
    <xf numFmtId="0" fontId="6" fillId="0" borderId="1" xfId="9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 readingOrder="1"/>
    </xf>
    <xf numFmtId="167" fontId="13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12" fillId="0" borderId="0" xfId="9" applyNumberFormat="1" applyFont="1" applyAlignment="1">
      <alignment horizontal="center"/>
    </xf>
    <xf numFmtId="167" fontId="12" fillId="0" borderId="0" xfId="1" applyNumberFormat="1" applyFont="1" applyAlignment="1">
      <alignment horizontal="center"/>
    </xf>
    <xf numFmtId="167" fontId="5" fillId="0" borderId="0" xfId="1" applyNumberFormat="1" applyFont="1" applyAlignment="1">
      <alignment horizontal="center"/>
    </xf>
    <xf numFmtId="1" fontId="5" fillId="0" borderId="0" xfId="1" applyNumberFormat="1" applyFont="1" applyFill="1" applyAlignment="1">
      <alignment horizontal="center"/>
    </xf>
    <xf numFmtId="0" fontId="13" fillId="0" borderId="0" xfId="9" applyFont="1" applyAlignment="1">
      <alignment horizontal="center" vertical="center"/>
    </xf>
    <xf numFmtId="167" fontId="13" fillId="0" borderId="0" xfId="1" applyNumberFormat="1" applyFont="1" applyAlignment="1">
      <alignment horizontal="center" vertical="center"/>
    </xf>
    <xf numFmtId="167" fontId="14" fillId="0" borderId="0" xfId="1" applyNumberFormat="1" applyFont="1" applyAlignment="1">
      <alignment horizontal="center" vertical="center"/>
    </xf>
    <xf numFmtId="1" fontId="14" fillId="0" borderId="0" xfId="1" applyNumberFormat="1" applyFont="1" applyFill="1" applyAlignment="1">
      <alignment horizontal="center" vertical="center"/>
    </xf>
    <xf numFmtId="167" fontId="14" fillId="0" borderId="0" xfId="1" applyNumberFormat="1" applyFont="1" applyFill="1" applyAlignment="1">
      <alignment horizontal="center" vertical="center"/>
    </xf>
    <xf numFmtId="167" fontId="21" fillId="0" borderId="0" xfId="1" applyNumberFormat="1" applyFont="1" applyAlignment="1">
      <alignment horizontal="center" vertical="center"/>
    </xf>
    <xf numFmtId="0" fontId="14" fillId="0" borderId="0" xfId="9" applyFont="1" applyAlignment="1">
      <alignment horizontal="center" vertical="center"/>
    </xf>
    <xf numFmtId="168" fontId="12" fillId="0" borderId="2" xfId="1" applyNumberFormat="1" applyFont="1" applyBorder="1" applyAlignment="1">
      <alignment horizontal="right" vertical="center" wrapText="1"/>
    </xf>
    <xf numFmtId="168" fontId="12" fillId="0" borderId="3" xfId="1" applyNumberFormat="1" applyFont="1" applyBorder="1" applyAlignment="1">
      <alignment horizontal="right" vertical="center" wrapText="1"/>
    </xf>
    <xf numFmtId="0" fontId="1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quotePrefix="1" applyFont="1" applyAlignment="1">
      <alignment horizontal="left" vertical="center"/>
    </xf>
    <xf numFmtId="0" fontId="12" fillId="0" borderId="2" xfId="9" applyFont="1" applyBorder="1" applyAlignment="1">
      <alignment horizontal="center" vertical="center" wrapText="1"/>
    </xf>
    <xf numFmtId="0" fontId="12" fillId="0" borderId="3" xfId="9" applyFont="1" applyBorder="1" applyAlignment="1">
      <alignment horizontal="center" vertical="center" wrapText="1"/>
    </xf>
    <xf numFmtId="14" fontId="12" fillId="0" borderId="2" xfId="9" applyNumberFormat="1" applyFont="1" applyBorder="1" applyAlignment="1">
      <alignment horizontal="center" vertical="center" wrapText="1"/>
    </xf>
    <xf numFmtId="14" fontId="12" fillId="0" borderId="3" xfId="9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0" fontId="13" fillId="0" borderId="0" xfId="9" applyFont="1" applyAlignment="1">
      <alignment horizontal="center"/>
    </xf>
    <xf numFmtId="0" fontId="7" fillId="0" borderId="2" xfId="9" applyFont="1" applyBorder="1" applyAlignment="1">
      <alignment horizontal="center" vertical="center" wrapText="1"/>
    </xf>
    <xf numFmtId="0" fontId="7" fillId="0" borderId="3" xfId="9" applyFont="1" applyBorder="1" applyAlignment="1">
      <alignment horizontal="center" vertical="center" wrapText="1"/>
    </xf>
    <xf numFmtId="0" fontId="5" fillId="0" borderId="2" xfId="9" applyFont="1" applyBorder="1" applyAlignment="1">
      <alignment horizontal="center" vertical="center" wrapText="1"/>
    </xf>
    <xf numFmtId="0" fontId="5" fillId="0" borderId="3" xfId="9" applyFont="1" applyBorder="1" applyAlignment="1">
      <alignment horizontal="center" vertical="center" wrapText="1"/>
    </xf>
    <xf numFmtId="167" fontId="12" fillId="0" borderId="2" xfId="1" applyNumberFormat="1" applyFont="1" applyBorder="1" applyAlignment="1">
      <alignment horizontal="center" vertical="center" wrapText="1"/>
    </xf>
    <xf numFmtId="167" fontId="12" fillId="0" borderId="3" xfId="1" applyNumberFormat="1" applyFont="1" applyBorder="1" applyAlignment="1">
      <alignment horizontal="center" vertical="center" wrapText="1"/>
    </xf>
    <xf numFmtId="167" fontId="12" fillId="0" borderId="2" xfId="1" applyNumberFormat="1" applyFont="1" applyBorder="1" applyAlignment="1">
      <alignment horizontal="right" vertical="center" wrapText="1"/>
    </xf>
    <xf numFmtId="167" fontId="12" fillId="0" borderId="3" xfId="1" applyNumberFormat="1" applyFont="1" applyBorder="1" applyAlignment="1">
      <alignment horizontal="right" vertical="center" wrapText="1"/>
    </xf>
    <xf numFmtId="167" fontId="7" fillId="0" borderId="2" xfId="1" applyNumberFormat="1" applyFont="1" applyBorder="1" applyAlignment="1">
      <alignment horizontal="center" vertical="center" wrapText="1"/>
    </xf>
    <xf numFmtId="167" fontId="7" fillId="0" borderId="3" xfId="1" applyNumberFormat="1" applyFont="1" applyBorder="1" applyAlignment="1">
      <alignment horizontal="center" vertical="center" wrapText="1"/>
    </xf>
    <xf numFmtId="167" fontId="12" fillId="0" borderId="2" xfId="1" applyNumberFormat="1" applyFont="1" applyFill="1" applyBorder="1" applyAlignment="1">
      <alignment horizontal="center" vertical="center" wrapText="1"/>
    </xf>
    <xf numFmtId="167" fontId="12" fillId="0" borderId="3" xfId="1" applyNumberFormat="1" applyFont="1" applyFill="1" applyBorder="1" applyAlignment="1">
      <alignment horizontal="center" vertical="center" wrapText="1"/>
    </xf>
    <xf numFmtId="167" fontId="12" fillId="0" borderId="2" xfId="1" applyNumberFormat="1" applyFont="1" applyFill="1" applyBorder="1" applyAlignment="1">
      <alignment horizontal="right" vertical="center" wrapText="1"/>
    </xf>
    <xf numFmtId="167" fontId="12" fillId="0" borderId="3" xfId="1" applyNumberFormat="1" applyFont="1" applyFill="1" applyBorder="1" applyAlignment="1">
      <alignment horizontal="right" vertical="center" wrapText="1"/>
    </xf>
    <xf numFmtId="0" fontId="24" fillId="0" borderId="0" xfId="12" applyFont="1" applyAlignment="1">
      <alignment horizontal="center" vertical="center"/>
    </xf>
    <xf numFmtId="0" fontId="25" fillId="0" borderId="0" xfId="12" applyFont="1" applyAlignment="1">
      <alignment horizontal="center" vertical="center"/>
    </xf>
    <xf numFmtId="0" fontId="23" fillId="0" borderId="0" xfId="11" applyAlignment="1">
      <alignment horizontal="center" vertical="center"/>
    </xf>
    <xf numFmtId="0" fontId="26" fillId="0" borderId="0" xfId="12" applyFont="1" applyAlignment="1">
      <alignment horizontal="center" vertical="center"/>
    </xf>
    <xf numFmtId="0" fontId="27" fillId="5" borderId="1" xfId="12" applyFont="1" applyFill="1" applyBorder="1" applyAlignment="1">
      <alignment horizontal="center" vertical="center"/>
    </xf>
    <xf numFmtId="49" fontId="39" fillId="0" borderId="0" xfId="9" applyNumberFormat="1" applyFont="1" applyAlignment="1">
      <alignment horizontal="center"/>
    </xf>
    <xf numFmtId="0" fontId="40" fillId="0" borderId="0" xfId="0" applyFont="1"/>
    <xf numFmtId="0" fontId="41" fillId="0" borderId="0" xfId="9" applyFont="1"/>
    <xf numFmtId="49" fontId="41" fillId="0" borderId="0" xfId="9" applyNumberFormat="1" applyFont="1"/>
    <xf numFmtId="49" fontId="41" fillId="0" borderId="0" xfId="9" applyNumberFormat="1" applyFont="1" applyAlignment="1">
      <alignment vertical="center"/>
    </xf>
    <xf numFmtId="167" fontId="41" fillId="0" borderId="0" xfId="10" applyNumberFormat="1" applyFont="1"/>
    <xf numFmtId="167" fontId="41" fillId="0" borderId="0" xfId="1" applyNumberFormat="1" applyFont="1" applyAlignment="1">
      <alignment horizontal="center"/>
    </xf>
    <xf numFmtId="167" fontId="42" fillId="0" borderId="0" xfId="10" applyNumberFormat="1" applyFont="1" applyFill="1" applyAlignment="1">
      <alignment horizontal="center"/>
    </xf>
    <xf numFmtId="167" fontId="43" fillId="0" borderId="0" xfId="1" applyNumberFormat="1" applyFont="1"/>
    <xf numFmtId="167" fontId="41" fillId="0" borderId="0" xfId="1" applyNumberFormat="1" applyFont="1"/>
    <xf numFmtId="0" fontId="41" fillId="0" borderId="0" xfId="9" applyFont="1" applyAlignment="1">
      <alignment horizontal="center"/>
    </xf>
    <xf numFmtId="0" fontId="39" fillId="0" borderId="0" xfId="9" applyFont="1" applyAlignment="1">
      <alignment horizontal="center" vertical="center"/>
    </xf>
    <xf numFmtId="0" fontId="0" fillId="0" borderId="0" xfId="0" applyAlignment="1">
      <alignment horizontal="center"/>
    </xf>
    <xf numFmtId="0" fontId="44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7" fontId="11" fillId="0" borderId="0" xfId="0" applyNumberFormat="1" applyFont="1" applyAlignment="1">
      <alignment horizontal="left" vertical="center"/>
    </xf>
    <xf numFmtId="167" fontId="11" fillId="0" borderId="0" xfId="1" applyNumberFormat="1" applyFont="1" applyAlignment="1">
      <alignment horizontal="center" vertical="center"/>
    </xf>
    <xf numFmtId="0" fontId="45" fillId="0" borderId="0" xfId="0" applyFont="1" applyAlignment="1">
      <alignment horizontal="center"/>
    </xf>
    <xf numFmtId="167" fontId="46" fillId="0" borderId="0" xfId="1" applyNumberFormat="1" applyFont="1"/>
    <xf numFmtId="167" fontId="47" fillId="0" borderId="0" xfId="1" applyNumberFormat="1" applyFont="1"/>
    <xf numFmtId="0" fontId="47" fillId="0" borderId="0" xfId="0" applyFont="1"/>
    <xf numFmtId="0" fontId="47" fillId="0" borderId="0" xfId="0" applyFont="1" applyAlignment="1">
      <alignment horizontal="center"/>
    </xf>
    <xf numFmtId="0" fontId="11" fillId="0" borderId="0" xfId="9" applyFont="1"/>
    <xf numFmtId="0" fontId="44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167" fontId="11" fillId="0" borderId="0" xfId="1" applyNumberFormat="1" applyFont="1" applyAlignment="1">
      <alignment horizontal="center" vertical="center" wrapText="1"/>
    </xf>
    <xf numFmtId="0" fontId="11" fillId="0" borderId="0" xfId="0" quotePrefix="1" applyFont="1" applyAlignment="1">
      <alignment horizontal="left" vertical="center"/>
    </xf>
    <xf numFmtId="14" fontId="11" fillId="0" borderId="0" xfId="0" applyNumberFormat="1" applyFont="1" applyAlignment="1">
      <alignment horizontal="left" vertical="center"/>
    </xf>
    <xf numFmtId="2" fontId="48" fillId="0" borderId="0" xfId="0" applyNumberFormat="1" applyFont="1" applyAlignment="1">
      <alignment horizontal="left" vertical="center"/>
    </xf>
    <xf numFmtId="167" fontId="44" fillId="0" borderId="0" xfId="0" applyNumberFormat="1" applyFont="1" applyAlignment="1">
      <alignment horizontal="left" vertical="center"/>
    </xf>
    <xf numFmtId="167" fontId="44" fillId="0" borderId="0" xfId="1" applyNumberFormat="1" applyFont="1" applyAlignment="1">
      <alignment horizontal="center" vertical="center"/>
    </xf>
    <xf numFmtId="0" fontId="7" fillId="0" borderId="0" xfId="9" applyFont="1" applyAlignment="1">
      <alignment horizontal="center" vertical="center"/>
    </xf>
    <xf numFmtId="167" fontId="17" fillId="0" borderId="0" xfId="1" applyNumberFormat="1" applyFont="1" applyBorder="1" applyAlignment="1">
      <alignment horizontal="center" vertical="center"/>
    </xf>
    <xf numFmtId="167" fontId="12" fillId="0" borderId="0" xfId="1" applyNumberFormat="1" applyFont="1" applyBorder="1" applyAlignment="1">
      <alignment horizontal="center" vertical="center"/>
    </xf>
    <xf numFmtId="0" fontId="12" fillId="0" borderId="6" xfId="9" applyFont="1" applyBorder="1" applyAlignment="1">
      <alignment horizontal="center" vertical="center" wrapText="1"/>
    </xf>
    <xf numFmtId="0" fontId="12" fillId="0" borderId="7" xfId="9" applyFont="1" applyBorder="1" applyAlignment="1">
      <alignment horizontal="center" vertical="center" wrapText="1"/>
    </xf>
    <xf numFmtId="49" fontId="12" fillId="0" borderId="7" xfId="9" applyNumberFormat="1" applyFont="1" applyBorder="1" applyAlignment="1">
      <alignment horizontal="center" vertical="center" wrapText="1"/>
    </xf>
    <xf numFmtId="167" fontId="12" fillId="0" borderId="7" xfId="10" applyNumberFormat="1" applyFont="1" applyFill="1" applyBorder="1" applyAlignment="1">
      <alignment horizontal="center" vertical="center" wrapText="1"/>
    </xf>
    <xf numFmtId="167" fontId="7" fillId="0" borderId="8" xfId="1" applyNumberFormat="1" applyFont="1" applyFill="1" applyBorder="1" applyAlignment="1">
      <alignment horizontal="center" vertical="center" wrapText="1"/>
    </xf>
    <xf numFmtId="167" fontId="12" fillId="0" borderId="8" xfId="1" applyNumberFormat="1" applyFont="1" applyFill="1" applyBorder="1" applyAlignment="1">
      <alignment horizontal="center" vertical="center" wrapText="1"/>
    </xf>
    <xf numFmtId="167" fontId="12" fillId="0" borderId="7" xfId="1" applyNumberFormat="1" applyFont="1" applyFill="1" applyBorder="1" applyAlignment="1">
      <alignment horizontal="center" vertical="center" wrapText="1"/>
    </xf>
    <xf numFmtId="0" fontId="12" fillId="0" borderId="9" xfId="9" applyFont="1" applyBorder="1" applyAlignment="1">
      <alignment horizontal="center" vertical="center" wrapText="1"/>
    </xf>
    <xf numFmtId="0" fontId="12" fillId="0" borderId="8" xfId="9" applyFont="1" applyBorder="1" applyAlignment="1">
      <alignment horizontal="center" vertical="center" wrapText="1"/>
    </xf>
    <xf numFmtId="0" fontId="12" fillId="0" borderId="7" xfId="9" applyFont="1" applyBorder="1" applyAlignment="1">
      <alignment horizontal="center" vertical="center" wrapText="1"/>
    </xf>
    <xf numFmtId="0" fontId="12" fillId="0" borderId="10" xfId="9" applyFont="1" applyBorder="1" applyAlignment="1">
      <alignment horizontal="center" vertical="center" wrapText="1"/>
    </xf>
    <xf numFmtId="0" fontId="12" fillId="0" borderId="11" xfId="9" applyFont="1" applyBorder="1" applyAlignment="1">
      <alignment horizontal="center" vertical="center" wrapText="1"/>
    </xf>
    <xf numFmtId="0" fontId="12" fillId="0" borderId="12" xfId="9" applyFont="1" applyBorder="1" applyAlignment="1">
      <alignment horizontal="center" vertical="center" wrapText="1"/>
    </xf>
    <xf numFmtId="49" fontId="12" fillId="0" borderId="12" xfId="9" applyNumberFormat="1" applyFont="1" applyBorder="1" applyAlignment="1">
      <alignment horizontal="center" vertical="center" wrapText="1"/>
    </xf>
    <xf numFmtId="167" fontId="12" fillId="0" borderId="12" xfId="10" applyNumberFormat="1" applyFont="1" applyFill="1" applyBorder="1" applyAlignment="1">
      <alignment horizontal="center" vertical="center" wrapText="1"/>
    </xf>
    <xf numFmtId="167" fontId="7" fillId="0" borderId="2" xfId="1" applyNumberFormat="1" applyFont="1" applyFill="1" applyBorder="1" applyAlignment="1">
      <alignment horizontal="center" vertical="center" wrapText="1"/>
    </xf>
    <xf numFmtId="167" fontId="12" fillId="0" borderId="12" xfId="1" applyNumberFormat="1" applyFont="1" applyFill="1" applyBorder="1" applyAlignment="1">
      <alignment horizontal="center" vertical="center" wrapText="1"/>
    </xf>
    <xf numFmtId="0" fontId="12" fillId="0" borderId="13" xfId="9" applyFont="1" applyBorder="1" applyAlignment="1">
      <alignment horizontal="center" vertical="center" wrapText="1"/>
    </xf>
    <xf numFmtId="0" fontId="12" fillId="0" borderId="12" xfId="9" applyFont="1" applyBorder="1" applyAlignment="1">
      <alignment horizontal="center" vertical="center" wrapText="1"/>
    </xf>
    <xf numFmtId="0" fontId="12" fillId="0" borderId="14" xfId="9" applyFont="1" applyBorder="1" applyAlignment="1">
      <alignment horizontal="center" vertical="center" wrapText="1"/>
    </xf>
    <xf numFmtId="0" fontId="5" fillId="0" borderId="1" xfId="9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9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 vertical="center" wrapText="1"/>
    </xf>
    <xf numFmtId="167" fontId="5" fillId="0" borderId="1" xfId="1" applyNumberFormat="1" applyFont="1" applyFill="1" applyBorder="1" applyAlignment="1">
      <alignment horizontal="center" vertical="center" wrapText="1"/>
    </xf>
    <xf numFmtId="37" fontId="49" fillId="0" borderId="1" xfId="18" applyNumberFormat="1" applyFont="1" applyFill="1" applyBorder="1" applyAlignment="1">
      <alignment horizontal="center" vertical="center" wrapText="1"/>
    </xf>
    <xf numFmtId="3" fontId="5" fillId="0" borderId="1" xfId="9" applyNumberFormat="1" applyFont="1" applyBorder="1" applyAlignment="1">
      <alignment horizontal="center" vertical="center" wrapText="1"/>
    </xf>
    <xf numFmtId="0" fontId="5" fillId="6" borderId="0" xfId="9" applyFont="1" applyFill="1"/>
    <xf numFmtId="0" fontId="5" fillId="7" borderId="0" xfId="9" applyFont="1" applyFill="1"/>
    <xf numFmtId="0" fontId="5" fillId="8" borderId="0" xfId="9" applyFont="1" applyFill="1"/>
    <xf numFmtId="0" fontId="5" fillId="2" borderId="1" xfId="9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5" fillId="2" borderId="1" xfId="0" quotePrefix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 vertical="center" wrapText="1"/>
    </xf>
    <xf numFmtId="167" fontId="5" fillId="2" borderId="1" xfId="1" applyNumberFormat="1" applyFont="1" applyFill="1" applyBorder="1" applyAlignment="1">
      <alignment horizontal="center" vertical="center" wrapText="1"/>
    </xf>
    <xf numFmtId="37" fontId="49" fillId="2" borderId="1" xfId="18" applyNumberFormat="1" applyFont="1" applyFill="1" applyBorder="1" applyAlignment="1">
      <alignment horizontal="center" vertical="center" wrapText="1"/>
    </xf>
    <xf numFmtId="3" fontId="5" fillId="2" borderId="1" xfId="9" applyNumberFormat="1" applyFont="1" applyFill="1" applyBorder="1" applyAlignment="1">
      <alignment horizontal="center" vertical="center" wrapText="1"/>
    </xf>
    <xf numFmtId="43" fontId="5" fillId="2" borderId="1" xfId="9" applyNumberFormat="1" applyFont="1" applyFill="1" applyBorder="1" applyAlignment="1">
      <alignment horizontal="center" vertical="center" wrapText="1"/>
    </xf>
    <xf numFmtId="0" fontId="5" fillId="9" borderId="0" xfId="9" applyFont="1" applyFill="1"/>
    <xf numFmtId="43" fontId="5" fillId="0" borderId="1" xfId="9" applyNumberFormat="1" applyFont="1" applyBorder="1" applyAlignment="1">
      <alignment horizontal="center" vertical="center" wrapText="1"/>
    </xf>
    <xf numFmtId="0" fontId="5" fillId="0" borderId="15" xfId="9" applyFont="1" applyBorder="1" applyAlignment="1">
      <alignment horizontal="center" vertical="center" wrapText="1"/>
    </xf>
    <xf numFmtId="43" fontId="5" fillId="0" borderId="16" xfId="9" applyNumberFormat="1" applyFont="1" applyBorder="1" applyAlignment="1">
      <alignment horizontal="center" vertical="center" wrapText="1"/>
    </xf>
    <xf numFmtId="0" fontId="12" fillId="0" borderId="17" xfId="9" applyFont="1" applyBorder="1" applyAlignment="1">
      <alignment vertical="center"/>
    </xf>
    <xf numFmtId="0" fontId="12" fillId="0" borderId="18" xfId="9" applyFont="1" applyBorder="1" applyAlignment="1">
      <alignment vertical="center"/>
    </xf>
    <xf numFmtId="49" fontId="12" fillId="0" borderId="18" xfId="9" applyNumberFormat="1" applyFont="1" applyBorder="1" applyAlignment="1">
      <alignment horizontal="center" vertical="center"/>
    </xf>
    <xf numFmtId="49" fontId="12" fillId="0" borderId="19" xfId="9" applyNumberFormat="1" applyFont="1" applyBorder="1" applyAlignment="1">
      <alignment horizontal="center" vertical="center"/>
    </xf>
    <xf numFmtId="49" fontId="12" fillId="0" borderId="20" xfId="9" applyNumberFormat="1" applyFont="1" applyBorder="1" applyAlignment="1">
      <alignment horizontal="center" vertical="center"/>
    </xf>
    <xf numFmtId="49" fontId="12" fillId="0" borderId="21" xfId="9" applyNumberFormat="1" applyFont="1" applyBorder="1" applyAlignment="1">
      <alignment horizontal="center" vertical="center"/>
    </xf>
    <xf numFmtId="167" fontId="7" fillId="0" borderId="18" xfId="10" applyNumberFormat="1" applyFont="1" applyFill="1" applyBorder="1" applyAlignment="1">
      <alignment horizontal="center" vertical="center"/>
    </xf>
    <xf numFmtId="0" fontId="12" fillId="0" borderId="22" xfId="9" applyFont="1" applyBorder="1" applyAlignment="1">
      <alignment horizontal="center" vertical="center"/>
    </xf>
    <xf numFmtId="167" fontId="18" fillId="0" borderId="0" xfId="1" applyNumberFormat="1" applyFont="1"/>
    <xf numFmtId="167" fontId="17" fillId="0" borderId="0" xfId="1" applyNumberFormat="1" applyFont="1"/>
    <xf numFmtId="0" fontId="50" fillId="0" borderId="0" xfId="9" applyFont="1" applyAlignment="1">
      <alignment horizontal="center" vertical="center"/>
    </xf>
    <xf numFmtId="167" fontId="44" fillId="0" borderId="0" xfId="1" applyNumberFormat="1" applyFont="1"/>
    <xf numFmtId="0" fontId="44" fillId="0" borderId="0" xfId="0" applyFont="1" applyAlignment="1">
      <alignment horizontal="center" vertical="center"/>
    </xf>
    <xf numFmtId="0" fontId="48" fillId="0" borderId="0" xfId="0" applyFont="1"/>
    <xf numFmtId="0" fontId="11" fillId="0" borderId="0" xfId="9" applyFont="1" applyAlignment="1">
      <alignment vertical="center"/>
    </xf>
    <xf numFmtId="0" fontId="51" fillId="0" borderId="0" xfId="9" applyFont="1" applyAlignment="1">
      <alignment horizontal="center" vertical="center"/>
    </xf>
    <xf numFmtId="167" fontId="52" fillId="0" borderId="0" xfId="1" applyNumberFormat="1" applyFont="1"/>
    <xf numFmtId="167" fontId="11" fillId="0" borderId="0" xfId="1" applyNumberFormat="1" applyFont="1"/>
    <xf numFmtId="1" fontId="44" fillId="0" borderId="0" xfId="0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/>
    </xf>
    <xf numFmtId="167" fontId="11" fillId="0" borderId="0" xfId="10" applyNumberFormat="1" applyFont="1"/>
    <xf numFmtId="167" fontId="11" fillId="0" borderId="0" xfId="1" applyNumberFormat="1" applyFont="1" applyAlignment="1">
      <alignment horizontal="center"/>
    </xf>
    <xf numFmtId="167" fontId="51" fillId="0" borderId="0" xfId="10" applyNumberFormat="1" applyFont="1"/>
    <xf numFmtId="0" fontId="12" fillId="0" borderId="0" xfId="9" applyFont="1" applyBorder="1"/>
    <xf numFmtId="0" fontId="13" fillId="0" borderId="0" xfId="9" applyFont="1" applyBorder="1" applyAlignment="1">
      <alignment horizontal="center"/>
    </xf>
    <xf numFmtId="49" fontId="12" fillId="0" borderId="0" xfId="9" applyNumberFormat="1" applyFont="1" applyBorder="1"/>
    <xf numFmtId="49" fontId="12" fillId="0" borderId="0" xfId="9" applyNumberFormat="1" applyFont="1" applyBorder="1" applyAlignment="1">
      <alignment vertical="center"/>
    </xf>
    <xf numFmtId="0" fontId="12" fillId="0" borderId="0" xfId="9" applyFont="1" applyBorder="1" applyAlignment="1">
      <alignment horizontal="center" vertical="center"/>
    </xf>
    <xf numFmtId="167" fontId="12" fillId="0" borderId="0" xfId="10" applyNumberFormat="1" applyFont="1" applyBorder="1" applyAlignment="1">
      <alignment horizontal="center"/>
    </xf>
    <xf numFmtId="167" fontId="12" fillId="0" borderId="0" xfId="1" applyNumberFormat="1" applyFont="1" applyBorder="1" applyAlignment="1">
      <alignment horizontal="center"/>
    </xf>
    <xf numFmtId="168" fontId="5" fillId="0" borderId="0" xfId="1" applyNumberFormat="1" applyFont="1" applyBorder="1" applyAlignment="1">
      <alignment horizontal="right"/>
    </xf>
    <xf numFmtId="167" fontId="7" fillId="0" borderId="0" xfId="10" applyNumberFormat="1" applyFont="1" applyBorder="1" applyAlignment="1">
      <alignment horizontal="center"/>
    </xf>
    <xf numFmtId="167" fontId="5" fillId="0" borderId="0" xfId="1" applyNumberFormat="1" applyFont="1" applyFill="1" applyBorder="1"/>
    <xf numFmtId="167" fontId="14" fillId="0" borderId="0" xfId="1" applyNumberFormat="1" applyFont="1" applyBorder="1" applyAlignment="1">
      <alignment horizontal="center" vertical="center"/>
    </xf>
    <xf numFmtId="167" fontId="14" fillId="0" borderId="0" xfId="1" applyNumberFormat="1" applyFont="1" applyFill="1" applyBorder="1" applyAlignment="1">
      <alignment horizontal="center" vertical="center"/>
    </xf>
    <xf numFmtId="167" fontId="21" fillId="0" borderId="0" xfId="1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5" fillId="0" borderId="0" xfId="9" applyFont="1" applyBorder="1"/>
    <xf numFmtId="14" fontId="5" fillId="0" borderId="0" xfId="9" applyNumberFormat="1" applyFont="1" applyBorder="1"/>
    <xf numFmtId="1" fontId="22" fillId="0" borderId="0" xfId="0" applyNumberFormat="1" applyFont="1" applyBorder="1" applyAlignment="1">
      <alignment horizontal="center" vertical="center"/>
    </xf>
    <xf numFmtId="168" fontId="5" fillId="0" borderId="0" xfId="1" applyNumberFormat="1" applyFont="1" applyBorder="1" applyAlignment="1">
      <alignment horizontal="right" vertical="center"/>
    </xf>
    <xf numFmtId="167" fontId="7" fillId="0" borderId="0" xfId="10" applyNumberFormat="1" applyFont="1" applyBorder="1" applyAlignment="1">
      <alignment horizontal="center" vertical="center"/>
    </xf>
    <xf numFmtId="167" fontId="5" fillId="0" borderId="0" xfId="1" applyNumberFormat="1" applyFont="1" applyBorder="1"/>
    <xf numFmtId="167" fontId="6" fillId="0" borderId="0" xfId="1" applyNumberFormat="1" applyFont="1" applyBorder="1"/>
    <xf numFmtId="167" fontId="5" fillId="0" borderId="0" xfId="1" applyNumberFormat="1" applyFont="1" applyBorder="1" applyAlignment="1">
      <alignment horizontal="center"/>
    </xf>
    <xf numFmtId="0" fontId="5" fillId="0" borderId="0" xfId="9" applyFont="1" applyBorder="1" applyAlignment="1">
      <alignment horizontal="center"/>
    </xf>
    <xf numFmtId="0" fontId="12" fillId="0" borderId="0" xfId="9" applyFont="1" applyBorder="1" applyAlignment="1">
      <alignment horizontal="center"/>
    </xf>
    <xf numFmtId="0" fontId="6" fillId="0" borderId="0" xfId="9" applyFont="1" applyBorder="1"/>
    <xf numFmtId="49" fontId="5" fillId="0" borderId="0" xfId="9" applyNumberFormat="1" applyFont="1" applyBorder="1" applyAlignment="1">
      <alignment horizontal="center" vertical="center"/>
    </xf>
    <xf numFmtId="14" fontId="5" fillId="0" borderId="0" xfId="9" applyNumberFormat="1" applyFont="1" applyBorder="1" applyAlignment="1">
      <alignment horizontal="center" vertical="center"/>
    </xf>
    <xf numFmtId="49" fontId="5" fillId="0" borderId="0" xfId="9" applyNumberFormat="1" applyFont="1" applyBorder="1" applyAlignment="1">
      <alignment vertical="center"/>
    </xf>
    <xf numFmtId="167" fontId="12" fillId="0" borderId="0" xfId="10" applyNumberFormat="1" applyFont="1" applyBorder="1"/>
    <xf numFmtId="167" fontId="7" fillId="0" borderId="0" xfId="10" applyNumberFormat="1" applyFont="1" applyFill="1" applyBorder="1" applyAlignment="1">
      <alignment horizontal="center"/>
    </xf>
    <xf numFmtId="167" fontId="17" fillId="0" borderId="0" xfId="1" applyNumberFormat="1" applyFont="1" applyBorder="1" applyAlignment="1">
      <alignment horizontal="right" vertical="center" wrapText="1"/>
    </xf>
    <xf numFmtId="0" fontId="6" fillId="0" borderId="0" xfId="9" applyFont="1" applyBorder="1" applyAlignment="1">
      <alignment horizontal="center"/>
    </xf>
    <xf numFmtId="0" fontId="5" fillId="0" borderId="0" xfId="9" applyFont="1" applyBorder="1" applyAlignment="1">
      <alignment vertical="center"/>
    </xf>
    <xf numFmtId="167" fontId="12" fillId="0" borderId="0" xfId="10" applyNumberFormat="1" applyFont="1" applyBorder="1" applyAlignment="1">
      <alignment horizontal="center" vertical="center"/>
    </xf>
    <xf numFmtId="0" fontId="12" fillId="0" borderId="1" xfId="9" applyFont="1" applyBorder="1" applyAlignment="1">
      <alignment vertical="center"/>
    </xf>
    <xf numFmtId="167" fontId="12" fillId="0" borderId="1" xfId="1" applyNumberFormat="1" applyFont="1" applyBorder="1" applyAlignment="1">
      <alignment vertical="center"/>
    </xf>
    <xf numFmtId="0" fontId="6" fillId="0" borderId="2" xfId="9" applyFont="1" applyBorder="1" applyAlignment="1">
      <alignment horizontal="center" vertical="center" wrapText="1"/>
    </xf>
    <xf numFmtId="0" fontId="17" fillId="0" borderId="2" xfId="9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 readingOrder="1"/>
    </xf>
    <xf numFmtId="0" fontId="6" fillId="2" borderId="2" xfId="9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 wrapText="1"/>
    </xf>
    <xf numFmtId="11" fontId="6" fillId="0" borderId="2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49" fontId="6" fillId="0" borderId="2" xfId="0" applyNumberFormat="1" applyFont="1" applyBorder="1" applyAlignment="1">
      <alignment horizontal="center" vertical="center" wrapText="1" readingOrder="1"/>
    </xf>
    <xf numFmtId="167" fontId="6" fillId="0" borderId="12" xfId="1" applyNumberFormat="1" applyFont="1" applyBorder="1" applyAlignment="1">
      <alignment horizontal="right" vertical="center" wrapText="1"/>
    </xf>
    <xf numFmtId="167" fontId="6" fillId="0" borderId="12" xfId="1" applyNumberFormat="1" applyFont="1" applyFill="1" applyBorder="1" applyAlignment="1">
      <alignment horizontal="center" vertical="center" wrapText="1"/>
    </xf>
    <xf numFmtId="167" fontId="6" fillId="0" borderId="13" xfId="1" applyNumberFormat="1" applyFont="1" applyBorder="1" applyAlignment="1">
      <alignment horizontal="center" vertical="center" wrapText="1"/>
    </xf>
    <xf numFmtId="167" fontId="6" fillId="0" borderId="12" xfId="1" applyNumberFormat="1" applyFont="1" applyBorder="1" applyAlignment="1">
      <alignment horizontal="center" vertical="center" wrapText="1"/>
    </xf>
    <xf numFmtId="167" fontId="6" fillId="0" borderId="12" xfId="9" applyNumberFormat="1" applyFont="1" applyBorder="1" applyAlignment="1">
      <alignment horizontal="center" vertical="center" wrapText="1"/>
    </xf>
    <xf numFmtId="0" fontId="17" fillId="0" borderId="12" xfId="9" applyFont="1" applyBorder="1" applyAlignment="1">
      <alignment horizontal="center" vertical="center" wrapText="1"/>
    </xf>
    <xf numFmtId="0" fontId="6" fillId="0" borderId="12" xfId="9" applyFont="1" applyBorder="1" applyAlignment="1">
      <alignment horizontal="center" vertical="center" wrapText="1"/>
    </xf>
    <xf numFmtId="0" fontId="12" fillId="0" borderId="1" xfId="9" applyFont="1" applyBorder="1" applyAlignment="1">
      <alignment horizontal="center" vertical="center"/>
    </xf>
    <xf numFmtId="0" fontId="6" fillId="0" borderId="3" xfId="9" applyFont="1" applyFill="1" applyBorder="1" applyAlignment="1">
      <alignment horizontal="center" vertical="center" wrapText="1"/>
    </xf>
    <xf numFmtId="0" fontId="17" fillId="0" borderId="3" xfId="9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wrapText="1" readingOrder="1"/>
    </xf>
    <xf numFmtId="0" fontId="6" fillId="0" borderId="5" xfId="9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 readingOrder="1"/>
    </xf>
    <xf numFmtId="49" fontId="6" fillId="0" borderId="1" xfId="0" applyNumberFormat="1" applyFont="1" applyFill="1" applyBorder="1" applyAlignment="1">
      <alignment horizontal="center" vertical="center" wrapText="1" readingOrder="1"/>
    </xf>
    <xf numFmtId="167" fontId="6" fillId="0" borderId="3" xfId="9" applyNumberFormat="1" applyFont="1" applyFill="1" applyBorder="1" applyAlignment="1">
      <alignment horizontal="center" vertical="center" wrapText="1"/>
    </xf>
    <xf numFmtId="0" fontId="6" fillId="0" borderId="0" xfId="9" applyFont="1" applyFill="1"/>
    <xf numFmtId="11" fontId="6" fillId="0" borderId="1" xfId="0" applyNumberFormat="1" applyFont="1" applyFill="1" applyBorder="1" applyAlignment="1">
      <alignment horizontal="center" vertical="center"/>
    </xf>
  </cellXfs>
  <cellStyles count="19">
    <cellStyle name="Comma" xfId="1" builtinId="3"/>
    <cellStyle name="Comma 2" xfId="10" xr:uid="{A3181C8C-2A0F-4AC8-9B60-D7AA40101519}"/>
    <cellStyle name="Comma 2 12" xfId="3" xr:uid="{E6FD9D64-2606-481A-89C3-1167327024E6}"/>
    <cellStyle name="Comma 3 2 2" xfId="15" xr:uid="{9F157E1B-9AEC-4D09-9BA5-C577F2E32537}"/>
    <cellStyle name="Comma 3 4 5" xfId="16" xr:uid="{E2242A3F-0946-4873-8477-6746C31F0253}"/>
    <cellStyle name="Comma 4" xfId="7" xr:uid="{B487FDA2-0F33-43B1-9570-AC3765843DA9}"/>
    <cellStyle name="Comma 61" xfId="14" xr:uid="{D92C6071-7942-4559-A70C-AABEB49367A1}"/>
    <cellStyle name="Currency" xfId="18" builtinId="4"/>
    <cellStyle name="Dấu phẩy 2" xfId="6" xr:uid="{48F8B96F-DEBD-4A6E-B188-2B1FB97AC62D}"/>
    <cellStyle name="Hyperlink" xfId="11" builtinId="8"/>
    <cellStyle name="Normal" xfId="0" builtinId="0"/>
    <cellStyle name="Normal 14 3 2" xfId="4" xr:uid="{601E0DEE-B9C8-4C82-B34B-ECF7D9C402D1}"/>
    <cellStyle name="Normal 2 2" xfId="9" xr:uid="{D7437C4B-C10F-4285-9E7D-E61BA8F668D7}"/>
    <cellStyle name="Normal 2 4" xfId="5" xr:uid="{A625CDF1-56D8-42D5-9E54-EB5D51E0B606}"/>
    <cellStyle name="Normal 2 6" xfId="2" xr:uid="{4EE60B83-DC6E-43C6-86CB-03719D2D4433}"/>
    <cellStyle name="Normal 2 7" xfId="8" xr:uid="{B905E7CC-1567-4DA5-B488-B956D5CED710}"/>
    <cellStyle name="Normal 37 3 2" xfId="13" xr:uid="{47838638-78F4-4A00-B1F5-667DBA435BED}"/>
    <cellStyle name="Normal 5 2 2" xfId="12" xr:uid="{1F4D78BC-A992-4A1E-8A05-87E3E220BF77}"/>
    <cellStyle name="Normal_DEBIT NOTE FORM" xfId="17" xr:uid="{1E55A4ED-4508-4DC1-A087-DA105F0610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qazi.GEO-LOGISTICS\Local%20Settings\Temporary%20Internet%20Files\OLK18D\Plan%202006\Plan2006%20IS-Working-with%20WH%20050828%20-%20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abc.KHURRAM\Local%20Settings\Temporary%20Internet%20Files\OLK33D\Documents%20and%20Settings\abc\Local%20Settings\Temporary%20Internet%20Files\OLK65\2005PlanReviewPack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ANASONIC\PEDV%20HANG%20NHAP\LINH%20TINH\huyenTT\General%20debit\CNTS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AppData\Local\Temp\Zalo%20Temp\7d2535bd5d03591e1226b912b4c22c51~\MEIKO%20TRUCK\B&#7842;NG%20K&#202;%205P-MEIKO.%20TRUCK%20HOSIDEN,%20DS,%20DRT.%20T1.2026.%20hc.xlsx" TargetMode="External"/><Relationship Id="rId1" Type="http://schemas.openxmlformats.org/officeDocument/2006/relationships/externalLinkPath" Target="file:///C:\Users\LENOVO\AppData\Local\Temp\Zalo%20Temp\7d2535bd5d03591e1226b912b4c22c51~\MEIKO%20TRUCK\B&#7842;NG%20K&#202;%205P-MEIKO.%20TRUCK%20HOSIDEN,%20DS,%20DRT.%20T1.2026.%20h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P&amp;L"/>
      <sheetName val="Rev &amp; CoS"/>
      <sheetName val="Payroll"/>
      <sheetName val="Oth Emp Costs"/>
      <sheetName val="Facilities"/>
      <sheetName val="Other SG&amp;A"/>
      <sheetName val="Non-Op"/>
      <sheetName val="Salaries"/>
      <sheetName val="Basis"/>
      <sheetName val="WH"/>
      <sheetName val="Headcount"/>
      <sheetName val="Bonus"/>
      <sheetName val="Fin. charge"/>
      <sheetName val="Rentals"/>
      <sheetName val="Definition"/>
      <sheetName val="CAL_A"/>
      <sheetName val="DOTAct"/>
      <sheetName val="PRE"/>
      <sheetName val="MTL$-INTER"/>
      <sheetName val="Data"/>
      <sheetName val="gvl"/>
      <sheetName val="工数データ"/>
      <sheetName val="Plan2006 IS-Working-with WH 050"/>
      <sheetName val="Order Follow Up"/>
      <sheetName val="ORDER　SHEET"/>
      <sheetName val="AG-TOTAL"/>
      <sheetName val="AGRL"/>
      <sheetName val="AGSS"/>
      <sheetName val="IDS"/>
      <sheetName val="LTR"/>
      <sheetName val="LTS"/>
      <sheetName val="OTRGR"/>
      <sheetName val="OTR-TOTAL"/>
      <sheetName val="PSR+LTR"/>
      <sheetName val="TBS"/>
      <sheetName val="PNT-QUOT-#3"/>
      <sheetName val="COAT&amp;WRAP-QIOT-#3"/>
      <sheetName val="Thang 8"/>
      <sheetName val="Báo giá"/>
      <sheetName val="Bảng kê"/>
      <sheetName val="BL"/>
      <sheetName val="chitiet"/>
    </sheetNames>
    <sheetDataSet>
      <sheetData sheetId="0" refreshError="1">
        <row r="1">
          <cell r="B1" t="str">
            <v>510_lc</v>
          </cell>
        </row>
        <row r="2">
          <cell r="B2" t="str">
            <v>PlanNext</v>
          </cell>
        </row>
        <row r="6">
          <cell r="B6" t="str">
            <v>Finance</v>
          </cell>
        </row>
        <row r="8">
          <cell r="B8">
            <v>1</v>
          </cell>
        </row>
        <row r="10">
          <cell r="B10">
            <v>2005</v>
          </cell>
        </row>
      </sheetData>
      <sheetData sheetId="1"/>
      <sheetData sheetId="2"/>
      <sheetData sheetId="3">
        <row r="1">
          <cell r="B1" t="str">
            <v>510_lc</v>
          </cell>
        </row>
      </sheetData>
      <sheetData sheetId="4"/>
      <sheetData sheetId="5"/>
      <sheetData sheetId="6">
        <row r="1">
          <cell r="B1" t="str">
            <v>510_lc</v>
          </cell>
        </row>
      </sheetData>
      <sheetData sheetId="7"/>
      <sheetData sheetId="8"/>
      <sheetData sheetId="9">
        <row r="1">
          <cell r="B1" t="str">
            <v>510_lc</v>
          </cell>
        </row>
      </sheetData>
      <sheetData sheetId="10"/>
      <sheetData sheetId="11"/>
      <sheetData sheetId="12">
        <row r="1">
          <cell r="B1" t="str">
            <v>510_lc</v>
          </cell>
        </row>
      </sheetData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B1">
            <v>0</v>
          </cell>
        </row>
      </sheetData>
      <sheetData sheetId="39"/>
      <sheetData sheetId="40"/>
      <sheetData sheetId="41" refreshError="1"/>
      <sheetData sheetId="4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s"/>
      <sheetName val="Index"/>
      <sheetName val="KeyEconInd"/>
      <sheetName val="KeyAssumFcst"/>
      <sheetName val="KeyAssumPlan"/>
      <sheetName val="FinSum"/>
      <sheetName val="Scorecard"/>
      <sheetName val="IS"/>
      <sheetName val="Recon 2004 Plan to 2004 Fcst"/>
      <sheetName val="Recon 2004 Fcst to 2005 Plan"/>
      <sheetName val="Sensitiv"/>
      <sheetName val="SWOT"/>
      <sheetName val="SGA"/>
      <sheetName val="BalSht_Fcst"/>
      <sheetName val="BalSht_Plan"/>
      <sheetName val="CashFlow_Fcst"/>
      <sheetName val="CashFlow_Plan"/>
      <sheetName val="OpStat"/>
      <sheetName val="Fcst_Mo"/>
      <sheetName val="Plan_Mo"/>
      <sheetName val="Margins"/>
      <sheetName val="ProdLines_Fcst"/>
      <sheetName val="ProdLines_Plan"/>
      <sheetName val="Mkt_Rev"/>
      <sheetName val="Air_Sum"/>
      <sheetName val="Air"/>
      <sheetName val="Ocean_Sum"/>
      <sheetName val="Ocean"/>
      <sheetName val="Overland_Sum"/>
      <sheetName val="Overland"/>
      <sheetName val="Log_Whse"/>
      <sheetName val="Customer"/>
      <sheetName val="Cust_2004"/>
      <sheetName val="CapEx"/>
      <sheetName val="CapEx_Mo"/>
      <sheetName val="IC_Rev"/>
      <sheetName val="Headcount_Fcst"/>
      <sheetName val="Headcount_Plan"/>
      <sheetName val="StaffCosts"/>
      <sheetName val="StaffCosts_Mo_Fcst"/>
      <sheetName val="StaffCosts_Mo_Plan"/>
      <sheetName val="DBO"/>
      <sheetName val="DSO"/>
      <sheetName val="DPO"/>
      <sheetName val="Weights"/>
      <sheetName val="Restr_Fcst"/>
      <sheetName val="Restr_Fcst_Benefits"/>
      <sheetName val="Restr_Plan"/>
      <sheetName val="Restr_Plan_Benefits"/>
      <sheetName val="SILICATE"/>
      <sheetName val="Bảng Giá"/>
      <sheetName val="Table"/>
      <sheetName val="2002"/>
      <sheetName val="Sheet 1"/>
      <sheetName val="CT-MOXI"/>
      <sheetName val="INT &amp; BK CHA"/>
      <sheetName val="NDSRSCRAP"/>
      <sheetName val="MTL$-INTER"/>
      <sheetName val="Danh muc NVL"/>
      <sheetName val="Bdata"/>
      <sheetName val="Infor"/>
      <sheetName val="Quotation"/>
      <sheetName val="2005PlanReviewPack"/>
      <sheetName val="tra-vat-lieu"/>
      <sheetName val="COVER"/>
      <sheetName val="Sheet1"/>
      <sheetName val="Sheet2"/>
      <sheetName val="Inventory"/>
      <sheetName val="Thang 8"/>
      <sheetName val="Báo giá"/>
      <sheetName val="Bảng kê"/>
      <sheetName val="gVL"/>
      <sheetName val="THCT"/>
      <sheetName val="THDZ0,4"/>
      <sheetName val="TH DZ35"/>
      <sheetName val="THTram"/>
    </sheetNames>
    <sheetDataSet>
      <sheetData sheetId="0" refreshError="1"/>
      <sheetData sheetId="1" refreshError="1">
        <row r="2">
          <cell r="C2" t="str">
            <v>Fcst_YE</v>
          </cell>
          <cell r="D2" t="str">
            <v>PlanNext</v>
          </cell>
          <cell r="E2" t="str">
            <v>Plan</v>
          </cell>
          <cell r="G2" t="str">
            <v>1YrPrior</v>
          </cell>
        </row>
        <row r="11">
          <cell r="B11">
            <v>2003</v>
          </cell>
        </row>
        <row r="15">
          <cell r="B15" t="str">
            <v>2005 Plan Review Pack</v>
          </cell>
        </row>
        <row r="16">
          <cell r="B16" t="str">
            <v>in 000's PKR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2">
          <cell r="C2" t="str">
            <v>Job overview</v>
          </cell>
        </row>
      </sheetData>
      <sheetData sheetId="70"/>
      <sheetData sheetId="71">
        <row r="2">
          <cell r="C2" t="str">
            <v>Job overview</v>
          </cell>
        </row>
      </sheetData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7.08"/>
      <sheetName val="EX7.08"/>
      <sheetName val="Sheet1"/>
      <sheetName val="CNTS"/>
      <sheetName val="Tables"/>
      <sheetName val="Data"/>
      <sheetName val="LCL"/>
      <sheetName val="AE"/>
      <sheetName val="DE"/>
      <sheetName val="FCL"/>
      <sheetName val="AI"/>
      <sheetName val="OI"/>
      <sheetName val="DI"/>
      <sheetName val="DEPT."/>
      <sheetName val="Chi tiet"/>
      <sheetName val="Budget"/>
      <sheetName val="CF DB"/>
      <sheetName val="PL DB"/>
      <sheetName val="CF SLIDE"/>
      <sheetName val="PL SLIDE"/>
      <sheetName val="Parameters"/>
      <sheetName val="PNT-QUOT-#3"/>
      <sheetName val="Master"/>
      <sheetName val="helper"/>
      <sheetName val="Quotations"/>
      <sheetName val="Master (2)"/>
      <sheetName val="HƯỚNG DẪN"/>
    </sheetNames>
    <sheetDataSet>
      <sheetData sheetId="0" refreshError="1"/>
      <sheetData sheetId="1" refreshError="1"/>
      <sheetData sheetId="2">
        <row r="3">
          <cell r="D3" t="b">
            <v>1</v>
          </cell>
        </row>
      </sheetData>
      <sheetData sheetId="3" refreshError="1"/>
      <sheetData sheetId="4" refreshError="1"/>
      <sheetData sheetId="5" refreshError="1"/>
      <sheetData sheetId="6"/>
      <sheetData sheetId="7">
        <row r="3">
          <cell r="D3">
            <v>0</v>
          </cell>
        </row>
      </sheetData>
      <sheetData sheetId="8">
        <row r="3">
          <cell r="D3" t="b">
            <v>1</v>
          </cell>
        </row>
      </sheetData>
      <sheetData sheetId="9">
        <row r="3">
          <cell r="D3" t="b">
            <v>1</v>
          </cell>
        </row>
      </sheetData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uck"/>
      <sheetName val="HOSIDEN"/>
      <sheetName val="DS HB"/>
      <sheetName val="DS BN"/>
      <sheetName val="DRT"/>
    </sheetNames>
    <sheetDataSet>
      <sheetData sheetId="0"/>
      <sheetData sheetId="1">
        <row r="14">
          <cell r="A14">
            <v>46023</v>
          </cell>
          <cell r="C14" t="str">
            <v>HOSIDEN</v>
          </cell>
          <cell r="D14" t="str">
            <v>KCN Thạch Thất, Hanoi- KCN Quang Chau, Bac Ninh</v>
          </cell>
          <cell r="F14" t="str">
            <v>260105HSD-F03, 260105HSD-F04, FOC01</v>
          </cell>
          <cell r="G14" t="str">
            <v>1.25T</v>
          </cell>
          <cell r="I14" t="str">
            <v>10 box</v>
          </cell>
          <cell r="L14">
            <v>1200000</v>
          </cell>
          <cell r="M14">
            <v>200000</v>
          </cell>
          <cell r="S14" t="str">
            <v>29C 64515</v>
          </cell>
          <cell r="U14" t="str">
            <v>LG2512/5042</v>
          </cell>
        </row>
        <row r="15">
          <cell r="A15">
            <v>46082</v>
          </cell>
          <cell r="C15" t="str">
            <v>HOSIDEN</v>
          </cell>
          <cell r="D15" t="str">
            <v>KCN Thạch Thất, Hanoi- KCN Quang Chau, Bac Ninh</v>
          </cell>
          <cell r="F15" t="str">
            <v>260105HSD-F06</v>
          </cell>
          <cell r="G15" t="str">
            <v>1.25T</v>
          </cell>
          <cell r="I15" t="str">
            <v>9 cartons</v>
          </cell>
          <cell r="L15">
            <v>1200000</v>
          </cell>
          <cell r="M15">
            <v>200000</v>
          </cell>
          <cell r="S15" t="str">
            <v>29H 57424</v>
          </cell>
          <cell r="U15" t="str">
            <v>LG2512/5043</v>
          </cell>
        </row>
        <row r="16">
          <cell r="A16">
            <v>46082</v>
          </cell>
          <cell r="C16" t="str">
            <v>HOSIDEN</v>
          </cell>
          <cell r="D16" t="str">
            <v>KCN Thạch Thất, Hanoi- KCN Quang Chau, Bac Ninh</v>
          </cell>
          <cell r="F16" t="str">
            <v>260105HSD-F05</v>
          </cell>
          <cell r="G16" t="str">
            <v>1.25T</v>
          </cell>
          <cell r="I16" t="str">
            <v>6 CT</v>
          </cell>
          <cell r="L16">
            <v>1200000</v>
          </cell>
          <cell r="M16">
            <v>200000</v>
          </cell>
          <cell r="S16" t="str">
            <v>29K 05797</v>
          </cell>
          <cell r="U16" t="str">
            <v>LG2512/5044</v>
          </cell>
        </row>
        <row r="17">
          <cell r="A17">
            <v>46113</v>
          </cell>
          <cell r="C17" t="str">
            <v>HOSIDEN</v>
          </cell>
          <cell r="D17" t="str">
            <v>KCN Thạch Thất, Hanoi- KCN Quang Chau, Bac Ninh</v>
          </cell>
          <cell r="F17" t="str">
            <v>260105HSD-F07</v>
          </cell>
          <cell r="G17" t="str">
            <v>1.25T</v>
          </cell>
          <cell r="I17" t="str">
            <v>5 CT</v>
          </cell>
          <cell r="L17">
            <v>1200000</v>
          </cell>
          <cell r="M17">
            <v>200000</v>
          </cell>
          <cell r="S17" t="str">
            <v>29C 64515</v>
          </cell>
          <cell r="U17" t="str">
            <v>LG2512/5045</v>
          </cell>
        </row>
        <row r="18">
          <cell r="A18">
            <v>46143</v>
          </cell>
          <cell r="C18" t="str">
            <v>HOSIDEN</v>
          </cell>
          <cell r="D18" t="str">
            <v>KCN Thạch Thất, Hanoi- KCN Quang Chau, Bac Ninh</v>
          </cell>
          <cell r="F18" t="str">
            <v>260105HSD-P02
260105HSD-F08</v>
          </cell>
          <cell r="G18" t="str">
            <v>2.5T</v>
          </cell>
          <cell r="I18" t="str">
            <v>3 pallets
6 cartons</v>
          </cell>
          <cell r="L18">
            <v>1800000</v>
          </cell>
          <cell r="M18">
            <v>300000</v>
          </cell>
          <cell r="N18">
            <v>200000</v>
          </cell>
          <cell r="S18" t="str">
            <v>29H 80353</v>
          </cell>
          <cell r="T18" t="str">
            <v>Chờ lấy hàng từ 18h đến 21h</v>
          </cell>
          <cell r="U18" t="str">
            <v>LG2512/5046</v>
          </cell>
        </row>
        <row r="19">
          <cell r="A19">
            <v>46143</v>
          </cell>
          <cell r="C19" t="str">
            <v>HOSIDEN</v>
          </cell>
          <cell r="D19" t="str">
            <v>KCN Thạch Thất, Hanoi- KCN Quang Chau, Bac Ninh</v>
          </cell>
          <cell r="F19" t="str">
            <v>260105HSD-P03</v>
          </cell>
          <cell r="G19" t="str">
            <v>1.25T</v>
          </cell>
          <cell r="I19" t="str">
            <v>1 pallet</v>
          </cell>
          <cell r="L19">
            <v>1200000</v>
          </cell>
          <cell r="M19">
            <v>200000</v>
          </cell>
          <cell r="S19" t="str">
            <v>29E 26074</v>
          </cell>
          <cell r="U19" t="str">
            <v>LG2512/5047</v>
          </cell>
        </row>
        <row r="20">
          <cell r="A20">
            <v>46174</v>
          </cell>
          <cell r="C20" t="str">
            <v>HOSIDEN</v>
          </cell>
          <cell r="D20" t="str">
            <v>KCN Thạch Thất, Hanoi- KCN Quang Chau, Bac Ninh</v>
          </cell>
          <cell r="F20" t="str">
            <v>260105HSD-F09</v>
          </cell>
          <cell r="G20" t="str">
            <v>1.25T</v>
          </cell>
          <cell r="I20" t="str">
            <v>1 pallet</v>
          </cell>
          <cell r="L20">
            <v>1200000</v>
          </cell>
          <cell r="M20">
            <v>200000</v>
          </cell>
          <cell r="N20">
            <v>450000</v>
          </cell>
          <cell r="S20" t="str">
            <v>29E 26078</v>
          </cell>
          <cell r="T20" t="str">
            <v xml:space="preserve">chờ giờ lấy hàng từ 6h đến 11h45 </v>
          </cell>
          <cell r="U20" t="str">
            <v>LG2512/5048</v>
          </cell>
        </row>
        <row r="21">
          <cell r="A21">
            <v>46174</v>
          </cell>
          <cell r="C21" t="str">
            <v>HOSIDEN</v>
          </cell>
          <cell r="D21" t="str">
            <v>KCN Thạch Thất, Hanoi- KCN Quang Chau, Bac Ninh</v>
          </cell>
          <cell r="F21" t="str">
            <v>260106HSD-P04; 260105HSD-F10</v>
          </cell>
          <cell r="G21" t="str">
            <v>1.25T</v>
          </cell>
          <cell r="I21" t="str">
            <v>1 pallet, 9 cartons</v>
          </cell>
          <cell r="L21">
            <v>1200000</v>
          </cell>
          <cell r="M21">
            <v>200000</v>
          </cell>
          <cell r="S21" t="str">
            <v>29H 88397</v>
          </cell>
          <cell r="T21" t="str">
            <v>Kèm pb thư</v>
          </cell>
          <cell r="U21" t="str">
            <v>LG2512/5049</v>
          </cell>
        </row>
        <row r="22">
          <cell r="A22">
            <v>46204</v>
          </cell>
          <cell r="C22" t="str">
            <v>HOSIDEN</v>
          </cell>
          <cell r="D22" t="str">
            <v>KCN Thạch Thất, Hanoi- KCN Quang Chau, Bac Ninh</v>
          </cell>
          <cell r="F22" t="str">
            <v>260105HSD-F11
260107HSD-F12</v>
          </cell>
          <cell r="G22" t="str">
            <v>1.25T</v>
          </cell>
          <cell r="I22" t="str">
            <v>1 pallet
1 carton</v>
          </cell>
          <cell r="L22">
            <v>1200000</v>
          </cell>
          <cell r="M22">
            <v>200000</v>
          </cell>
          <cell r="N22">
            <v>300000</v>
          </cell>
          <cell r="S22" t="str">
            <v>29E 26078</v>
          </cell>
          <cell r="T22" t="str">
            <v>chờ giờ lấy hàng từ 6h đến 10h</v>
          </cell>
          <cell r="U22" t="str">
            <v>LG2512/5050</v>
          </cell>
        </row>
        <row r="23">
          <cell r="A23">
            <v>46204</v>
          </cell>
          <cell r="C23" t="str">
            <v>HOSIDEN</v>
          </cell>
          <cell r="D23" t="str">
            <v>KCN Thạch Thất, Hanoi- KCN Quang Chau, Bac Ninh</v>
          </cell>
          <cell r="F23" t="str">
            <v>260107HSD-F13</v>
          </cell>
          <cell r="G23" t="str">
            <v>1.25T</v>
          </cell>
          <cell r="I23" t="str">
            <v>1 pallet</v>
          </cell>
          <cell r="L23">
            <v>1200000</v>
          </cell>
          <cell r="M23">
            <v>200000</v>
          </cell>
          <cell r="S23" t="str">
            <v>99H 02527</v>
          </cell>
          <cell r="U23" t="str">
            <v>LG2512/5051</v>
          </cell>
        </row>
        <row r="24">
          <cell r="A24">
            <v>46235</v>
          </cell>
          <cell r="C24" t="str">
            <v>HOSIDEN</v>
          </cell>
          <cell r="D24" t="str">
            <v>KCN Thạch Thất, Hanoi- KCN Quang Chau, Bac Ninh</v>
          </cell>
          <cell r="F24" t="str">
            <v>260107HSD-F14</v>
          </cell>
          <cell r="G24" t="str">
            <v>1.25T</v>
          </cell>
          <cell r="I24" t="str">
            <v>9 cartons</v>
          </cell>
          <cell r="L24">
            <v>1200000</v>
          </cell>
          <cell r="M24">
            <v>200000</v>
          </cell>
          <cell r="N24">
            <v>350000</v>
          </cell>
          <cell r="S24" t="str">
            <v>29H 92126</v>
          </cell>
          <cell r="T24" t="str">
            <v>chờ lấy hàng  từ 6h đến 10h30</v>
          </cell>
          <cell r="U24" t="str">
            <v>LG2512/5052</v>
          </cell>
        </row>
        <row r="25">
          <cell r="A25">
            <v>46235</v>
          </cell>
          <cell r="C25" t="str">
            <v>HOSIDEN</v>
          </cell>
          <cell r="D25" t="str">
            <v>KCN Thạch Thất, Hanoi- KCN Quang Chau, Bac Ninh</v>
          </cell>
          <cell r="F25" t="str">
            <v>260108HSD-P05</v>
          </cell>
          <cell r="G25" t="str">
            <v>1.25T</v>
          </cell>
          <cell r="I25" t="str">
            <v>1 carton</v>
          </cell>
          <cell r="L25">
            <v>1200000</v>
          </cell>
          <cell r="M25">
            <v>200000</v>
          </cell>
          <cell r="S25" t="str">
            <v>29E 26577</v>
          </cell>
          <cell r="U25" t="str">
            <v>LG2512/5053</v>
          </cell>
        </row>
        <row r="26">
          <cell r="A26">
            <v>46235</v>
          </cell>
          <cell r="C26" t="str">
            <v>HOSIDEN</v>
          </cell>
          <cell r="D26" t="str">
            <v>KCN Thạch Thất, Hanoi- KCN Quang Chau, Bac Ninh</v>
          </cell>
          <cell r="F26" t="str">
            <v>260108HSD-F15</v>
          </cell>
          <cell r="G26" t="str">
            <v>1.25T</v>
          </cell>
          <cell r="I26" t="str">
            <v>1 pallet</v>
          </cell>
          <cell r="L26">
            <v>1200000</v>
          </cell>
          <cell r="M26">
            <v>200000</v>
          </cell>
          <cell r="S26" t="str">
            <v>29H 76514</v>
          </cell>
          <cell r="U26" t="str">
            <v>LG2512/5054</v>
          </cell>
        </row>
        <row r="27">
          <cell r="A27">
            <v>46266</v>
          </cell>
          <cell r="C27" t="str">
            <v>HOSIDEN</v>
          </cell>
          <cell r="D27" t="str">
            <v>KCN Thạch Thất, Hanoi- KCN Quang Chau, Bac Ninh</v>
          </cell>
          <cell r="F27" t="str">
            <v>260108HSD-P06, 260108HSD-F16</v>
          </cell>
          <cell r="G27" t="str">
            <v>1.25T</v>
          </cell>
          <cell r="I27" t="str">
            <v>3 pallets và 7 cartons</v>
          </cell>
          <cell r="L27">
            <v>1200000</v>
          </cell>
          <cell r="M27">
            <v>200000</v>
          </cell>
          <cell r="N27">
            <v>300000</v>
          </cell>
          <cell r="S27" t="str">
            <v>29H 80353</v>
          </cell>
          <cell r="T27" t="str">
            <v>Chờ lấy hàng từ 6h đến 10h</v>
          </cell>
          <cell r="U27" t="str">
            <v>LG2512/5055</v>
          </cell>
        </row>
        <row r="28">
          <cell r="A28">
            <v>46266</v>
          </cell>
          <cell r="C28" t="str">
            <v>HOSIDEN</v>
          </cell>
          <cell r="D28" t="str">
            <v>KCN Thạch Thất, Hanoi- KCN Quang Chau, Bac Ninh</v>
          </cell>
          <cell r="F28" t="str">
            <v>260109HSD-F17</v>
          </cell>
          <cell r="G28" t="str">
            <v>1.25T</v>
          </cell>
          <cell r="I28" t="str">
            <v>7 cartons</v>
          </cell>
          <cell r="L28">
            <v>1200000</v>
          </cell>
          <cell r="M28">
            <v>200000</v>
          </cell>
          <cell r="S28" t="str">
            <v>29H 70769</v>
          </cell>
          <cell r="U28" t="str">
            <v>LG2512/5056</v>
          </cell>
        </row>
        <row r="29">
          <cell r="A29">
            <v>46296</v>
          </cell>
          <cell r="C29" t="str">
            <v>HOSIDEN</v>
          </cell>
          <cell r="D29" t="str">
            <v>KCN Thạch Thất, Hanoi- KCN Quang Chau, Bac Ninh</v>
          </cell>
          <cell r="F29" t="str">
            <v>260109HSD-F18</v>
          </cell>
          <cell r="G29" t="str">
            <v>1.25T</v>
          </cell>
          <cell r="I29" t="str">
            <v>8 cartons</v>
          </cell>
          <cell r="L29">
            <v>1200000</v>
          </cell>
          <cell r="M29">
            <v>200000</v>
          </cell>
          <cell r="S29" t="str">
            <v>29E 26072</v>
          </cell>
          <cell r="U29" t="str">
            <v>LG2512/5057</v>
          </cell>
        </row>
        <row r="30">
          <cell r="A30">
            <v>46327</v>
          </cell>
          <cell r="C30" t="str">
            <v>HOSIDEN</v>
          </cell>
          <cell r="D30" t="str">
            <v>KCN Thạch Thất, Hanoi- KCN Quang Chau, Bac Ninh</v>
          </cell>
          <cell r="F30" t="str">
            <v>260110HSD-F19
260110HSD-F20
260111HSD-P07</v>
          </cell>
          <cell r="G30" t="str">
            <v>1.25T</v>
          </cell>
          <cell r="I30" t="str">
            <v>19 cartons</v>
          </cell>
          <cell r="L30">
            <v>1200000</v>
          </cell>
          <cell r="M30">
            <v>200000</v>
          </cell>
          <cell r="S30" t="str">
            <v>29H 76514</v>
          </cell>
          <cell r="U30" t="str">
            <v>LG2512/5058</v>
          </cell>
        </row>
        <row r="31">
          <cell r="A31">
            <v>46357</v>
          </cell>
          <cell r="C31" t="str">
            <v>HOSIDEN</v>
          </cell>
          <cell r="D31" t="str">
            <v>KCN Thạch Thất, Hanoi- KCN Quang Chau, Bac Ninh</v>
          </cell>
          <cell r="F31" t="str">
            <v>260112HSD-F21</v>
          </cell>
          <cell r="G31" t="str">
            <v>1.25T</v>
          </cell>
          <cell r="I31" t="str">
            <v>1 pallet</v>
          </cell>
          <cell r="L31">
            <v>1200000</v>
          </cell>
          <cell r="M31">
            <v>200000</v>
          </cell>
          <cell r="S31" t="str">
            <v>29K 05633</v>
          </cell>
          <cell r="U31" t="str">
            <v>LG2512/5059</v>
          </cell>
        </row>
        <row r="32">
          <cell r="A32" t="str">
            <v>13/01/2026</v>
          </cell>
          <cell r="C32" t="str">
            <v>HOSIDEN</v>
          </cell>
          <cell r="D32" t="str">
            <v>KCN Thạch Thất, Hanoi- KCN Quang Chau, Bac Ninh</v>
          </cell>
          <cell r="F32" t="str">
            <v>260113HSD-F22</v>
          </cell>
          <cell r="G32" t="str">
            <v>1.25T</v>
          </cell>
          <cell r="I32" t="str">
            <v>7 cartons</v>
          </cell>
          <cell r="L32">
            <v>1200000</v>
          </cell>
          <cell r="M32">
            <v>200000</v>
          </cell>
          <cell r="S32" t="str">
            <v>29H 27651</v>
          </cell>
          <cell r="U32" t="str">
            <v>LG2512/5060</v>
          </cell>
        </row>
        <row r="33">
          <cell r="A33" t="str">
            <v>13/01/2026</v>
          </cell>
          <cell r="C33" t="str">
            <v>HOSIDEN</v>
          </cell>
          <cell r="D33" t="str">
            <v>KCN Thạch Thất, Hanoi- KCN Quang Chau, Bac Ninh</v>
          </cell>
          <cell r="F33" t="str">
            <v>260112HSD-F23</v>
          </cell>
          <cell r="G33" t="str">
            <v>1.25T</v>
          </cell>
          <cell r="I33" t="str">
            <v>1 pallet</v>
          </cell>
          <cell r="L33">
            <v>1200000</v>
          </cell>
          <cell r="M33">
            <v>200000</v>
          </cell>
          <cell r="S33" t="str">
            <v>29H 76819</v>
          </cell>
          <cell r="U33" t="str">
            <v>LG2512/5061</v>
          </cell>
        </row>
        <row r="34">
          <cell r="A34" t="str">
            <v>14/01/2026</v>
          </cell>
          <cell r="C34" t="str">
            <v>HOSIDEN</v>
          </cell>
          <cell r="D34" t="str">
            <v>KCN Thạch Thất, Hanoi- KCN Quang Chau, Bac Ninh</v>
          </cell>
          <cell r="F34" t="str">
            <v>260114HosidenSP-10, 260114HSD-F24</v>
          </cell>
          <cell r="G34" t="str">
            <v>1.25T</v>
          </cell>
          <cell r="I34" t="str">
            <v>5 cartons</v>
          </cell>
          <cell r="L34">
            <v>1200000</v>
          </cell>
          <cell r="M34">
            <v>200000</v>
          </cell>
          <cell r="S34" t="str">
            <v>29E 26078</v>
          </cell>
          <cell r="U34" t="str">
            <v>LG2512/5062</v>
          </cell>
        </row>
        <row r="35">
          <cell r="A35" t="str">
            <v>14/01/2026</v>
          </cell>
          <cell r="C35" t="str">
            <v>HOSIDEN</v>
          </cell>
          <cell r="D35" t="str">
            <v>KCN Thạch Thất, Hanoi- KCN Quang Chau, Bac Ninh</v>
          </cell>
          <cell r="F35" t="str">
            <v>260114HSD-F25; 260114HSD-P08</v>
          </cell>
          <cell r="G35" t="str">
            <v>1.25T</v>
          </cell>
          <cell r="I35" t="str">
            <v>6 cartons, 1 pallet</v>
          </cell>
          <cell r="L35">
            <v>1200000</v>
          </cell>
          <cell r="M35">
            <v>200000</v>
          </cell>
          <cell r="S35" t="str">
            <v>29H 76819</v>
          </cell>
          <cell r="U35" t="str">
            <v>LG2512/5063</v>
          </cell>
        </row>
        <row r="36">
          <cell r="A36" t="str">
            <v>15/01/2026</v>
          </cell>
          <cell r="C36" t="str">
            <v>HOSIDEN</v>
          </cell>
          <cell r="D36" t="str">
            <v>KCN Thạch Thất, Hanoi- KCN Quang Chau, Bac Ninh</v>
          </cell>
          <cell r="F36" t="str">
            <v>260115HSD-F26</v>
          </cell>
          <cell r="G36" t="str">
            <v>1.25T</v>
          </cell>
          <cell r="I36" t="str">
            <v>8 CT</v>
          </cell>
          <cell r="L36">
            <v>1200000</v>
          </cell>
          <cell r="M36">
            <v>200000</v>
          </cell>
          <cell r="S36" t="str">
            <v>29E 26061</v>
          </cell>
          <cell r="U36" t="str">
            <v>LG2512/5064</v>
          </cell>
        </row>
        <row r="37">
          <cell r="A37" t="str">
            <v>15/01/2026</v>
          </cell>
          <cell r="C37" t="str">
            <v>HOSIDEN</v>
          </cell>
          <cell r="D37" t="str">
            <v>KCN Thạch Thất, Hanoi- KCN Quang Chau, Bac Ninh</v>
          </cell>
          <cell r="F37" t="str">
            <v>260115HSD-F27</v>
          </cell>
          <cell r="G37" t="str">
            <v>1.25T</v>
          </cell>
          <cell r="I37" t="str">
            <v>1 pallet</v>
          </cell>
          <cell r="L37">
            <v>1200000</v>
          </cell>
          <cell r="M37">
            <v>200000</v>
          </cell>
          <cell r="S37" t="str">
            <v>29H 88330</v>
          </cell>
          <cell r="U37" t="str">
            <v>LG2512/5065</v>
          </cell>
        </row>
        <row r="38">
          <cell r="A38" t="str">
            <v>16/01/2026</v>
          </cell>
          <cell r="C38" t="str">
            <v>HOSIDEN</v>
          </cell>
          <cell r="D38" t="str">
            <v>KCN Thạch Thất, Hanoi- KCN Quang Chau, Bac Ninh</v>
          </cell>
          <cell r="F38" t="str">
            <v>260115HSD-F28</v>
          </cell>
          <cell r="G38" t="str">
            <v>1.25T</v>
          </cell>
          <cell r="I38" t="str">
            <v>6 cartons</v>
          </cell>
          <cell r="L38">
            <v>1200000</v>
          </cell>
          <cell r="M38">
            <v>200000</v>
          </cell>
          <cell r="N38">
            <v>100000</v>
          </cell>
          <cell r="S38" t="str">
            <v>29H 92126</v>
          </cell>
          <cell r="T38" t="str">
            <v>chờ lấy hàng từ 6h đến 8h</v>
          </cell>
          <cell r="U38" t="str">
            <v>LG2512/5066</v>
          </cell>
        </row>
        <row r="39">
          <cell r="A39" t="str">
            <v>16/01/2026</v>
          </cell>
          <cell r="C39" t="str">
            <v>HOSIDEN</v>
          </cell>
          <cell r="D39" t="str">
            <v>KCN Thạch Thất, Hanoi- KCN Quang Chau, Bac Ninh</v>
          </cell>
          <cell r="F39" t="str">
            <v>260116HSD-F29; 260116HSD-P09 ; 260116HSD-FOC-02</v>
          </cell>
          <cell r="G39" t="str">
            <v>5T</v>
          </cell>
          <cell r="I39" t="str">
            <v>5 pallets, 1 carton</v>
          </cell>
          <cell r="L39">
            <v>2750000</v>
          </cell>
          <cell r="M39">
            <v>610000</v>
          </cell>
          <cell r="S39" t="str">
            <v>29H 70641</v>
          </cell>
          <cell r="U39" t="str">
            <v>LG2512/5067</v>
          </cell>
        </row>
        <row r="40">
          <cell r="A40" t="str">
            <v>17/01/2026</v>
          </cell>
          <cell r="C40" t="str">
            <v>HOSIDEN</v>
          </cell>
          <cell r="D40" t="str">
            <v>KCN Thạch Thất, Hanoi- KCN Quang Chau, Bac Ninh</v>
          </cell>
          <cell r="F40" t="str">
            <v>260117HSD-F30</v>
          </cell>
          <cell r="G40" t="str">
            <v>1.25T</v>
          </cell>
          <cell r="I40" t="str">
            <v>9 cartons</v>
          </cell>
          <cell r="L40">
            <v>1200000</v>
          </cell>
          <cell r="M40">
            <v>200000</v>
          </cell>
          <cell r="S40" t="str">
            <v>29H 80353</v>
          </cell>
          <cell r="U40" t="str">
            <v>LG2512/5068</v>
          </cell>
        </row>
        <row r="41">
          <cell r="A41" t="str">
            <v>17/01/2026</v>
          </cell>
          <cell r="C41" t="str">
            <v>HOSIDEN</v>
          </cell>
          <cell r="D41" t="str">
            <v>KCN Thạch Thất, Hanoi- KCN Quang Chau, Bac Ninh</v>
          </cell>
          <cell r="F41" t="str">
            <v>260117HSD-F31</v>
          </cell>
          <cell r="G41" t="str">
            <v>1.25T</v>
          </cell>
          <cell r="I41" t="str">
            <v>4 cartons</v>
          </cell>
          <cell r="L41">
            <v>1200000</v>
          </cell>
          <cell r="M41">
            <v>200000</v>
          </cell>
          <cell r="S41" t="str">
            <v>29H 79107</v>
          </cell>
          <cell r="U41" t="str">
            <v>LG2512/5069</v>
          </cell>
        </row>
        <row r="42">
          <cell r="A42" t="str">
            <v>18/01/2026</v>
          </cell>
          <cell r="C42" t="str">
            <v>HOSIDEN</v>
          </cell>
          <cell r="D42" t="str">
            <v>KCN Thạch Thất, Hanoi- KCN Quang Chau, Bac Ninh</v>
          </cell>
          <cell r="F42" t="str">
            <v>260118HSD-F32</v>
          </cell>
          <cell r="G42" t="str">
            <v>1.25T</v>
          </cell>
          <cell r="I42" t="str">
            <v>8 cartons</v>
          </cell>
          <cell r="L42">
            <v>1200000</v>
          </cell>
          <cell r="M42">
            <v>200000</v>
          </cell>
          <cell r="S42" t="str">
            <v>29H 45344</v>
          </cell>
          <cell r="U42" t="str">
            <v>LG2512/5070</v>
          </cell>
        </row>
        <row r="43">
          <cell r="A43" t="str">
            <v>19/01/2026</v>
          </cell>
          <cell r="C43" t="str">
            <v>HOSIDEN</v>
          </cell>
          <cell r="D43" t="str">
            <v>KCN Thạch Thất, Hanoi- KCN Quang Chau, Bac Ninh</v>
          </cell>
          <cell r="F43" t="str">
            <v>260119HSD-F33</v>
          </cell>
          <cell r="G43" t="str">
            <v>1.25T</v>
          </cell>
          <cell r="I43" t="str">
            <v>1 pallet</v>
          </cell>
          <cell r="L43">
            <v>1200000</v>
          </cell>
          <cell r="M43">
            <v>200000</v>
          </cell>
          <cell r="S43" t="str">
            <v>29E 26061</v>
          </cell>
          <cell r="U43" t="str">
            <v>LG2512/5071</v>
          </cell>
        </row>
        <row r="44">
          <cell r="A44" t="str">
            <v>20/01/2026</v>
          </cell>
          <cell r="C44" t="str">
            <v>HOSIDEN</v>
          </cell>
          <cell r="D44" t="str">
            <v>KCN Thạch Thất, Hanoi- KCN Quang Chau, Bac Ninh</v>
          </cell>
          <cell r="F44" t="str">
            <v>260119HSD-P10</v>
          </cell>
          <cell r="G44" t="str">
            <v>1.25T</v>
          </cell>
          <cell r="I44" t="str">
            <v>4 cartons</v>
          </cell>
          <cell r="L44">
            <v>1200000</v>
          </cell>
          <cell r="M44">
            <v>200000</v>
          </cell>
          <cell r="N44">
            <v>300000</v>
          </cell>
          <cell r="S44" t="str">
            <v>29H 80353</v>
          </cell>
          <cell r="T44" t="str">
            <v xml:space="preserve">  Chờ lấy hàng từ 0h đến 4h</v>
          </cell>
          <cell r="U44" t="str">
            <v>LG2512/5072</v>
          </cell>
        </row>
        <row r="45">
          <cell r="A45" t="str">
            <v>20/01/2026</v>
          </cell>
          <cell r="C45" t="str">
            <v>HOSIDEN</v>
          </cell>
          <cell r="D45" t="str">
            <v>KCN Thạch Thất, Hanoi- KCN Quang Chau, Bac Ninh</v>
          </cell>
          <cell r="F45" t="str">
            <v>260119HSD-P11</v>
          </cell>
          <cell r="G45" t="str">
            <v>1.25T</v>
          </cell>
          <cell r="I45" t="str">
            <v>4 cartons</v>
          </cell>
          <cell r="L45">
            <v>1200000</v>
          </cell>
          <cell r="M45">
            <v>200000</v>
          </cell>
          <cell r="N45">
            <v>300000</v>
          </cell>
          <cell r="S45" t="str">
            <v>29H 70663</v>
          </cell>
          <cell r="T45" t="str">
            <v xml:space="preserve"> chờ lấy hàng từ 6h - 10h</v>
          </cell>
          <cell r="U45" t="str">
            <v>LG2512/5073</v>
          </cell>
        </row>
        <row r="46">
          <cell r="A46" t="str">
            <v>20/01/2026</v>
          </cell>
          <cell r="C46" t="str">
            <v>HOSIDEN</v>
          </cell>
          <cell r="D46" t="str">
            <v>KCN Thạch Thất, Hanoi- KCN Quang Chau, Bac Ninh</v>
          </cell>
          <cell r="F46" t="str">
            <v>260120HSD-P12</v>
          </cell>
          <cell r="G46" t="str">
            <v>3.5T</v>
          </cell>
          <cell r="I46" t="str">
            <v>4 pallets</v>
          </cell>
          <cell r="L46">
            <v>1900000</v>
          </cell>
          <cell r="M46">
            <v>400000</v>
          </cell>
          <cell r="S46" t="str">
            <v>29H 88330</v>
          </cell>
          <cell r="U46" t="str">
            <v>LG2512/5074</v>
          </cell>
        </row>
        <row r="47">
          <cell r="A47" t="str">
            <v>20/01/2026</v>
          </cell>
          <cell r="C47" t="str">
            <v>HOSIDEN</v>
          </cell>
          <cell r="D47" t="str">
            <v>KCN Thạch Thất, Hanoi- KCN Quang Chau, Bac Ninh</v>
          </cell>
          <cell r="F47" t="str">
            <v>260120HSD-P13</v>
          </cell>
          <cell r="G47" t="str">
            <v>1.25T</v>
          </cell>
          <cell r="I47" t="str">
            <v>6 cartons</v>
          </cell>
          <cell r="L47">
            <v>1200000</v>
          </cell>
          <cell r="M47">
            <v>200000</v>
          </cell>
          <cell r="S47" t="str">
            <v>29H 80353</v>
          </cell>
          <cell r="U47" t="str">
            <v>LG2512/5075</v>
          </cell>
        </row>
        <row r="48">
          <cell r="A48" t="str">
            <v>21/01/2026</v>
          </cell>
          <cell r="C48" t="str">
            <v>HOSIDEN</v>
          </cell>
          <cell r="D48" t="str">
            <v>KCN Thạch Thất, Hanoi- KCN Quang Chau, Bac Ninh</v>
          </cell>
          <cell r="F48" t="str">
            <v>260121HSD-P14</v>
          </cell>
          <cell r="G48" t="str">
            <v>1.25T</v>
          </cell>
          <cell r="I48" t="str">
            <v>1 pallet</v>
          </cell>
          <cell r="L48">
            <v>1200000</v>
          </cell>
          <cell r="M48">
            <v>200000</v>
          </cell>
          <cell r="S48" t="str">
            <v>29H 76819</v>
          </cell>
          <cell r="U48" t="str">
            <v>LG2512/5076</v>
          </cell>
        </row>
        <row r="49">
          <cell r="A49" t="str">
            <v>22/01/2026</v>
          </cell>
          <cell r="C49" t="str">
            <v>HOSIDEN</v>
          </cell>
          <cell r="D49" t="str">
            <v>KCN Thạch Thất, Hanoi- KCN Quang Chau, Bac Ninh</v>
          </cell>
          <cell r="F49" t="str">
            <v>260121HSD-P15</v>
          </cell>
          <cell r="G49" t="str">
            <v>1.25T</v>
          </cell>
          <cell r="I49" t="str">
            <v>8 cartons</v>
          </cell>
          <cell r="L49">
            <v>1200000</v>
          </cell>
          <cell r="M49">
            <v>200000</v>
          </cell>
          <cell r="S49" t="str">
            <v>29F 05985</v>
          </cell>
          <cell r="U49" t="str">
            <v>LG2512/5077</v>
          </cell>
        </row>
        <row r="50">
          <cell r="A50" t="str">
            <v>22/01/2026</v>
          </cell>
          <cell r="C50" t="str">
            <v>HOSIDEN</v>
          </cell>
          <cell r="D50" t="str">
            <v>KCN Thạch Thất, Hanoi- KCN Quang Chau, Bac Ninh</v>
          </cell>
          <cell r="F50" t="str">
            <v>260121HSD-P16; 260121HSD-F34</v>
          </cell>
          <cell r="G50" t="str">
            <v>1.25T</v>
          </cell>
          <cell r="I50" t="str">
            <v>8 cartons; 6 cartons</v>
          </cell>
          <cell r="L50">
            <v>1200000</v>
          </cell>
          <cell r="M50">
            <v>200000</v>
          </cell>
          <cell r="N50">
            <v>150000</v>
          </cell>
          <cell r="S50" t="str">
            <v>29H 92126</v>
          </cell>
          <cell r="T50" t="str">
            <v>chờ lấy hàng từ 6h đến 8h30</v>
          </cell>
          <cell r="U50" t="str">
            <v>LG2512/5078</v>
          </cell>
        </row>
        <row r="51">
          <cell r="A51" t="str">
            <v>22/01/2026</v>
          </cell>
          <cell r="C51" t="str">
            <v>HOSIDEN</v>
          </cell>
          <cell r="D51" t="str">
            <v>KCN Thạch Thất, Hanoi- KCN Quang Chau, Bac Ninh</v>
          </cell>
          <cell r="F51" t="str">
            <v>260122HSD-P17; 260122HSD-F35</v>
          </cell>
          <cell r="G51" t="str">
            <v>1.25T</v>
          </cell>
          <cell r="I51" t="str">
            <v>4 cartons; 4 cartons</v>
          </cell>
          <cell r="L51">
            <v>1200000</v>
          </cell>
          <cell r="M51">
            <v>200000</v>
          </cell>
          <cell r="N51">
            <v>400000</v>
          </cell>
          <cell r="S51" t="str">
            <v>29H 79107</v>
          </cell>
          <cell r="U51" t="str">
            <v>LG2512/5079</v>
          </cell>
        </row>
        <row r="52">
          <cell r="A52" t="str">
            <v>23/01/2026</v>
          </cell>
          <cell r="C52" t="str">
            <v>HOSIDEN</v>
          </cell>
          <cell r="D52" t="str">
            <v>KCN Thạch Thất, Hanoi- KCN Quang Chau, Bac Ninh</v>
          </cell>
          <cell r="F52" t="str">
            <v>260122HSD-P18</v>
          </cell>
          <cell r="G52" t="str">
            <v>1.25T</v>
          </cell>
          <cell r="I52" t="str">
            <v>4 cartons</v>
          </cell>
          <cell r="L52">
            <v>840000</v>
          </cell>
          <cell r="N52">
            <v>100000</v>
          </cell>
          <cell r="S52" t="str">
            <v>29E 26078</v>
          </cell>
          <cell r="T52" t="str">
            <v xml:space="preserve">chờ lấy hàng từ 6h đến 8h , hủy xe </v>
          </cell>
          <cell r="U52" t="str">
            <v>LG2512/5080</v>
          </cell>
        </row>
        <row r="53">
          <cell r="A53" t="str">
            <v>23/01/2026</v>
          </cell>
          <cell r="C53" t="str">
            <v>HOSIDEN</v>
          </cell>
          <cell r="D53" t="str">
            <v>KCN Thạch Thất, Hanoi- KCN Quang Chau, Bac Ninh</v>
          </cell>
          <cell r="F53" t="str">
            <v>260122HSD-P18</v>
          </cell>
          <cell r="G53" t="str">
            <v>1.25T</v>
          </cell>
          <cell r="I53" t="str">
            <v>4 cartons</v>
          </cell>
          <cell r="L53">
            <v>1200000</v>
          </cell>
          <cell r="M53">
            <v>200000</v>
          </cell>
          <cell r="S53" t="str">
            <v>29H 80353</v>
          </cell>
          <cell r="U53" t="str">
            <v>LG2512/5081</v>
          </cell>
        </row>
        <row r="54">
          <cell r="A54" t="str">
            <v>23/01/2026</v>
          </cell>
          <cell r="C54" t="str">
            <v>HOSIDEN</v>
          </cell>
          <cell r="D54" t="str">
            <v>KCN Thạch Thất, Hanoi- KCN Quang Chau, Bac Ninh</v>
          </cell>
          <cell r="F54" t="str">
            <v>260123HSD-P19; 260123HSD-F36</v>
          </cell>
          <cell r="G54" t="str">
            <v>2.5T</v>
          </cell>
          <cell r="I54" t="str">
            <v>3 pallet</v>
          </cell>
          <cell r="L54">
            <v>1800000</v>
          </cell>
          <cell r="M54">
            <v>300000</v>
          </cell>
          <cell r="S54" t="str">
            <v>29H 81154</v>
          </cell>
          <cell r="U54" t="str">
            <v>LG2512/5082</v>
          </cell>
        </row>
        <row r="55">
          <cell r="A55" t="str">
            <v>25/01/2026</v>
          </cell>
          <cell r="C55" t="str">
            <v>HOSIDEN</v>
          </cell>
          <cell r="D55" t="str">
            <v>KCN Thạch Thất, Hanoi- KCN Quang Chau, Bac Ninh</v>
          </cell>
          <cell r="F55" t="str">
            <v>260124HSD-F37</v>
          </cell>
          <cell r="G55" t="str">
            <v>1.25T</v>
          </cell>
          <cell r="I55" t="str">
            <v>3 cartons</v>
          </cell>
          <cell r="L55">
            <v>840000</v>
          </cell>
          <cell r="N55">
            <v>650000</v>
          </cell>
          <cell r="S55" t="str">
            <v>29E 26078</v>
          </cell>
          <cell r="T55" t="str">
            <v>chờ đóng hàng từ 23h đến 6h20+hủy xe</v>
          </cell>
          <cell r="U55" t="str">
            <v>LG2512/5083</v>
          </cell>
        </row>
        <row r="56">
          <cell r="A56" t="str">
            <v>25/01/2026</v>
          </cell>
          <cell r="C56" t="str">
            <v>HOSIDEN</v>
          </cell>
          <cell r="D56" t="str">
            <v>KCN Thạch Thất, Hanoi- KCN Quang Chau, Bac Ninh</v>
          </cell>
          <cell r="F56" t="str">
            <v>260124HSD-F37</v>
          </cell>
          <cell r="G56" t="str">
            <v>1.25T</v>
          </cell>
          <cell r="I56" t="str">
            <v>3 cartons</v>
          </cell>
          <cell r="L56">
            <v>1200000</v>
          </cell>
          <cell r="M56">
            <v>200000</v>
          </cell>
          <cell r="S56" t="str">
            <v>29H 80353</v>
          </cell>
          <cell r="U56" t="str">
            <v>LG2512/5084</v>
          </cell>
        </row>
      </sheetData>
      <sheetData sheetId="2">
        <row r="14">
          <cell r="A14">
            <v>46143</v>
          </cell>
          <cell r="C14" t="str">
            <v>DOOSUNG HB</v>
          </cell>
          <cell r="D14" t="str">
            <v>KCN Thạch Thất, Hanoi- KCN Lương Sơn, Phú Thọ</v>
          </cell>
          <cell r="F14" t="str">
            <v>260105DST-F03
260105DST-P01</v>
          </cell>
          <cell r="G14" t="str">
            <v>1.25T</v>
          </cell>
          <cell r="I14" t="str">
            <v>2 PALLET</v>
          </cell>
          <cell r="L14">
            <v>870000</v>
          </cell>
          <cell r="M14">
            <v>200000</v>
          </cell>
          <cell r="N14">
            <v>609000</v>
          </cell>
          <cell r="S14" t="str">
            <v>29H 76819</v>
          </cell>
          <cell r="T14" t="str">
            <v>2 chiều</v>
          </cell>
          <cell r="U14" t="str">
            <v>LG2512/5167</v>
          </cell>
        </row>
        <row r="15">
          <cell r="A15">
            <v>46174</v>
          </cell>
          <cell r="C15" t="str">
            <v>DOOSUNG HB</v>
          </cell>
          <cell r="D15" t="str">
            <v>KCN Thạch Thất, Hanoi- KCN Lương Sơn, Phú Thọ</v>
          </cell>
          <cell r="F15" t="str">
            <v>260105DST-F04</v>
          </cell>
          <cell r="G15" t="str">
            <v>1.25T</v>
          </cell>
          <cell r="I15" t="str">
            <v>1 PALLET</v>
          </cell>
          <cell r="L15">
            <v>870000</v>
          </cell>
          <cell r="M15">
            <v>200000</v>
          </cell>
          <cell r="N15">
            <v>300000</v>
          </cell>
          <cell r="S15" t="str">
            <v>29H 76819</v>
          </cell>
          <cell r="T15" t="str">
            <v xml:space="preserve"> đợi lấy hàng từ 1h tới 5h20</v>
          </cell>
          <cell r="U15" t="str">
            <v>LG2512/5168</v>
          </cell>
        </row>
        <row r="16">
          <cell r="A16">
            <v>46174</v>
          </cell>
          <cell r="C16" t="str">
            <v>DOOSUNG HB</v>
          </cell>
          <cell r="D16" t="str">
            <v>KCN Thạch Thất, Hanoi- KCN Lương Sơn, Phú Thọ</v>
          </cell>
          <cell r="F16" t="str">
            <v>260106DST-F05
260106DST-F06</v>
          </cell>
          <cell r="G16" t="str">
            <v>1.25T</v>
          </cell>
          <cell r="I16" t="str">
            <v>1 PALLET</v>
          </cell>
          <cell r="L16">
            <v>870000</v>
          </cell>
          <cell r="M16">
            <v>200000</v>
          </cell>
          <cell r="N16">
            <v>150000</v>
          </cell>
          <cell r="S16" t="str">
            <v>29H 37799</v>
          </cell>
          <cell r="T16" t="str">
            <v xml:space="preserve"> Chờ lấy hàng 20h30-&gt;23h00</v>
          </cell>
          <cell r="U16" t="str">
            <v>LG2512/5169</v>
          </cell>
        </row>
        <row r="17">
          <cell r="A17">
            <v>46204</v>
          </cell>
          <cell r="C17" t="str">
            <v>DOOSUNG HB</v>
          </cell>
          <cell r="D17" t="str">
            <v>KCN Thạch Thất, Hanoi- KCN Lương Sơn, Phú Thọ</v>
          </cell>
          <cell r="F17" t="str">
            <v>260106DST-F07</v>
          </cell>
          <cell r="G17" t="str">
            <v>1.25T</v>
          </cell>
          <cell r="I17" t="str">
            <v>1 PALLET</v>
          </cell>
          <cell r="L17">
            <v>609000</v>
          </cell>
          <cell r="S17" t="str">
            <v>29H 79107</v>
          </cell>
          <cell r="T17" t="str">
            <v>hủy chuyến</v>
          </cell>
          <cell r="U17" t="str">
            <v>LG2512/5170</v>
          </cell>
        </row>
        <row r="18">
          <cell r="A18">
            <v>46204</v>
          </cell>
          <cell r="C18" t="str">
            <v>DOOSUNG HB</v>
          </cell>
          <cell r="D18" t="str">
            <v>KCN Thạch Thất, Hanoi- KCN Lương Sơn, Phú Thọ</v>
          </cell>
          <cell r="F18" t="str">
            <v>260107DST-F07
260106DST-P03</v>
          </cell>
          <cell r="G18" t="str">
            <v>1.25T</v>
          </cell>
          <cell r="I18" t="str">
            <v>2 PALLET</v>
          </cell>
          <cell r="L18">
            <v>870000</v>
          </cell>
          <cell r="M18">
            <v>200000</v>
          </cell>
          <cell r="N18">
            <v>100000</v>
          </cell>
          <cell r="S18" t="str">
            <v>29E 26078</v>
          </cell>
          <cell r="T18" t="str">
            <v>chờ giờ lấy hàng từ  19h đến 21h</v>
          </cell>
          <cell r="U18" t="str">
            <v>LG2512/5171</v>
          </cell>
        </row>
        <row r="19">
          <cell r="A19">
            <v>46235</v>
          </cell>
          <cell r="C19" t="str">
            <v>DOOSUNG HB</v>
          </cell>
          <cell r="D19" t="str">
            <v>KCN Thạch Thất, Hanoi- KCN Lương Sơn, Phú Thọ</v>
          </cell>
          <cell r="F19" t="str">
            <v>260107DST-F09</v>
          </cell>
          <cell r="G19" t="str">
            <v>1.25T</v>
          </cell>
          <cell r="I19" t="str">
            <v>1 PALLET</v>
          </cell>
          <cell r="L19">
            <v>870000</v>
          </cell>
          <cell r="M19">
            <v>200000</v>
          </cell>
          <cell r="S19" t="str">
            <v>29H 76517.</v>
          </cell>
          <cell r="U19" t="str">
            <v>LG2512/5172</v>
          </cell>
        </row>
        <row r="20">
          <cell r="A20">
            <v>46235</v>
          </cell>
          <cell r="C20" t="str">
            <v>DOOSUNG HB</v>
          </cell>
          <cell r="D20" t="str">
            <v>KCN Thạch Thất, Hanoi- KCN Lương Sơn, Phú Thọ</v>
          </cell>
          <cell r="F20" t="str">
            <v>260108DSV-F-04</v>
          </cell>
          <cell r="G20" t="str">
            <v>1.25T</v>
          </cell>
          <cell r="I20" t="str">
            <v>7 box</v>
          </cell>
          <cell r="L20">
            <v>609000</v>
          </cell>
          <cell r="S20" t="str">
            <v>29H 76514</v>
          </cell>
          <cell r="T20" t="str">
            <v>hủy chuyến</v>
          </cell>
          <cell r="U20" t="str">
            <v>LG2512/5173</v>
          </cell>
        </row>
        <row r="21">
          <cell r="A21">
            <v>46235</v>
          </cell>
          <cell r="C21" t="str">
            <v>DOOSUNG HB</v>
          </cell>
          <cell r="D21" t="str">
            <v>KCN Thạch Thất, Hanoi- KCN Lương Sơn, Phú Thọ</v>
          </cell>
          <cell r="F21" t="str">
            <v>260108DST-F11</v>
          </cell>
          <cell r="G21" t="str">
            <v>1.25T</v>
          </cell>
          <cell r="I21" t="str">
            <v>1 PALLET</v>
          </cell>
          <cell r="L21">
            <v>870000</v>
          </cell>
          <cell r="M21">
            <v>200000</v>
          </cell>
          <cell r="S21" t="str">
            <v>29H 80353</v>
          </cell>
          <cell r="U21" t="str">
            <v>LG2512/5174</v>
          </cell>
        </row>
        <row r="22">
          <cell r="A22">
            <v>46235</v>
          </cell>
          <cell r="C22" t="str">
            <v>DOOSUNG HB</v>
          </cell>
          <cell r="D22" t="str">
            <v>KCN Thạch Thất, Hanoi- KCN Lương Sơn, Phú Thọ</v>
          </cell>
          <cell r="F22" t="str">
            <v>260108DST-F12</v>
          </cell>
          <cell r="G22" t="str">
            <v>1.25T</v>
          </cell>
          <cell r="I22" t="str">
            <v>1 PALLET</v>
          </cell>
          <cell r="L22">
            <v>870000</v>
          </cell>
          <cell r="M22">
            <v>200000</v>
          </cell>
          <cell r="N22">
            <v>200000</v>
          </cell>
          <cell r="S22" t="str">
            <v>29H 80353</v>
          </cell>
          <cell r="T22" t="str">
            <v>Chờ lấy hàng từ 23h đến 2h</v>
          </cell>
          <cell r="U22" t="str">
            <v>LG2512/5175</v>
          </cell>
        </row>
        <row r="23">
          <cell r="A23">
            <v>46266</v>
          </cell>
          <cell r="C23" t="str">
            <v>DOOSUNG HB</v>
          </cell>
          <cell r="D23" t="str">
            <v>KCN Thạch Thất, Hanoi- KCN Lương Sơn, Phú Thọ</v>
          </cell>
          <cell r="F23" t="str">
            <v>260108DSV-F-04</v>
          </cell>
          <cell r="G23" t="str">
            <v>1.25T</v>
          </cell>
          <cell r="I23" t="str">
            <v>7 box</v>
          </cell>
          <cell r="L23">
            <v>870000</v>
          </cell>
          <cell r="M23">
            <v>200000</v>
          </cell>
          <cell r="N23">
            <v>200000</v>
          </cell>
          <cell r="S23" t="str">
            <v>29H 70769</v>
          </cell>
          <cell r="T23" t="str">
            <v>ps kiểm hóa Hòa Lạc</v>
          </cell>
          <cell r="U23" t="str">
            <v>LG2512/5176</v>
          </cell>
        </row>
        <row r="24">
          <cell r="A24">
            <v>46266</v>
          </cell>
          <cell r="C24" t="str">
            <v>DOOSUNG HB</v>
          </cell>
          <cell r="D24" t="str">
            <v>KCN Thạch Thất, Hanoi- KCN Lương Sơn, Phú Thọ</v>
          </cell>
          <cell r="F24" t="str">
            <v>260109DS-samplePCB-01</v>
          </cell>
          <cell r="G24" t="str">
            <v>1.25T</v>
          </cell>
          <cell r="I24" t="str">
            <v>2 box</v>
          </cell>
          <cell r="L24">
            <v>870000</v>
          </cell>
          <cell r="M24">
            <v>200000</v>
          </cell>
          <cell r="S24" t="str">
            <v>29H 92126</v>
          </cell>
          <cell r="U24" t="str">
            <v>LG2512/5177</v>
          </cell>
        </row>
        <row r="25">
          <cell r="A25">
            <v>46266</v>
          </cell>
          <cell r="C25" t="str">
            <v>DOOSUNG HB</v>
          </cell>
          <cell r="D25" t="str">
            <v>KCN Thạch Thất, Hanoi- KCN Lương Sơn, Phú Thọ</v>
          </cell>
          <cell r="F25" t="str">
            <v>260109DST-F13</v>
          </cell>
          <cell r="G25" t="str">
            <v>1.25T</v>
          </cell>
          <cell r="I25" t="str">
            <v>1 PALLET</v>
          </cell>
          <cell r="L25">
            <v>870000</v>
          </cell>
          <cell r="M25">
            <v>200000</v>
          </cell>
          <cell r="S25" t="str">
            <v>29H 70769</v>
          </cell>
          <cell r="U25" t="str">
            <v>LG2512/5178</v>
          </cell>
        </row>
        <row r="26">
          <cell r="A26">
            <v>46266</v>
          </cell>
          <cell r="C26" t="str">
            <v>DOOSUNG HB</v>
          </cell>
          <cell r="D26" t="str">
            <v>KCN Thạch Thất, Hanoi- KCN Lương Sơn, Phú Thọ</v>
          </cell>
          <cell r="F26" t="str">
            <v>260109DST-F14</v>
          </cell>
          <cell r="G26" t="str">
            <v>1.25T</v>
          </cell>
          <cell r="I26" t="str">
            <v>1 PALLET</v>
          </cell>
          <cell r="L26">
            <v>870000</v>
          </cell>
          <cell r="M26">
            <v>200000</v>
          </cell>
          <cell r="S26" t="str">
            <v>29E 26078</v>
          </cell>
          <cell r="U26" t="str">
            <v>LG2512/5179</v>
          </cell>
        </row>
        <row r="27">
          <cell r="A27">
            <v>46296</v>
          </cell>
          <cell r="C27" t="str">
            <v>DOOSUNG HB</v>
          </cell>
          <cell r="D27" t="str">
            <v>KCN Thạch Thất, Hanoi- KCN Lương Sơn, Phú Thọ</v>
          </cell>
          <cell r="F27" t="str">
            <v>250110DST-F15</v>
          </cell>
          <cell r="G27" t="str">
            <v>1.25T</v>
          </cell>
          <cell r="I27" t="str">
            <v>1 PALLET</v>
          </cell>
          <cell r="L27">
            <v>870000</v>
          </cell>
          <cell r="M27">
            <v>200000</v>
          </cell>
          <cell r="S27" t="str">
            <v>29E 26078</v>
          </cell>
          <cell r="U27" t="str">
            <v>LG2512/5180</v>
          </cell>
        </row>
        <row r="28">
          <cell r="A28">
            <v>46357</v>
          </cell>
          <cell r="C28" t="str">
            <v>DOOSUNG HB</v>
          </cell>
          <cell r="D28" t="str">
            <v>KCN Thạch Thất, Hanoi- KCN Lương Sơn, Phú Thọ</v>
          </cell>
          <cell r="F28" t="str">
            <v>260112DST-F17
260112DST-F18
260112DST-P05</v>
          </cell>
          <cell r="G28" t="str">
            <v>1.25T</v>
          </cell>
          <cell r="I28" t="str">
            <v>2 PALLET</v>
          </cell>
          <cell r="L28">
            <v>870000</v>
          </cell>
          <cell r="M28">
            <v>200000</v>
          </cell>
          <cell r="S28" t="str">
            <v>29H 92126</v>
          </cell>
          <cell r="U28" t="str">
            <v>LG2512/5181</v>
          </cell>
        </row>
        <row r="29">
          <cell r="A29" t="str">
            <v>13/01/2026</v>
          </cell>
          <cell r="C29" t="str">
            <v>DOOSUNG HB</v>
          </cell>
          <cell r="D29" t="str">
            <v>KCN Thạch Thất, Hanoi- KCN Lương Sơn, Phú Thọ</v>
          </cell>
          <cell r="F29" t="str">
            <v>260112DST-F19</v>
          </cell>
          <cell r="G29" t="str">
            <v>1.25T</v>
          </cell>
          <cell r="I29" t="str">
            <v>1 PALLET</v>
          </cell>
          <cell r="L29">
            <v>870000</v>
          </cell>
          <cell r="M29">
            <v>200000</v>
          </cell>
          <cell r="S29" t="str">
            <v>29H 92126</v>
          </cell>
          <cell r="U29" t="str">
            <v>LG2512/5182</v>
          </cell>
        </row>
        <row r="30">
          <cell r="A30" t="str">
            <v>13/01/2026</v>
          </cell>
          <cell r="C30" t="str">
            <v>DOOSUNG HB</v>
          </cell>
          <cell r="D30" t="str">
            <v>KCN Thạch Thất, Hanoi- KCN Lương Sơn, Phú Thọ</v>
          </cell>
          <cell r="F30" t="str">
            <v>260113DST-F20
260113DST-P06</v>
          </cell>
          <cell r="G30" t="str">
            <v>1.25T</v>
          </cell>
          <cell r="I30" t="str">
            <v>1 PALLET</v>
          </cell>
          <cell r="L30">
            <v>870000</v>
          </cell>
          <cell r="M30">
            <v>200000</v>
          </cell>
          <cell r="S30" t="str">
            <v>29H 37799</v>
          </cell>
          <cell r="U30" t="str">
            <v>LG2512/5183</v>
          </cell>
        </row>
        <row r="31">
          <cell r="A31" t="str">
            <v>14/01/2026</v>
          </cell>
          <cell r="C31" t="str">
            <v>DOOSUNG HB</v>
          </cell>
          <cell r="D31" t="str">
            <v>KCN Thạch Thất, Hanoi- KCN Lương Sơn, Phú Thọ</v>
          </cell>
          <cell r="F31" t="str">
            <v>260114DST-F22
260114DST-P07</v>
          </cell>
          <cell r="G31" t="str">
            <v>1.25T</v>
          </cell>
          <cell r="I31" t="str">
            <v>1 PALLET</v>
          </cell>
          <cell r="L31">
            <v>870000</v>
          </cell>
          <cell r="M31">
            <v>200000</v>
          </cell>
          <cell r="S31" t="str">
            <v>29H 92126</v>
          </cell>
          <cell r="U31" t="str">
            <v>LG2512/5184</v>
          </cell>
        </row>
        <row r="32">
          <cell r="A32" t="str">
            <v>15/01/2026</v>
          </cell>
          <cell r="C32" t="str">
            <v>DOOSUNG HB</v>
          </cell>
          <cell r="D32" t="str">
            <v>KCN Thạch Thất, Hanoi- KCN Lương Sơn, Phú Thọ</v>
          </cell>
          <cell r="F32" t="str">
            <v>260115DST-F24</v>
          </cell>
          <cell r="G32" t="str">
            <v>1.25T</v>
          </cell>
          <cell r="I32" t="str">
            <v>1 PALLET</v>
          </cell>
          <cell r="L32">
            <v>870000</v>
          </cell>
          <cell r="M32">
            <v>200000</v>
          </cell>
          <cell r="S32" t="str">
            <v>29H 80353</v>
          </cell>
          <cell r="U32" t="str">
            <v>LG2512/5185</v>
          </cell>
        </row>
        <row r="33">
          <cell r="A33" t="str">
            <v>15/01/2026</v>
          </cell>
          <cell r="C33" t="str">
            <v>DOOSUNG HB</v>
          </cell>
          <cell r="D33" t="str">
            <v>KCN Thạch Thất, Hanoi- KCN Lương Sơn, Phú Thọ</v>
          </cell>
          <cell r="F33" t="str">
            <v>260115DSV-F-07</v>
          </cell>
          <cell r="G33" t="str">
            <v>1.25T</v>
          </cell>
          <cell r="I33" t="str">
            <v>7 box</v>
          </cell>
          <cell r="L33">
            <v>870000</v>
          </cell>
          <cell r="M33">
            <v>200000</v>
          </cell>
          <cell r="S33" t="str">
            <v>29H 92126</v>
          </cell>
          <cell r="U33" t="str">
            <v>LG2512/5186</v>
          </cell>
        </row>
        <row r="34">
          <cell r="A34" t="str">
            <v>16/01/2026</v>
          </cell>
          <cell r="C34" t="str">
            <v>DOOSUNG HB</v>
          </cell>
          <cell r="D34" t="str">
            <v>KCN Thạch Thất, Hanoi- KCN Lương Sơn, Phú Thọ</v>
          </cell>
          <cell r="F34" t="str">
            <v>260116DST-F26</v>
          </cell>
          <cell r="G34" t="str">
            <v>1.25T</v>
          </cell>
          <cell r="I34" t="str">
            <v>1 PALLET</v>
          </cell>
          <cell r="L34">
            <v>870000</v>
          </cell>
          <cell r="M34">
            <v>200000</v>
          </cell>
          <cell r="S34" t="str">
            <v>29H 88337</v>
          </cell>
          <cell r="U34" t="str">
            <v>LG2512/5187</v>
          </cell>
        </row>
        <row r="35">
          <cell r="A35" t="str">
            <v>17/01/2026</v>
          </cell>
          <cell r="C35" t="str">
            <v>DOOSUNG HB</v>
          </cell>
          <cell r="D35" t="str">
            <v>KCN Thạch Thất, Hanoi- KCN Lương Sơn, Phú Thọ</v>
          </cell>
          <cell r="F35" t="str">
            <v>260117DST-F28</v>
          </cell>
          <cell r="G35" t="str">
            <v>1.25T</v>
          </cell>
          <cell r="I35" t="str">
            <v>1 pallet</v>
          </cell>
          <cell r="L35">
            <v>870000</v>
          </cell>
          <cell r="M35">
            <v>200000</v>
          </cell>
          <cell r="N35">
            <v>200000</v>
          </cell>
          <cell r="S35" t="str">
            <v>29H 80353</v>
          </cell>
          <cell r="T35" t="str">
            <v>chờ lấy hàng từ 20h30 đến 23h50</v>
          </cell>
          <cell r="U35" t="str">
            <v>LG2512/5188</v>
          </cell>
        </row>
        <row r="36">
          <cell r="A36" t="str">
            <v>19/01/2026</v>
          </cell>
          <cell r="C36" t="str">
            <v>DOOSUNG HB</v>
          </cell>
          <cell r="D36" t="str">
            <v>KCN Thạch Thất, Hanoi- KCN Lương Sơn, Phú Thọ</v>
          </cell>
          <cell r="F36" t="str">
            <v>260119DST-P08
260119DST-F31
260119DST-F32</v>
          </cell>
          <cell r="G36" t="str">
            <v>1.25T</v>
          </cell>
          <cell r="I36" t="str">
            <v>1 pallet</v>
          </cell>
          <cell r="L36">
            <v>870000</v>
          </cell>
          <cell r="M36">
            <v>200000</v>
          </cell>
          <cell r="S36" t="str">
            <v>29H 80353</v>
          </cell>
          <cell r="U36" t="str">
            <v>LG2512/5189</v>
          </cell>
        </row>
        <row r="37">
          <cell r="A37" t="str">
            <v>20/01/2026</v>
          </cell>
          <cell r="C37" t="str">
            <v>DOOSUNG HB</v>
          </cell>
          <cell r="D37" t="str">
            <v>KCN Thạch Thất, Hanoi- KCN Lương Sơn, Phú Thọ</v>
          </cell>
          <cell r="F37" t="str">
            <v>260120DST-F34</v>
          </cell>
          <cell r="G37" t="str">
            <v>1.25T</v>
          </cell>
          <cell r="I37" t="str">
            <v>1 pallet</v>
          </cell>
          <cell r="L37">
            <v>870000</v>
          </cell>
          <cell r="M37">
            <v>200000</v>
          </cell>
          <cell r="S37" t="str">
            <v>29H 80353</v>
          </cell>
          <cell r="U37" t="str">
            <v>LG2512/5190</v>
          </cell>
        </row>
        <row r="38">
          <cell r="A38" t="str">
            <v>21/01/2026</v>
          </cell>
          <cell r="C38" t="str">
            <v>DOOSUNG HB</v>
          </cell>
          <cell r="D38" t="str">
            <v>KCN Thạch Thất, Hanoi- KCN Lương Sơn, Phú Thọ</v>
          </cell>
          <cell r="F38" t="str">
            <v>260121DST-F35</v>
          </cell>
          <cell r="G38" t="str">
            <v>1.25T</v>
          </cell>
          <cell r="I38" t="str">
            <v>1 pallet</v>
          </cell>
          <cell r="L38">
            <v>870000</v>
          </cell>
          <cell r="M38">
            <v>200000</v>
          </cell>
          <cell r="S38" t="str">
            <v>29H 80353</v>
          </cell>
          <cell r="U38" t="str">
            <v>LG2512/5191</v>
          </cell>
        </row>
        <row r="39">
          <cell r="A39" t="str">
            <v>22/01/2026</v>
          </cell>
          <cell r="C39" t="str">
            <v>DOOSUNG HB</v>
          </cell>
          <cell r="D39" t="str">
            <v>KCN Thạch Thất, Hanoi- KCN Lương Sơn, Phú Thọ</v>
          </cell>
          <cell r="F39" t="str">
            <v>260122DST-F37
260122DST-F39
260122DST-P10</v>
          </cell>
          <cell r="G39" t="str">
            <v>1.25T</v>
          </cell>
          <cell r="I39" t="str">
            <v>2 pallet</v>
          </cell>
          <cell r="L39">
            <v>870000</v>
          </cell>
          <cell r="M39">
            <v>200000</v>
          </cell>
          <cell r="S39" t="str">
            <v>29E 26072</v>
          </cell>
          <cell r="U39" t="str">
            <v>LG2512/5192</v>
          </cell>
        </row>
        <row r="40">
          <cell r="A40" t="str">
            <v>23/01/2026</v>
          </cell>
          <cell r="C40" t="str">
            <v>DOOSUNG HB</v>
          </cell>
          <cell r="D40" t="str">
            <v>KCN Thạch Thất, Hanoi- KCN Lương Sơn, Phú Thọ</v>
          </cell>
          <cell r="F40" t="str">
            <v>260123DST-F40</v>
          </cell>
          <cell r="G40" t="str">
            <v>1.25T</v>
          </cell>
          <cell r="I40" t="str">
            <v>1 pallet</v>
          </cell>
          <cell r="L40">
            <v>870000</v>
          </cell>
          <cell r="M40">
            <v>200000</v>
          </cell>
          <cell r="N40">
            <v>350000</v>
          </cell>
          <cell r="S40" t="str">
            <v>29H 80353</v>
          </cell>
          <cell r="T40" t="str">
            <v>Chờ lấy hàng từ 21h30 đến 2h</v>
          </cell>
          <cell r="U40" t="str">
            <v>LG2512/5193</v>
          </cell>
        </row>
        <row r="41">
          <cell r="A41" t="str">
            <v>24/01/2026</v>
          </cell>
          <cell r="C41" t="str">
            <v>DOOSUNG HB</v>
          </cell>
          <cell r="D41" t="str">
            <v>KCN Thạch Thất, Hanoi- KCN Lương Sơn, Phú Thọ</v>
          </cell>
          <cell r="F41" t="str">
            <v>260124DST-F43</v>
          </cell>
          <cell r="G41" t="str">
            <v>1.25T</v>
          </cell>
          <cell r="I41" t="str">
            <v>3 thùng</v>
          </cell>
          <cell r="L41">
            <v>870000</v>
          </cell>
          <cell r="M41">
            <v>200000</v>
          </cell>
          <cell r="N41">
            <v>100000</v>
          </cell>
          <cell r="S41" t="str">
            <v>29H 40829</v>
          </cell>
          <cell r="T41" t="str">
            <v>Chờ lấy hàng từ 20h30-22h30</v>
          </cell>
          <cell r="U41" t="str">
            <v>LG2512/5194</v>
          </cell>
        </row>
        <row r="42">
          <cell r="A42" t="str">
            <v>25/01/2026</v>
          </cell>
          <cell r="C42" t="str">
            <v>DOOSUNG HB</v>
          </cell>
          <cell r="D42" t="str">
            <v>KCN Thạch Thất, Hanoi- KCN Lương Sơn, Phú Thọ</v>
          </cell>
          <cell r="F42" t="str">
            <v>260124DST-F45</v>
          </cell>
          <cell r="G42" t="str">
            <v>1.25T</v>
          </cell>
          <cell r="I42" t="str">
            <v>1 pallet</v>
          </cell>
          <cell r="L42">
            <v>870000</v>
          </cell>
          <cell r="M42">
            <v>200000</v>
          </cell>
          <cell r="S42" t="str">
            <v>29H 80353</v>
          </cell>
          <cell r="U42" t="str">
            <v>LG2512/5195</v>
          </cell>
        </row>
      </sheetData>
      <sheetData sheetId="3">
        <row r="14">
          <cell r="A14">
            <v>45717</v>
          </cell>
          <cell r="C14" t="str">
            <v>DOOSUNG BN</v>
          </cell>
          <cell r="D14" t="str">
            <v>KCN Thạch Thất, Hanoi- Quế Võ, Bắc Ninh</v>
          </cell>
          <cell r="F14" t="str">
            <v>260103DST-F02</v>
          </cell>
          <cell r="G14" t="str">
            <v>1.25T</v>
          </cell>
          <cell r="I14" t="str">
            <v>5 thùng</v>
          </cell>
          <cell r="L14">
            <v>1200000</v>
          </cell>
          <cell r="M14">
            <v>200000</v>
          </cell>
          <cell r="S14" t="str">
            <v>29K-059.76</v>
          </cell>
          <cell r="U14" t="str">
            <v>LG2512/5224</v>
          </cell>
        </row>
        <row r="15">
          <cell r="A15">
            <v>45778</v>
          </cell>
          <cell r="C15" t="str">
            <v>DOOSUNG BN</v>
          </cell>
          <cell r="D15" t="str">
            <v>KCN Thạch Thất, Hanoi- Quế Võ, Bắc Ninh</v>
          </cell>
          <cell r="F15" t="str">
            <v>260105DST-P02</v>
          </cell>
          <cell r="G15" t="str">
            <v>1.25T</v>
          </cell>
          <cell r="I15" t="str">
            <v>1 pallet</v>
          </cell>
          <cell r="L15">
            <v>1200000</v>
          </cell>
          <cell r="M15">
            <v>200000</v>
          </cell>
          <cell r="S15" t="str">
            <v>29H 88337</v>
          </cell>
          <cell r="U15" t="str">
            <v>LG2512/5225</v>
          </cell>
        </row>
        <row r="16">
          <cell r="A16">
            <v>45839</v>
          </cell>
          <cell r="C16" t="str">
            <v>DOOSUNG BN</v>
          </cell>
          <cell r="D16" t="str">
            <v>KCN Thạch Thất, Hanoi- Quế Võ, Bắc Ninh</v>
          </cell>
          <cell r="F16" t="str">
            <v>260107DST-F08
260106DST-P04</v>
          </cell>
          <cell r="G16" t="str">
            <v>1.25T</v>
          </cell>
          <cell r="I16" t="str">
            <v>6 thùng</v>
          </cell>
          <cell r="L16">
            <v>1200000</v>
          </cell>
          <cell r="M16">
            <v>200000</v>
          </cell>
          <cell r="S16" t="str">
            <v>29H 88371</v>
          </cell>
          <cell r="U16" t="str">
            <v>LG2512/5226</v>
          </cell>
        </row>
        <row r="17">
          <cell r="A17">
            <v>45870</v>
          </cell>
          <cell r="C17" t="str">
            <v>DOOSUNG BN</v>
          </cell>
          <cell r="D17" t="str">
            <v>KCN Thạch Thất, Hanoi- Quế Võ, Bắc Ninh</v>
          </cell>
          <cell r="F17" t="str">
            <v>260108DST-F10</v>
          </cell>
          <cell r="G17" t="str">
            <v>1.25T</v>
          </cell>
          <cell r="I17" t="str">
            <v>4 thùng</v>
          </cell>
          <cell r="L17">
            <v>1200000</v>
          </cell>
          <cell r="M17">
            <v>200000</v>
          </cell>
          <cell r="S17" t="str">
            <v>29C 99732</v>
          </cell>
          <cell r="U17" t="str">
            <v>LG2512/5227</v>
          </cell>
        </row>
        <row r="18">
          <cell r="A18">
            <v>45992</v>
          </cell>
          <cell r="C18" t="str">
            <v>DOOSUNG BN</v>
          </cell>
          <cell r="D18" t="str">
            <v>KCN Thạch Thất, Hanoi- Quế Võ, Bắc Ninh</v>
          </cell>
          <cell r="F18" t="str">
            <v>260112DST-F16</v>
          </cell>
          <cell r="G18" t="str">
            <v>1.25T</v>
          </cell>
          <cell r="I18" t="str">
            <v>1 PALLET</v>
          </cell>
          <cell r="L18">
            <v>1200000</v>
          </cell>
          <cell r="M18">
            <v>200000</v>
          </cell>
          <cell r="N18">
            <v>200000</v>
          </cell>
          <cell r="S18" t="str">
            <v>29H 70663</v>
          </cell>
          <cell r="U18" t="str">
            <v>LG2512/5228</v>
          </cell>
        </row>
        <row r="19">
          <cell r="A19" t="str">
            <v>13/01/2025</v>
          </cell>
          <cell r="C19" t="str">
            <v>DOOSUNG BN</v>
          </cell>
          <cell r="D19" t="str">
            <v>KCN Thạch Thất, Hanoi- Quế Võ, Bắc Ninh</v>
          </cell>
          <cell r="F19" t="str">
            <v>260113DST-F21</v>
          </cell>
          <cell r="G19" t="str">
            <v>1.25T</v>
          </cell>
          <cell r="I19" t="str">
            <v>1 PALLET</v>
          </cell>
          <cell r="L19">
            <v>1200000</v>
          </cell>
          <cell r="M19">
            <v>200000</v>
          </cell>
          <cell r="S19" t="str">
            <v>29H 27727</v>
          </cell>
          <cell r="U19" t="str">
            <v>LG2512/5229</v>
          </cell>
        </row>
        <row r="20">
          <cell r="A20" t="str">
            <v>14/01/2025</v>
          </cell>
          <cell r="C20" t="str">
            <v>DOOSUNG BN</v>
          </cell>
          <cell r="D20" t="str">
            <v>KCN Thạch Thất, Hanoi- Quế Võ, Bắc Ninh</v>
          </cell>
          <cell r="F20" t="str">
            <v>260114DST-F23</v>
          </cell>
          <cell r="G20" t="str">
            <v>1.25T</v>
          </cell>
          <cell r="I20" t="str">
            <v>1 PALLET</v>
          </cell>
          <cell r="L20">
            <v>1200000</v>
          </cell>
          <cell r="M20">
            <v>200000</v>
          </cell>
          <cell r="S20" t="str">
            <v>29H-406.14</v>
          </cell>
          <cell r="U20" t="str">
            <v>LG2512/5230</v>
          </cell>
        </row>
        <row r="21">
          <cell r="A21" t="str">
            <v>15/01/2025</v>
          </cell>
          <cell r="C21" t="str">
            <v>DOOSUNG BN</v>
          </cell>
          <cell r="D21" t="str">
            <v>KCN Thạch Thất, Hanoi- Quế Võ, Bắc Ninh</v>
          </cell>
          <cell r="F21" t="str">
            <v>260115DST-F25</v>
          </cell>
          <cell r="G21" t="str">
            <v>1.25T</v>
          </cell>
          <cell r="I21" t="str">
            <v>1 PALLET</v>
          </cell>
          <cell r="L21">
            <v>1200000</v>
          </cell>
          <cell r="M21">
            <v>200000</v>
          </cell>
          <cell r="S21" t="str">
            <v>29H 88330</v>
          </cell>
          <cell r="U21" t="str">
            <v>LG2512/5231</v>
          </cell>
        </row>
        <row r="22">
          <cell r="A22" t="str">
            <v>16/01/2025</v>
          </cell>
          <cell r="C22" t="str">
            <v>DOOSUNG BN</v>
          </cell>
          <cell r="D22" t="str">
            <v>KCN Thạch Thất, Hanoi- Quế Võ, Bắc Ninh</v>
          </cell>
          <cell r="F22" t="str">
            <v>260116DST-F27</v>
          </cell>
          <cell r="G22" t="str">
            <v>1.25T</v>
          </cell>
          <cell r="I22" t="str">
            <v>1 PALLET</v>
          </cell>
          <cell r="L22">
            <v>1200000</v>
          </cell>
          <cell r="M22">
            <v>200000</v>
          </cell>
          <cell r="S22" t="str">
            <v>29H 81154</v>
          </cell>
          <cell r="U22" t="str">
            <v>LG2512/5232</v>
          </cell>
        </row>
        <row r="23">
          <cell r="A23" t="str">
            <v>17/01/2025</v>
          </cell>
          <cell r="C23" t="str">
            <v>DOOSUNG BN</v>
          </cell>
          <cell r="D23" t="str">
            <v>KCN Thạch Thất, Hanoi- Quế Võ, Bắc Ninh</v>
          </cell>
          <cell r="F23" t="str">
            <v>260117DST-F29</v>
          </cell>
          <cell r="G23" t="str">
            <v>1.25T</v>
          </cell>
          <cell r="I23" t="str">
            <v>1 pallet</v>
          </cell>
          <cell r="L23">
            <v>1200000</v>
          </cell>
          <cell r="M23">
            <v>200000</v>
          </cell>
          <cell r="S23" t="str">
            <v>29H 81482</v>
          </cell>
          <cell r="U23" t="str">
            <v>LG2512/5233</v>
          </cell>
        </row>
        <row r="24">
          <cell r="A24" t="str">
            <v>19/01/2025</v>
          </cell>
          <cell r="C24" t="str">
            <v>DOOSUNG BN</v>
          </cell>
          <cell r="D24" t="str">
            <v>KCN Thạch Thất, Hanoi- Quế Võ, Bắc Ninh</v>
          </cell>
          <cell r="F24" t="str">
            <v>260119DST-P09
260119DST-F30</v>
          </cell>
          <cell r="G24" t="str">
            <v>1.25T</v>
          </cell>
          <cell r="I24" t="str">
            <v>2 pallet</v>
          </cell>
          <cell r="L24">
            <v>1200000</v>
          </cell>
          <cell r="M24">
            <v>200000</v>
          </cell>
          <cell r="S24" t="str">
            <v>29F 05985</v>
          </cell>
          <cell r="U24" t="str">
            <v>LG2512/5234</v>
          </cell>
        </row>
        <row r="25">
          <cell r="A25" t="str">
            <v>20/01/2025</v>
          </cell>
          <cell r="C25" t="str">
            <v>DOOSUNG BN</v>
          </cell>
          <cell r="D25" t="str">
            <v>KCN Thạch Thất, Hanoi- Quế Võ, Bắc Ninh</v>
          </cell>
          <cell r="F25" t="str">
            <v>260120DST-F33</v>
          </cell>
          <cell r="G25" t="str">
            <v>1.25T</v>
          </cell>
          <cell r="I25" t="str">
            <v>1 pallet</v>
          </cell>
          <cell r="L25">
            <v>1200000</v>
          </cell>
          <cell r="M25">
            <v>200000</v>
          </cell>
          <cell r="S25" t="str">
            <v>29H 88337</v>
          </cell>
          <cell r="U25" t="str">
            <v>LG2512/5235</v>
          </cell>
        </row>
        <row r="26">
          <cell r="A26" t="str">
            <v>21/01/2025</v>
          </cell>
          <cell r="C26" t="str">
            <v>DOOSUNG BN</v>
          </cell>
          <cell r="D26" t="str">
            <v>KCN Thạch Thất, Hanoi- Quế Võ, Bắc Ninh</v>
          </cell>
          <cell r="F26" t="str">
            <v>260121DST-F36</v>
          </cell>
          <cell r="G26" t="str">
            <v>1.25T</v>
          </cell>
          <cell r="I26" t="str">
            <v>1 pallet</v>
          </cell>
          <cell r="L26">
            <v>1200000</v>
          </cell>
          <cell r="M26">
            <v>200000</v>
          </cell>
          <cell r="S26" t="str">
            <v>29E 26078</v>
          </cell>
          <cell r="U26" t="str">
            <v>LG2512/5236</v>
          </cell>
        </row>
        <row r="27">
          <cell r="A27" t="str">
            <v>22/01/2025</v>
          </cell>
          <cell r="C27" t="str">
            <v>DOOSUNG BN</v>
          </cell>
          <cell r="D27" t="str">
            <v>KCN Thạch Thất, Hanoi- Quế Võ, Bắc Ninh</v>
          </cell>
          <cell r="F27" t="str">
            <v>260122DST-F38
260122DST-P11</v>
          </cell>
          <cell r="G27" t="str">
            <v>1.25T</v>
          </cell>
          <cell r="I27" t="str">
            <v>2 pallet</v>
          </cell>
          <cell r="L27">
            <v>1200000</v>
          </cell>
          <cell r="M27">
            <v>200000</v>
          </cell>
          <cell r="S27" t="str">
            <v>29H 88330</v>
          </cell>
          <cell r="U27" t="str">
            <v>LG2512/5237</v>
          </cell>
        </row>
        <row r="28">
          <cell r="A28" t="str">
            <v>23/01/2025</v>
          </cell>
          <cell r="C28" t="str">
            <v>DOOSUNG BN</v>
          </cell>
          <cell r="D28" t="str">
            <v>KCN Thạch Thất, Hanoi- Quế Võ, Bắc Ninh</v>
          </cell>
          <cell r="F28" t="str">
            <v>260123DST-F41</v>
          </cell>
          <cell r="G28" t="str">
            <v>1.25T</v>
          </cell>
          <cell r="I28" t="str">
            <v>1 PALLET</v>
          </cell>
          <cell r="L28">
            <v>1200000</v>
          </cell>
          <cell r="M28">
            <v>200000</v>
          </cell>
          <cell r="S28" t="str">
            <v>29H 40829</v>
          </cell>
          <cell r="U28" t="str">
            <v>LG2512/5238</v>
          </cell>
        </row>
        <row r="29">
          <cell r="A29" t="str">
            <v>24/01/2025</v>
          </cell>
          <cell r="C29" t="str">
            <v>DOOSUNG BN</v>
          </cell>
          <cell r="D29" t="str">
            <v>KCN Thạch Thất, Hanoi- Quế Võ, Bắc Ninh</v>
          </cell>
          <cell r="F29" t="str">
            <v>260123DST-F42</v>
          </cell>
          <cell r="G29" t="str">
            <v>1.25T</v>
          </cell>
          <cell r="I29" t="str">
            <v>1 PALLET</v>
          </cell>
          <cell r="L29">
            <v>1200000</v>
          </cell>
          <cell r="M29">
            <v>200000</v>
          </cell>
          <cell r="N29">
            <v>400000</v>
          </cell>
          <cell r="S29" t="str">
            <v>29H 27651</v>
          </cell>
          <cell r="U29" t="str">
            <v>LG2512/5239</v>
          </cell>
        </row>
        <row r="30">
          <cell r="A30" t="str">
            <v>24/01/2025</v>
          </cell>
          <cell r="C30" t="str">
            <v>DOOSUNG BN</v>
          </cell>
          <cell r="D30" t="str">
            <v>KCN Thạch Thất, Hanoi- Quế Võ, Bắc Ninh</v>
          </cell>
          <cell r="F30" t="str">
            <v>260124DST-F44</v>
          </cell>
          <cell r="G30" t="str">
            <v>1.25T</v>
          </cell>
          <cell r="I30" t="str">
            <v>1 PALLET</v>
          </cell>
          <cell r="L30">
            <v>1200000</v>
          </cell>
          <cell r="M30">
            <v>200000</v>
          </cell>
          <cell r="N30">
            <v>300000</v>
          </cell>
          <cell r="S30" t="str">
            <v>29H 70663</v>
          </cell>
          <cell r="U30" t="str">
            <v>LG2512/5240</v>
          </cell>
        </row>
        <row r="31">
          <cell r="A31" t="str">
            <v>25/01/2025</v>
          </cell>
          <cell r="C31" t="str">
            <v>DOOSUNG BN</v>
          </cell>
          <cell r="D31" t="str">
            <v>KCN Thạch Thất, Hanoi- Quế Võ, Bắc Ninh</v>
          </cell>
          <cell r="F31" t="str">
            <v>260125DST-F46</v>
          </cell>
          <cell r="G31" t="str">
            <v>1.25T</v>
          </cell>
          <cell r="I31" t="str">
            <v>3 thùng</v>
          </cell>
          <cell r="L31">
            <v>1200000</v>
          </cell>
          <cell r="M31">
            <v>200000</v>
          </cell>
          <cell r="S31" t="str">
            <v>29H-406.14</v>
          </cell>
          <cell r="U31" t="str">
            <v>LG2512/5241</v>
          </cell>
        </row>
        <row r="32">
          <cell r="T32" t="str">
            <v>Remark</v>
          </cell>
        </row>
      </sheetData>
      <sheetData sheetId="4">
        <row r="14">
          <cell r="A14">
            <v>46082</v>
          </cell>
          <cell r="C14" t="str">
            <v>DREAMTECH</v>
          </cell>
          <cell r="D14" t="str">
            <v>KCN Thạch Thất, Hanoi- KCN VSIP, Bac Ninh</v>
          </cell>
          <cell r="F14" t="str">
            <v>260103DRT-Fsample-01</v>
          </cell>
          <cell r="G14" t="str">
            <v>1.25T</v>
          </cell>
          <cell r="I14" t="str">
            <v>4 box</v>
          </cell>
          <cell r="L14">
            <v>900000</v>
          </cell>
          <cell r="M14">
            <v>200000</v>
          </cell>
          <cell r="P14">
            <v>0</v>
          </cell>
          <cell r="S14" t="str">
            <v>29H-407.56</v>
          </cell>
          <cell r="U14" t="str">
            <v>LG2512/5123</v>
          </cell>
        </row>
        <row r="15">
          <cell r="A15">
            <v>46082</v>
          </cell>
          <cell r="C15" t="str">
            <v>DREAMTECH</v>
          </cell>
          <cell r="D15" t="str">
            <v>KCN Thạch Thất, Hanoi- KCN VSIP, Bac Ninh</v>
          </cell>
          <cell r="F15" t="str">
            <v>260103DRT-F01</v>
          </cell>
          <cell r="G15" t="str">
            <v>1.25T</v>
          </cell>
          <cell r="I15" t="str">
            <v>5 box</v>
          </cell>
          <cell r="L15">
            <v>900000</v>
          </cell>
          <cell r="M15">
            <v>200000</v>
          </cell>
          <cell r="P15">
            <v>0</v>
          </cell>
          <cell r="S15" t="str">
            <v>29H-803.53</v>
          </cell>
          <cell r="U15" t="str">
            <v>LG2512/5124</v>
          </cell>
        </row>
        <row r="16">
          <cell r="A16">
            <v>46143</v>
          </cell>
          <cell r="C16" t="str">
            <v>DREAMTECH</v>
          </cell>
          <cell r="D16" t="str">
            <v>KCN Thạch Thất, Hanoi- KCN VSIP, Bac Ninh</v>
          </cell>
          <cell r="F16" t="str">
            <v>260105DRT-F03 (DRT1)
260105DRTV-01 (DRT2) 
260105DRT-F02 (DRT2)</v>
          </cell>
          <cell r="G16" t="str">
            <v>1.25T</v>
          </cell>
          <cell r="I16" t="str">
            <v>2 pallet &amp; 1 box</v>
          </cell>
          <cell r="L16">
            <v>900000</v>
          </cell>
          <cell r="M16">
            <v>200000</v>
          </cell>
          <cell r="P16">
            <v>100000</v>
          </cell>
          <cell r="S16" t="str">
            <v>29H 92126</v>
          </cell>
          <cell r="U16" t="str">
            <v>LG2512/5125</v>
          </cell>
        </row>
        <row r="17">
          <cell r="A17">
            <v>46174</v>
          </cell>
          <cell r="C17" t="str">
            <v>DREAMTECH</v>
          </cell>
          <cell r="D17" t="str">
            <v>KCN Thạch Thất, Hanoi- KCN VSIP, Bac Ninh</v>
          </cell>
          <cell r="F17" t="str">
            <v>260106DRTV-02
260106DRT-F04</v>
          </cell>
          <cell r="G17" t="str">
            <v>2.5T</v>
          </cell>
          <cell r="I17" t="str">
            <v>3 pallet</v>
          </cell>
          <cell r="L17">
            <v>1400000</v>
          </cell>
          <cell r="M17">
            <v>300000</v>
          </cell>
          <cell r="N17">
            <v>100000</v>
          </cell>
          <cell r="P17">
            <v>0</v>
          </cell>
          <cell r="S17" t="str">
            <v>29H 80353</v>
          </cell>
          <cell r="T17" t="str">
            <v>Chờ lấy hàng từ 19h đến 21h</v>
          </cell>
          <cell r="U17" t="str">
            <v>LG2512/5126</v>
          </cell>
        </row>
        <row r="18">
          <cell r="A18">
            <v>46174</v>
          </cell>
          <cell r="C18" t="str">
            <v>DREAMTECH</v>
          </cell>
          <cell r="D18" t="str">
            <v>KCN Thạch Thất, Hanoi- KCN VSIP, Bac Ninh</v>
          </cell>
          <cell r="F18" t="str">
            <v>260106DRT-Fsample-01FOC</v>
          </cell>
          <cell r="G18" t="str">
            <v>1.25T</v>
          </cell>
          <cell r="I18" t="str">
            <v>1 box</v>
          </cell>
          <cell r="L18">
            <v>900000</v>
          </cell>
          <cell r="M18">
            <v>200000</v>
          </cell>
          <cell r="P18">
            <v>630000</v>
          </cell>
          <cell r="S18" t="str">
            <v>29H 76819</v>
          </cell>
          <cell r="T18" t="str">
            <v>2 chiều</v>
          </cell>
          <cell r="U18" t="str">
            <v>LG2512/5127</v>
          </cell>
        </row>
        <row r="19">
          <cell r="A19">
            <v>46204</v>
          </cell>
          <cell r="C19" t="str">
            <v>DREAMTECH</v>
          </cell>
          <cell r="D19" t="str">
            <v>KCN VSIP, Bac Ninh- KCN Thạch Thất, Hanoi</v>
          </cell>
          <cell r="F19" t="str">
            <v>Lấy hàng từ kho DRT2 giao Meiko</v>
          </cell>
          <cell r="G19" t="str">
            <v>1.25T</v>
          </cell>
          <cell r="I19" t="str">
            <v>1 box</v>
          </cell>
          <cell r="L19">
            <v>900000</v>
          </cell>
          <cell r="M19">
            <v>200000</v>
          </cell>
          <cell r="P19">
            <v>0</v>
          </cell>
          <cell r="S19" t="str">
            <v>29H 40829</v>
          </cell>
          <cell r="U19" t="str">
            <v>LG2512/5128</v>
          </cell>
        </row>
        <row r="20">
          <cell r="A20">
            <v>46235</v>
          </cell>
          <cell r="C20" t="str">
            <v>DREAMTECH</v>
          </cell>
          <cell r="D20" t="str">
            <v>KCN Thạch Thất, Hanoi- KCN VSIP, Bac Ninh</v>
          </cell>
          <cell r="F20" t="str">
            <v>260108DRT-Fsample-02FOC</v>
          </cell>
          <cell r="G20" t="str">
            <v>1.25T</v>
          </cell>
          <cell r="I20" t="str">
            <v>1 box</v>
          </cell>
          <cell r="L20">
            <v>900000</v>
          </cell>
          <cell r="M20">
            <v>200000</v>
          </cell>
          <cell r="P20">
            <v>630000</v>
          </cell>
          <cell r="S20" t="str">
            <v>29H 76517.</v>
          </cell>
          <cell r="T20" t="str">
            <v>2 chiều</v>
          </cell>
          <cell r="U20" t="str">
            <v>LG2512/5129</v>
          </cell>
        </row>
        <row r="21">
          <cell r="A21">
            <v>46235</v>
          </cell>
          <cell r="C21" t="str">
            <v>DREAMTECH</v>
          </cell>
          <cell r="D21" t="str">
            <v>KCN Thạch Thất, Hanoi- KCN VSIP, Bac Ninh</v>
          </cell>
          <cell r="F21" t="str">
            <v>260108DRTV-03</v>
          </cell>
          <cell r="G21" t="str">
            <v>1.25T</v>
          </cell>
          <cell r="I21" t="str">
            <v>1 pallet</v>
          </cell>
          <cell r="L21">
            <v>900000</v>
          </cell>
          <cell r="M21">
            <v>200000</v>
          </cell>
          <cell r="P21">
            <v>0</v>
          </cell>
          <cell r="S21" t="str">
            <v>29H 88371</v>
          </cell>
          <cell r="U21" t="str">
            <v>LG2512/5130</v>
          </cell>
        </row>
        <row r="22">
          <cell r="A22">
            <v>46266</v>
          </cell>
          <cell r="C22" t="str">
            <v>DREAMTECH</v>
          </cell>
          <cell r="D22" t="str">
            <v>KCN Thạch Thất, Hanoi- KCN VSIP, Bac Ninh</v>
          </cell>
          <cell r="F22" t="str">
            <v>260109DRT-F06 (DRT1)
260109DRTV-04 (DRT2) 
260109DRT-F05 (DRT2)</v>
          </cell>
          <cell r="G22" t="str">
            <v>3.5T</v>
          </cell>
          <cell r="I22" t="str">
            <v>4 pâllet</v>
          </cell>
          <cell r="L22">
            <v>1650000</v>
          </cell>
          <cell r="M22">
            <v>400000</v>
          </cell>
          <cell r="P22">
            <v>1155000</v>
          </cell>
          <cell r="S22" t="str">
            <v>29E 26072</v>
          </cell>
          <cell r="T22" t="str">
            <v>2 chiều</v>
          </cell>
          <cell r="U22" t="str">
            <v>LG2512/5131</v>
          </cell>
        </row>
        <row r="23">
          <cell r="A23">
            <v>46266</v>
          </cell>
          <cell r="C23" t="str">
            <v>DREAMTECH</v>
          </cell>
          <cell r="D23" t="str">
            <v>KCN Thạch Thất, Hanoi- KCN VSIP, Bac Ninh</v>
          </cell>
          <cell r="F23" t="str">
            <v>260109DRT-F06 (DRT1)</v>
          </cell>
          <cell r="G23" t="str">
            <v>1.25T</v>
          </cell>
          <cell r="I23" t="str">
            <v>1 pâllet</v>
          </cell>
          <cell r="L23">
            <v>900000</v>
          </cell>
          <cell r="M23">
            <v>200000</v>
          </cell>
          <cell r="P23">
            <v>0</v>
          </cell>
          <cell r="S23" t="str">
            <v>29E 26078</v>
          </cell>
          <cell r="U23" t="str">
            <v>LG2512/5132</v>
          </cell>
        </row>
        <row r="24">
          <cell r="A24">
            <v>46296</v>
          </cell>
          <cell r="C24" t="str">
            <v>DREAMTECH</v>
          </cell>
          <cell r="D24" t="str">
            <v>KCN Thạch Thất, Hanoi- KCN VSIP, Bac Ninh</v>
          </cell>
          <cell r="F24" t="str">
            <v>260110DRT-F07 (DRT1)
260110DRTV-05 (DRT2)</v>
          </cell>
          <cell r="G24" t="str">
            <v>1.25T</v>
          </cell>
          <cell r="I24" t="str">
            <v>9 box</v>
          </cell>
          <cell r="L24">
            <v>900000</v>
          </cell>
          <cell r="M24">
            <v>200000</v>
          </cell>
          <cell r="P24">
            <v>100000</v>
          </cell>
          <cell r="S24" t="str">
            <v>29E 26078</v>
          </cell>
          <cell r="T24" t="str">
            <v>trả 2 điểm KCn vsip</v>
          </cell>
          <cell r="U24" t="str">
            <v>LG2512/5133</v>
          </cell>
        </row>
        <row r="25">
          <cell r="A25">
            <v>46357</v>
          </cell>
          <cell r="C25" t="str">
            <v>DREAMTECH</v>
          </cell>
          <cell r="D25" t="str">
            <v>KCN Thạch Thất, Hanoi- KCN VSIP, Bac Ninh</v>
          </cell>
          <cell r="F25" t="str">
            <v>260112DRT-F08 (DRT1)
260112DRTV-06 (DRT2)
260112DRT-F09 (DRT2)</v>
          </cell>
          <cell r="G25" t="str">
            <v>1.25T</v>
          </cell>
          <cell r="I25" t="str">
            <v>1 pallet
10 box</v>
          </cell>
          <cell r="L25">
            <v>900000</v>
          </cell>
          <cell r="M25">
            <v>200000</v>
          </cell>
          <cell r="N25">
            <v>150000</v>
          </cell>
          <cell r="P25">
            <v>100000</v>
          </cell>
          <cell r="S25" t="str">
            <v>29K 05590</v>
          </cell>
          <cell r="T25" t="str">
            <v xml:space="preserve"> trả 2 nhà máy , chờ lấy hàng từ  19h00 - 21h30</v>
          </cell>
          <cell r="U25" t="str">
            <v>LG2512/5134</v>
          </cell>
        </row>
        <row r="26">
          <cell r="A26" t="str">
            <v>13/01/2026</v>
          </cell>
          <cell r="C26" t="str">
            <v>DREAMTECH</v>
          </cell>
          <cell r="D26" t="str">
            <v>KCN Thạch Thất, Hanoi- KCN VSIP, Bac Ninh</v>
          </cell>
          <cell r="F26" t="str">
            <v>260112DRT-F10/260112DRTV-07</v>
          </cell>
          <cell r="G26" t="str">
            <v>1.25T</v>
          </cell>
          <cell r="I26" t="str">
            <v>8 box</v>
          </cell>
          <cell r="L26">
            <v>900000</v>
          </cell>
          <cell r="M26">
            <v>200000</v>
          </cell>
          <cell r="P26">
            <v>0</v>
          </cell>
          <cell r="S26" t="str">
            <v>29H 92126</v>
          </cell>
          <cell r="U26" t="str">
            <v>LG2512/5135</v>
          </cell>
        </row>
        <row r="27">
          <cell r="A27" t="str">
            <v>13/01/2026</v>
          </cell>
          <cell r="C27" t="str">
            <v>DREAMTECH</v>
          </cell>
          <cell r="D27" t="str">
            <v>KCN Thạch Thất, Hanoi- KCN VSIP, Bac Ninh</v>
          </cell>
          <cell r="F27" t="str">
            <v>260113DRTV-08</v>
          </cell>
          <cell r="G27" t="str">
            <v>1.25T</v>
          </cell>
          <cell r="I27" t="str">
            <v>1 PALLET</v>
          </cell>
          <cell r="L27">
            <v>900000</v>
          </cell>
          <cell r="M27">
            <v>200000</v>
          </cell>
          <cell r="P27">
            <v>0</v>
          </cell>
          <cell r="S27" t="str">
            <v>29H 88330</v>
          </cell>
          <cell r="U27" t="str">
            <v>LG2512/5136</v>
          </cell>
        </row>
        <row r="28">
          <cell r="A28" t="str">
            <v>13/01/2026</v>
          </cell>
          <cell r="C28" t="str">
            <v>DREAMTECH</v>
          </cell>
          <cell r="D28" t="str">
            <v>KCN Thạch Thất, Hanoi- KCN VSIP, Bac Ninh</v>
          </cell>
          <cell r="F28" t="str">
            <v>260113DRT-Fsample-03FOC</v>
          </cell>
          <cell r="G28" t="str">
            <v>1.25T</v>
          </cell>
          <cell r="I28" t="str">
            <v>1 box</v>
          </cell>
          <cell r="L28">
            <v>900000</v>
          </cell>
          <cell r="M28">
            <v>200000</v>
          </cell>
          <cell r="N28">
            <v>400000</v>
          </cell>
          <cell r="P28">
            <v>0</v>
          </cell>
          <cell r="S28" t="str">
            <v>29H 37799</v>
          </cell>
          <cell r="T28" t="str">
            <v xml:space="preserve"> chờ lấy hàng từ 23h đến 4h ngày 14/01</v>
          </cell>
          <cell r="U28" t="str">
            <v>LG2512/5137</v>
          </cell>
        </row>
        <row r="29">
          <cell r="A29" t="str">
            <v>13/01/2026</v>
          </cell>
          <cell r="C29" t="str">
            <v>DREAMTECH</v>
          </cell>
          <cell r="D29" t="str">
            <v>KCN Thạch Thất, Hanoi- KCN VSIP, Bac Ninh</v>
          </cell>
          <cell r="F29" t="str">
            <v>260113DRT-F12 (DRT1)
260113DRT-F11 (DRT2) 
260113DRTV-09 (DRT2)</v>
          </cell>
          <cell r="G29" t="str">
            <v>1.25T</v>
          </cell>
          <cell r="I29" t="str">
            <v>22 box</v>
          </cell>
          <cell r="L29">
            <v>900000</v>
          </cell>
          <cell r="M29">
            <v>200000</v>
          </cell>
          <cell r="P29">
            <v>100000</v>
          </cell>
          <cell r="S29" t="str">
            <v>29H 20200</v>
          </cell>
          <cell r="T29" t="str">
            <v xml:space="preserve">trả 2 điểm KCN Vsip </v>
          </cell>
          <cell r="U29" t="str">
            <v>LG2512/5138</v>
          </cell>
        </row>
        <row r="30">
          <cell r="A30" t="str">
            <v>14/01/2026</v>
          </cell>
          <cell r="C30" t="str">
            <v>DREAMTECH</v>
          </cell>
          <cell r="D30" t="str">
            <v>KCN Thạch Thất, Hanoi- KCN VSIP, Bac Ninh</v>
          </cell>
          <cell r="F30" t="str">
            <v>260114DRT-Fsample-04</v>
          </cell>
          <cell r="G30" t="str">
            <v>1.25T</v>
          </cell>
          <cell r="I30" t="str">
            <v>3 box</v>
          </cell>
          <cell r="L30">
            <v>630000</v>
          </cell>
          <cell r="P30">
            <v>0</v>
          </cell>
          <cell r="S30" t="str">
            <v>29E 26078</v>
          </cell>
          <cell r="T30" t="str">
            <v>HỦY</v>
          </cell>
          <cell r="U30" t="str">
            <v>LG2512/5139</v>
          </cell>
        </row>
        <row r="31">
          <cell r="A31" t="str">
            <v>14/01/2026</v>
          </cell>
          <cell r="C31" t="str">
            <v>DREAMTECH</v>
          </cell>
          <cell r="D31" t="str">
            <v>KCN Thạch Thất, Hanoi- KCN VSIP, Bac Ninh</v>
          </cell>
          <cell r="F31" t="str">
            <v>260114DRT-Fsample-05FOC</v>
          </cell>
          <cell r="G31" t="str">
            <v>1.25T</v>
          </cell>
          <cell r="I31" t="str">
            <v>1 box</v>
          </cell>
          <cell r="L31">
            <v>300000</v>
          </cell>
          <cell r="M31">
            <v>200000</v>
          </cell>
          <cell r="P31">
            <v>0</v>
          </cell>
          <cell r="S31" t="str">
            <v>29E 26078</v>
          </cell>
          <cell r="T31" t="str">
            <v>đi cùng xe Quang Châu, tính ps 2 điểm</v>
          </cell>
          <cell r="U31" t="str">
            <v>LG2512/5140</v>
          </cell>
        </row>
        <row r="32">
          <cell r="A32" t="str">
            <v>14/01/2026</v>
          </cell>
          <cell r="C32" t="str">
            <v>DREAMTECH</v>
          </cell>
          <cell r="D32" t="str">
            <v>KCN Thạch Thất, Hanoi- KCN VSIP, Bac Ninh</v>
          </cell>
          <cell r="F32" t="str">
            <v>260114DRT-Fsample-04</v>
          </cell>
          <cell r="G32" t="str">
            <v>1.25T</v>
          </cell>
          <cell r="I32" t="str">
            <v>3 box</v>
          </cell>
          <cell r="L32">
            <v>900000</v>
          </cell>
          <cell r="M32">
            <v>200000</v>
          </cell>
          <cell r="P32">
            <v>0</v>
          </cell>
          <cell r="S32" t="str">
            <v>29H 76514</v>
          </cell>
          <cell r="U32" t="str">
            <v>LG2512/5141</v>
          </cell>
        </row>
        <row r="33">
          <cell r="A33" t="str">
            <v>14/01/2026</v>
          </cell>
          <cell r="C33" t="str">
            <v>DREAMTECH</v>
          </cell>
          <cell r="D33" t="str">
            <v>KCN Thạch Thất, Hanoi- KCN VSIP, Bac Ninh</v>
          </cell>
          <cell r="F33" t="str">
            <v>260114DRT-F14 (DRT1)
260114DRTV-10 (DRT2) 
260114DRT-F13 (DRT2)</v>
          </cell>
          <cell r="G33" t="str">
            <v>1.25T</v>
          </cell>
          <cell r="I33" t="str">
            <v>1 pallet , 13 box</v>
          </cell>
          <cell r="L33">
            <v>900000</v>
          </cell>
          <cell r="M33">
            <v>200000</v>
          </cell>
          <cell r="N33">
            <v>150000</v>
          </cell>
          <cell r="P33">
            <v>100000</v>
          </cell>
          <cell r="S33" t="str">
            <v>29H 88330</v>
          </cell>
          <cell r="T33" t="str">
            <v>trả 2 điểm KCN Vsip ,  chờ hạ 23h30 đến 2h00</v>
          </cell>
          <cell r="U33" t="str">
            <v>LG2512/5142</v>
          </cell>
        </row>
        <row r="34">
          <cell r="A34" t="str">
            <v>15/01/2026</v>
          </cell>
          <cell r="C34" t="str">
            <v>DREAMTECH</v>
          </cell>
          <cell r="D34" t="str">
            <v>KCN Thạch Thất, Hanoi- KCN VSIP, Bac Ninh</v>
          </cell>
          <cell r="F34" t="str">
            <v>260115DRT-Fsample-06</v>
          </cell>
          <cell r="G34" t="str">
            <v>1.25T</v>
          </cell>
          <cell r="I34" t="str">
            <v>1box</v>
          </cell>
          <cell r="L34">
            <v>900000</v>
          </cell>
          <cell r="M34">
            <v>200000</v>
          </cell>
          <cell r="P34">
            <v>0</v>
          </cell>
          <cell r="S34" t="str">
            <v>29H 37799</v>
          </cell>
          <cell r="U34" t="str">
            <v>LG2512/5143</v>
          </cell>
        </row>
        <row r="35">
          <cell r="A35" t="str">
            <v>15/01/2026</v>
          </cell>
          <cell r="C35" t="str">
            <v>DREAMTECH</v>
          </cell>
          <cell r="D35" t="str">
            <v>KCN Thạch Thất, Hanoi- KCN VSIP, Bac Ninh</v>
          </cell>
          <cell r="F35" t="str">
            <v>260115DRT-F16 (DRT 1)
260115DRT-F15 (DRT 2)
260115DRTV-11 (DRT 2)</v>
          </cell>
          <cell r="G35" t="str">
            <v>1.25T</v>
          </cell>
          <cell r="I35" t="str">
            <v>3box; 
1 pallet 3 box</v>
          </cell>
          <cell r="L35">
            <v>900000</v>
          </cell>
          <cell r="M35">
            <v>200000</v>
          </cell>
          <cell r="N35">
            <v>150000</v>
          </cell>
          <cell r="P35">
            <v>100000</v>
          </cell>
          <cell r="S35" t="str">
            <v>29H 88337</v>
          </cell>
          <cell r="T35" t="str">
            <v xml:space="preserve">lx bốc xếp . trả 2 điểm KCN Vsip BN, chờ lấy từ 19h đến 21h30 </v>
          </cell>
          <cell r="U35" t="str">
            <v>LG2512/5144</v>
          </cell>
        </row>
        <row r="36">
          <cell r="A36" t="str">
            <v>16/01/2026</v>
          </cell>
          <cell r="C36" t="str">
            <v>DREAMTECH</v>
          </cell>
          <cell r="D36" t="str">
            <v>KCN Thạch Thất, Hanoi- KCN VSIP, Bac Ninh</v>
          </cell>
          <cell r="F36" t="str">
            <v>260116DRT-F17 (DRT 1)
260116DRTV-12 (DRT 2)
260116DRT-F18 (DRT 2)</v>
          </cell>
          <cell r="G36" t="str">
            <v>1.25T</v>
          </cell>
          <cell r="I36" t="str">
            <v>1 pallet ;
1 pallet 2 box</v>
          </cell>
          <cell r="L36">
            <v>900000</v>
          </cell>
          <cell r="M36">
            <v>200000</v>
          </cell>
          <cell r="P36">
            <v>100000</v>
          </cell>
          <cell r="S36" t="str">
            <v>29H 81482</v>
          </cell>
          <cell r="T36" t="str">
            <v xml:space="preserve">trả 2 điểm KCN Vsip </v>
          </cell>
          <cell r="U36" t="str">
            <v>LG2512/5145</v>
          </cell>
        </row>
        <row r="37">
          <cell r="A37" t="str">
            <v>17/01/2026</v>
          </cell>
          <cell r="C37" t="str">
            <v>DREAMTECH</v>
          </cell>
          <cell r="D37" t="str">
            <v>KCN Thạch Thất, Hanoi- KCN VSIP, Bac Ninh</v>
          </cell>
          <cell r="F37" t="str">
            <v>260117DRTV-13/ 260117DRT-F19</v>
          </cell>
          <cell r="G37" t="str">
            <v>1.25T</v>
          </cell>
          <cell r="I37" t="str">
            <v>1 pallet</v>
          </cell>
          <cell r="L37">
            <v>900000</v>
          </cell>
          <cell r="M37">
            <v>200000</v>
          </cell>
          <cell r="P37">
            <v>0</v>
          </cell>
          <cell r="S37" t="str">
            <v>29H 80353</v>
          </cell>
          <cell r="U37" t="str">
            <v>LG2512/5146</v>
          </cell>
        </row>
        <row r="38">
          <cell r="A38" t="str">
            <v>19/01/2026</v>
          </cell>
          <cell r="C38" t="str">
            <v>DREAMTECH</v>
          </cell>
          <cell r="D38" t="str">
            <v>KCN Thạch Thất, Hanoi- KCN VSIP, Bac Ninh</v>
          </cell>
          <cell r="F38" t="str">
            <v>260118DRT-F20</v>
          </cell>
          <cell r="G38" t="str">
            <v>1.25T</v>
          </cell>
          <cell r="I38" t="str">
            <v>2 thùng</v>
          </cell>
          <cell r="L38">
            <v>900000</v>
          </cell>
          <cell r="M38">
            <v>200000</v>
          </cell>
          <cell r="N38">
            <v>200000</v>
          </cell>
          <cell r="P38">
            <v>0</v>
          </cell>
          <cell r="S38" t="str">
            <v>29H 80353</v>
          </cell>
          <cell r="T38" t="str">
            <v>Chờ lấy hàng từ 5h  đến 8h</v>
          </cell>
          <cell r="U38" t="str">
            <v>LG2512/5147</v>
          </cell>
        </row>
        <row r="39">
          <cell r="A39" t="str">
            <v>19/01/2026</v>
          </cell>
          <cell r="C39" t="str">
            <v>DREAMTECH</v>
          </cell>
          <cell r="D39" t="str">
            <v>KCN Thạch Thất, Hanoi- KCN VSIP, Bac Ninh</v>
          </cell>
          <cell r="F39" t="str">
            <v>260119DRT-F21 (DRT1)
260119DRTV-14 (DRT2) 
260119DRT-F22 (DRT2)</v>
          </cell>
          <cell r="G39" t="str">
            <v>2.5T</v>
          </cell>
          <cell r="I39" t="str">
            <v>3 pallet 9 thùng</v>
          </cell>
          <cell r="L39">
            <v>1400000</v>
          </cell>
          <cell r="M39">
            <v>300000</v>
          </cell>
          <cell r="P39">
            <v>0</v>
          </cell>
          <cell r="S39" t="str">
            <v>29E 26074</v>
          </cell>
          <cell r="U39" t="str">
            <v>LG2512/5148</v>
          </cell>
        </row>
        <row r="40">
          <cell r="A40" t="str">
            <v>19/01/2026</v>
          </cell>
          <cell r="C40" t="str">
            <v>DREAMTECH</v>
          </cell>
          <cell r="D40" t="str">
            <v>KCN Thạch Thất, Hanoi- KCN VSIP, Bac Ninh</v>
          </cell>
          <cell r="F40" t="str">
            <v>26019DRT-F23</v>
          </cell>
          <cell r="G40" t="str">
            <v>1.25T</v>
          </cell>
          <cell r="I40" t="str">
            <v>2 thùng</v>
          </cell>
          <cell r="L40">
            <v>900000</v>
          </cell>
          <cell r="M40">
            <v>200000</v>
          </cell>
          <cell r="N40">
            <v>250000</v>
          </cell>
          <cell r="P40">
            <v>0</v>
          </cell>
          <cell r="S40" t="str">
            <v>29H 37799</v>
          </cell>
          <cell r="T40" t="str">
            <v>Chờ lấy hàng 22h-&gt;01h30</v>
          </cell>
          <cell r="U40" t="str">
            <v>LG2512/5149</v>
          </cell>
        </row>
        <row r="41">
          <cell r="A41" t="str">
            <v>20/01/2026</v>
          </cell>
          <cell r="C41" t="str">
            <v>DREAMTECH</v>
          </cell>
          <cell r="D41" t="str">
            <v>KCN Thạch Thất, Hanoi- KCN VSIP, Bac Ninh</v>
          </cell>
          <cell r="F41" t="str">
            <v>26019DRT-F24</v>
          </cell>
          <cell r="G41" t="str">
            <v>1.25T</v>
          </cell>
          <cell r="I41" t="str">
            <v>1 thùng</v>
          </cell>
          <cell r="L41">
            <v>900000</v>
          </cell>
          <cell r="M41">
            <v>200000</v>
          </cell>
          <cell r="N41">
            <v>250000</v>
          </cell>
          <cell r="P41">
            <v>0</v>
          </cell>
          <cell r="S41" t="str">
            <v>29H 92126</v>
          </cell>
          <cell r="T41" t="str">
            <v>chờ lấy hàng từ 3h đến 6h40</v>
          </cell>
          <cell r="U41" t="str">
            <v>LG2512/5150</v>
          </cell>
        </row>
        <row r="42">
          <cell r="A42" t="str">
            <v>20/01/2026</v>
          </cell>
          <cell r="C42" t="str">
            <v>DREAMTECH</v>
          </cell>
          <cell r="D42" t="str">
            <v>KCN VSIP, Bac Ninh- KCN Thạch Thất, Hanoi</v>
          </cell>
          <cell r="F42" t="str">
            <v>260120DRTV-16</v>
          </cell>
          <cell r="G42" t="str">
            <v>1.25T</v>
          </cell>
          <cell r="I42" t="str">
            <v>1 pallet</v>
          </cell>
          <cell r="L42">
            <v>900000</v>
          </cell>
          <cell r="M42">
            <v>200000</v>
          </cell>
          <cell r="P42">
            <v>630000</v>
          </cell>
          <cell r="S42" t="str">
            <v>29H 88371</v>
          </cell>
          <cell r="T42" t="str">
            <v>2 chiều</v>
          </cell>
          <cell r="U42" t="str">
            <v>LG2512/5151</v>
          </cell>
        </row>
        <row r="43">
          <cell r="A43" t="str">
            <v>20/01/2026</v>
          </cell>
          <cell r="C43" t="str">
            <v>DREAMTECH</v>
          </cell>
          <cell r="D43" t="str">
            <v>KCN Thạch Thất, Hanoi- KCN VSIP, Bac Ninh</v>
          </cell>
          <cell r="F43" t="str">
            <v>260119DRTV-15</v>
          </cell>
          <cell r="G43" t="str">
            <v>1.25T</v>
          </cell>
          <cell r="I43" t="str">
            <v>1 thùng</v>
          </cell>
          <cell r="L43">
            <v>900000</v>
          </cell>
          <cell r="M43">
            <v>200000</v>
          </cell>
          <cell r="N43">
            <v>200000</v>
          </cell>
          <cell r="P43">
            <v>0</v>
          </cell>
          <cell r="S43" t="str">
            <v>29K 05976</v>
          </cell>
          <cell r="T43" t="str">
            <v>chờ lấy hàng từ 21h đến 00h ngày 21/01</v>
          </cell>
          <cell r="U43" t="str">
            <v>LG2512/5152</v>
          </cell>
        </row>
        <row r="44">
          <cell r="A44" t="str">
            <v>20/01/2026</v>
          </cell>
          <cell r="C44" t="str">
            <v>DREAMTECH</v>
          </cell>
          <cell r="D44" t="str">
            <v>KCN Thạch Thất, Hanoi- KCN VSIP, Bac Ninh</v>
          </cell>
          <cell r="F44" t="str">
            <v>26020DRT-F25</v>
          </cell>
          <cell r="G44" t="str">
            <v>1.25T</v>
          </cell>
          <cell r="I44" t="str">
            <v>7 thùng</v>
          </cell>
          <cell r="L44">
            <v>900000</v>
          </cell>
          <cell r="M44">
            <v>200000</v>
          </cell>
          <cell r="N44">
            <v>150000</v>
          </cell>
          <cell r="P44">
            <v>630000</v>
          </cell>
          <cell r="S44" t="str">
            <v>29H 76819</v>
          </cell>
          <cell r="T44" t="str">
            <v>đợi lấy hàng từ 23h tới 01h30 , hàng 2 chiều</v>
          </cell>
          <cell r="U44" t="str">
            <v>LG2512/5153</v>
          </cell>
        </row>
        <row r="45">
          <cell r="A45" t="str">
            <v>21/01/2026</v>
          </cell>
          <cell r="C45" t="str">
            <v>DREAMTECH</v>
          </cell>
          <cell r="D45" t="str">
            <v>KCN Thạch Thất, Hanoi- KCN VSIP, Bac Ninh</v>
          </cell>
          <cell r="F45" t="str">
            <v>26020DRT-F26</v>
          </cell>
          <cell r="G45" t="str">
            <v>1.25T</v>
          </cell>
          <cell r="I45" t="str">
            <v>5 thùng</v>
          </cell>
          <cell r="L45">
            <v>900000</v>
          </cell>
          <cell r="M45">
            <v>200000</v>
          </cell>
          <cell r="P45">
            <v>0</v>
          </cell>
          <cell r="S45" t="str">
            <v>29H 27651</v>
          </cell>
          <cell r="U45" t="str">
            <v>LG2512/5154</v>
          </cell>
        </row>
        <row r="46">
          <cell r="A46" t="str">
            <v>21/01/2026</v>
          </cell>
          <cell r="C46" t="str">
            <v>DREAMTECH</v>
          </cell>
          <cell r="D46" t="str">
            <v>KCN Thạch Thất, Hanoi- KCN VSIP, Bac Ninh</v>
          </cell>
          <cell r="F46" t="str">
            <v>260121DRTV-17
260120DRT-F27</v>
          </cell>
          <cell r="G46" t="str">
            <v>1.25T</v>
          </cell>
          <cell r="I46" t="str">
            <v>1 pallet, 3 thùng</v>
          </cell>
          <cell r="L46">
            <v>900000</v>
          </cell>
          <cell r="M46">
            <v>200000</v>
          </cell>
          <cell r="P46">
            <v>0</v>
          </cell>
          <cell r="S46" t="str">
            <v>29H 40756</v>
          </cell>
          <cell r="U46" t="str">
            <v>LG2512/5155</v>
          </cell>
        </row>
        <row r="47">
          <cell r="A47" t="str">
            <v>21/01/2026</v>
          </cell>
          <cell r="C47" t="str">
            <v>DREAMTECH</v>
          </cell>
          <cell r="D47" t="str">
            <v>KCN Thạch Thất, Hanoi- KCN VSIP, Bac Ninh</v>
          </cell>
          <cell r="F47" t="str">
            <v>260121DRT-F28 
260121DRT-F29</v>
          </cell>
          <cell r="G47" t="str">
            <v>1.25T</v>
          </cell>
          <cell r="I47" t="str">
            <v>13 thùng</v>
          </cell>
          <cell r="L47">
            <v>900000</v>
          </cell>
          <cell r="M47">
            <v>200000</v>
          </cell>
          <cell r="P47">
            <v>0</v>
          </cell>
          <cell r="S47" t="str">
            <v>29H 37799</v>
          </cell>
          <cell r="U47" t="str">
            <v>LG2512/5156</v>
          </cell>
        </row>
        <row r="48">
          <cell r="A48" t="str">
            <v>22/01/2026</v>
          </cell>
          <cell r="C48" t="str">
            <v>DREAMTECH</v>
          </cell>
          <cell r="D48" t="str">
            <v>KCN Thạch Thất, Hanoi- KCN VSIP, Bac Ninh</v>
          </cell>
          <cell r="F48" t="str">
            <v>260121DRT-F30</v>
          </cell>
          <cell r="G48" t="str">
            <v>1.25T</v>
          </cell>
          <cell r="I48" t="str">
            <v>6 thùng</v>
          </cell>
          <cell r="L48">
            <v>900000</v>
          </cell>
          <cell r="M48">
            <v>200000</v>
          </cell>
          <cell r="N48">
            <v>200000</v>
          </cell>
          <cell r="P48">
            <v>0</v>
          </cell>
          <cell r="S48" t="str">
            <v>29C 99471</v>
          </cell>
          <cell r="T48" t="str">
            <v>chờ lấy hàng từ 6h đến 9h10</v>
          </cell>
          <cell r="U48" t="str">
            <v>LG2512/5157</v>
          </cell>
        </row>
        <row r="49">
          <cell r="A49" t="str">
            <v>22/01/2026</v>
          </cell>
          <cell r="C49" t="str">
            <v>DREAMTECH</v>
          </cell>
          <cell r="D49" t="str">
            <v>KCN Thạch Thất, Hanoi- KCN VSIP, Bac Ninh</v>
          </cell>
          <cell r="F49" t="str">
            <v>260122DRT-F31 (DRT1)
260122DRT-F32 (DRT2)</v>
          </cell>
          <cell r="G49" t="str">
            <v>1.25T</v>
          </cell>
          <cell r="I49" t="str">
            <v>9 thùng</v>
          </cell>
          <cell r="L49">
            <v>900000</v>
          </cell>
          <cell r="M49">
            <v>200000</v>
          </cell>
          <cell r="P49">
            <v>100000</v>
          </cell>
          <cell r="S49" t="str">
            <v>29H 70769</v>
          </cell>
          <cell r="T49" t="str">
            <v xml:space="preserve">trả 2 điểm KCN Vsip </v>
          </cell>
          <cell r="U49" t="str">
            <v>LG2512/5158</v>
          </cell>
        </row>
        <row r="50">
          <cell r="A50" t="str">
            <v>22/01/2026</v>
          </cell>
          <cell r="C50" t="str">
            <v>DREAMTECH</v>
          </cell>
          <cell r="D50" t="str">
            <v>KCN Thạch Thất, Hanoi- KCN VSIP, Bac Ninh</v>
          </cell>
          <cell r="F50" t="str">
            <v>260122DRTV-18 
260122DRT-F33</v>
          </cell>
          <cell r="G50" t="str">
            <v>1.25T</v>
          </cell>
          <cell r="I50" t="str">
            <v>1 pallet 2 thùng</v>
          </cell>
          <cell r="L50">
            <v>900000</v>
          </cell>
          <cell r="M50">
            <v>200000</v>
          </cell>
          <cell r="N50">
            <v>150000</v>
          </cell>
          <cell r="P50">
            <v>0</v>
          </cell>
          <cell r="S50" t="str">
            <v>29H 16885</v>
          </cell>
          <cell r="T50" t="str">
            <v xml:space="preserve">Chờ lấy hàng 15:00----&gt;17:30 </v>
          </cell>
          <cell r="U50" t="str">
            <v>LG2512/5159</v>
          </cell>
        </row>
        <row r="51">
          <cell r="A51" t="str">
            <v>22/01/2026</v>
          </cell>
          <cell r="C51" t="str">
            <v>DREAMTECH</v>
          </cell>
          <cell r="D51" t="str">
            <v>KCN Thạch Thất, Hanoi- KCN VSIP, Bac Ninh</v>
          </cell>
          <cell r="F51" t="str">
            <v>260122DRT-F34 (DRT1)
260122DRT-F35 (DRT2)</v>
          </cell>
          <cell r="G51" t="str">
            <v>1.25T</v>
          </cell>
          <cell r="I51" t="str">
            <v>2 pallet 1 thùng</v>
          </cell>
          <cell r="L51">
            <v>900000</v>
          </cell>
          <cell r="M51">
            <v>200000</v>
          </cell>
          <cell r="N51">
            <v>100000</v>
          </cell>
          <cell r="P51">
            <v>100000</v>
          </cell>
          <cell r="S51" t="str">
            <v>29H 37799</v>
          </cell>
          <cell r="T51" t="str">
            <v xml:space="preserve"> trả 2 điểm KCN Vsip BN , Chờ trả 23h30-&gt;1h30</v>
          </cell>
          <cell r="U51" t="str">
            <v>LG2512/5160</v>
          </cell>
        </row>
        <row r="52">
          <cell r="A52" t="str">
            <v>23/01/2026</v>
          </cell>
          <cell r="C52" t="str">
            <v>DREAMTECH</v>
          </cell>
          <cell r="D52" t="str">
            <v>KCN Thạch Thất, Hanoi- KCN VSIP, Bac Ninh</v>
          </cell>
          <cell r="F52" t="str">
            <v>260123DRTV-19 
260123DRT-F36</v>
          </cell>
          <cell r="G52" t="str">
            <v>1.25T</v>
          </cell>
          <cell r="I52" t="str">
            <v>1 pallet 3 thùng</v>
          </cell>
          <cell r="L52">
            <v>900000</v>
          </cell>
          <cell r="M52">
            <v>200000</v>
          </cell>
          <cell r="P52">
            <v>0</v>
          </cell>
          <cell r="S52" t="str">
            <v>29H 80353</v>
          </cell>
          <cell r="T52" t="str">
            <v>2 chiều</v>
          </cell>
          <cell r="U52" t="str">
            <v>LG2512/5161</v>
          </cell>
        </row>
        <row r="53">
          <cell r="A53" t="str">
            <v>24/01/2026</v>
          </cell>
          <cell r="C53" t="str">
            <v>DREAMTECH</v>
          </cell>
          <cell r="D53" t="str">
            <v>KCN Thạch Thất, Hanoi- KCN VSIP, Bac Ninh</v>
          </cell>
          <cell r="F53" t="str">
            <v>260123DRT-F37 (DRT1)
260123DRTV-20 (DRT2)</v>
          </cell>
          <cell r="G53" t="str">
            <v>1.25T</v>
          </cell>
          <cell r="I53" t="str">
            <v>10 thùng</v>
          </cell>
          <cell r="L53">
            <v>900000</v>
          </cell>
          <cell r="M53">
            <v>200000</v>
          </cell>
          <cell r="N53">
            <v>400000</v>
          </cell>
          <cell r="P53">
            <v>0</v>
          </cell>
          <cell r="S53" t="str">
            <v>29H 92126</v>
          </cell>
          <cell r="T53" t="str">
            <v>chờ lấy  hàng tư 6h đến 11h20</v>
          </cell>
          <cell r="U53" t="str">
            <v>LG2512/5162</v>
          </cell>
        </row>
        <row r="54">
          <cell r="A54" t="str">
            <v>24/01/2026</v>
          </cell>
          <cell r="C54" t="str">
            <v>DREAMTECH</v>
          </cell>
          <cell r="D54" t="str">
            <v>KCN Thạch Thất, Hanoi- KCN VSIP, Bac Ninh</v>
          </cell>
          <cell r="F54" t="str">
            <v>260124DRT-F38
260123DRTV-21</v>
          </cell>
          <cell r="G54" t="str">
            <v>1.25T</v>
          </cell>
          <cell r="I54" t="str">
            <v>7 thùng</v>
          </cell>
          <cell r="L54">
            <v>900000</v>
          </cell>
          <cell r="M54">
            <v>200000</v>
          </cell>
          <cell r="P54">
            <v>0</v>
          </cell>
          <cell r="S54" t="str">
            <v>29H 81494</v>
          </cell>
          <cell r="U54" t="str">
            <v>LG2512/5163</v>
          </cell>
        </row>
        <row r="55">
          <cell r="A55" t="str">
            <v>24/01/2026</v>
          </cell>
          <cell r="C55" t="str">
            <v>DREAMTECH</v>
          </cell>
          <cell r="D55" t="str">
            <v>KCN Thạch Thất, Hanoi- KCN VSIP, Bac Ninh</v>
          </cell>
          <cell r="F55" t="str">
            <v>260124DRT-F39 (DRT1)
260124DRTV-22 (DRT2) 
260124DRT-F40 (DRT2)</v>
          </cell>
          <cell r="G55" t="str">
            <v>1.25T</v>
          </cell>
          <cell r="I55" t="str">
            <v>8 thùng
2 pallets</v>
          </cell>
          <cell r="L55">
            <v>900000</v>
          </cell>
          <cell r="M55">
            <v>200000</v>
          </cell>
          <cell r="P55">
            <v>100000</v>
          </cell>
          <cell r="S55" t="str">
            <v>29H 88337</v>
          </cell>
          <cell r="T55" t="str">
            <v>trả 2 điểm kcn visip</v>
          </cell>
          <cell r="U55" t="str">
            <v>LG2512/5164</v>
          </cell>
        </row>
        <row r="56">
          <cell r="A56" t="str">
            <v>25/01/2026</v>
          </cell>
          <cell r="C56" t="str">
            <v>DREAMTECH</v>
          </cell>
          <cell r="D56" t="str">
            <v>KCN Thạch Thất, Hanoi- KCN VSIP, Bac Ninh</v>
          </cell>
          <cell r="F56" t="str">
            <v>260125DRTV-23</v>
          </cell>
          <cell r="G56" t="str">
            <v>1.25T</v>
          </cell>
          <cell r="I56" t="str">
            <v>8 thùng</v>
          </cell>
          <cell r="L56">
            <v>900000</v>
          </cell>
          <cell r="M56">
            <v>200000</v>
          </cell>
          <cell r="P56">
            <v>0</v>
          </cell>
          <cell r="S56" t="str">
            <v>29H 83575</v>
          </cell>
          <cell r="U56" t="str">
            <v>LG2512/5165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tel:'+84.84834.68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FAC75-DAC2-4B12-ADBA-858986128945}">
  <sheetPr>
    <pageSetUpPr fitToPage="1"/>
  </sheetPr>
  <dimension ref="A1:AD58"/>
  <sheetViews>
    <sheetView view="pageBreakPreview" topLeftCell="A42" zoomScale="86" zoomScaleNormal="93" zoomScaleSheetLayoutView="86" workbookViewId="0">
      <selection activeCell="J47" sqref="J47"/>
    </sheetView>
  </sheetViews>
  <sheetFormatPr defaultColWidth="8.81640625" defaultRowHeight="15.5"/>
  <cols>
    <col min="1" max="1" width="6.453125" style="5" customWidth="1"/>
    <col min="2" max="3" width="6.453125" style="5" hidden="1" customWidth="1"/>
    <col min="4" max="4" width="15.81640625" style="5" customWidth="1"/>
    <col min="5" max="5" width="12.453125" style="5" customWidth="1"/>
    <col min="6" max="6" width="12" style="46" customWidth="1"/>
    <col min="7" max="7" width="12" style="76" customWidth="1"/>
    <col min="8" max="8" width="19.453125" style="46" customWidth="1"/>
    <col min="9" max="9" width="21" style="26" customWidth="1"/>
    <col min="10" max="10" width="14.1796875" style="46" customWidth="1"/>
    <col min="11" max="11" width="14.1796875" style="5" customWidth="1"/>
    <col min="12" max="12" width="22.26953125" style="5" customWidth="1"/>
    <col min="13" max="13" width="10.453125" style="39" customWidth="1"/>
    <col min="14" max="14" width="11.81640625" style="44" customWidth="1"/>
    <col min="15" max="15" width="11.81640625" style="70" customWidth="1"/>
    <col min="16" max="16" width="16.7265625" style="47" customWidth="1"/>
    <col min="17" max="17" width="13.1796875" style="71" customWidth="1"/>
    <col min="18" max="18" width="13.1796875" style="72" customWidth="1"/>
    <col min="19" max="19" width="12.81640625" style="73" customWidth="1"/>
    <col min="20" max="20" width="15" style="30" customWidth="1"/>
    <col min="21" max="21" width="14" style="73" customWidth="1"/>
    <col min="22" max="23" width="13.26953125" style="74" customWidth="1"/>
    <col min="24" max="24" width="13.453125" style="30" customWidth="1"/>
    <col min="25" max="25" width="12" style="30" customWidth="1"/>
    <col min="26" max="26" width="15.453125" style="5" customWidth="1"/>
    <col min="27" max="28" width="15.453125" style="5" hidden="1" customWidth="1"/>
    <col min="29" max="29" width="18" style="75" customWidth="1"/>
    <col min="30" max="30" width="23.1796875" style="5" customWidth="1"/>
    <col min="31" max="31" width="13.453125" style="5" bestFit="1" customWidth="1"/>
    <col min="32" max="16384" width="8.81640625" style="5"/>
  </cols>
  <sheetData>
    <row r="1" spans="1:30" ht="18">
      <c r="A1" s="1"/>
      <c r="B1" s="1"/>
      <c r="C1" s="1"/>
      <c r="D1" s="1"/>
      <c r="E1" s="1"/>
      <c r="F1" s="2"/>
      <c r="G1" s="49"/>
      <c r="H1"/>
      <c r="I1" s="163" t="s">
        <v>0</v>
      </c>
      <c r="J1" s="163"/>
      <c r="K1" s="163"/>
      <c r="L1" s="163"/>
      <c r="M1" s="163"/>
      <c r="N1" s="163"/>
      <c r="O1" s="164"/>
      <c r="P1" s="163"/>
      <c r="Q1" s="165"/>
      <c r="R1" s="165"/>
      <c r="S1" s="166"/>
      <c r="T1" s="4"/>
      <c r="U1" s="50"/>
      <c r="V1" s="51"/>
      <c r="W1" s="51"/>
      <c r="X1" s="4"/>
      <c r="Y1" s="4"/>
      <c r="Z1"/>
      <c r="AA1"/>
      <c r="AB1"/>
      <c r="AC1" s="15"/>
      <c r="AD1"/>
    </row>
    <row r="2" spans="1:30" ht="18">
      <c r="A2" s="6"/>
      <c r="B2" s="6"/>
      <c r="C2" s="6"/>
      <c r="D2" s="6"/>
      <c r="E2" s="6"/>
      <c r="F2" s="2"/>
      <c r="G2" s="49"/>
      <c r="H2"/>
      <c r="I2" s="163" t="s">
        <v>27</v>
      </c>
      <c r="J2" s="163"/>
      <c r="K2" s="163"/>
      <c r="L2" s="163"/>
      <c r="M2" s="163"/>
      <c r="N2" s="163"/>
      <c r="O2" s="164"/>
      <c r="P2" s="163"/>
      <c r="Q2" s="165"/>
      <c r="R2" s="165"/>
      <c r="S2" s="166"/>
      <c r="T2" s="4"/>
      <c r="U2" s="50"/>
      <c r="V2" s="51"/>
      <c r="W2" s="51"/>
      <c r="X2" s="4"/>
      <c r="Y2" s="4"/>
      <c r="Z2"/>
      <c r="AA2"/>
      <c r="AB2"/>
      <c r="AC2" s="15"/>
      <c r="AD2"/>
    </row>
    <row r="3" spans="1:30" ht="18">
      <c r="A3" s="7"/>
      <c r="B3" s="7"/>
      <c r="C3" s="7"/>
      <c r="D3" s="7"/>
      <c r="E3" s="7"/>
      <c r="F3" s="2"/>
      <c r="G3" s="49"/>
      <c r="H3"/>
      <c r="I3" s="163" t="s">
        <v>1</v>
      </c>
      <c r="J3" s="163"/>
      <c r="K3" s="163"/>
      <c r="L3" s="163"/>
      <c r="M3" s="163"/>
      <c r="N3" s="163"/>
      <c r="O3" s="164"/>
      <c r="P3" s="163"/>
      <c r="Q3" s="165"/>
      <c r="R3" s="165"/>
      <c r="S3" s="166"/>
      <c r="T3" s="4"/>
      <c r="U3" s="50"/>
      <c r="V3" s="51"/>
      <c r="W3" s="51"/>
      <c r="X3" s="4"/>
      <c r="Y3" s="4"/>
      <c r="Z3"/>
      <c r="AA3"/>
      <c r="AB3"/>
      <c r="AC3" s="15"/>
      <c r="AD3"/>
    </row>
    <row r="5" spans="1:30" ht="15.65" customHeight="1">
      <c r="A5" s="167" t="s">
        <v>114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8"/>
      <c r="P5" s="167"/>
      <c r="Q5" s="169"/>
      <c r="R5" s="169"/>
      <c r="S5" s="170"/>
      <c r="T5" s="169"/>
      <c r="U5" s="171"/>
      <c r="V5" s="172"/>
      <c r="W5" s="172"/>
      <c r="X5" s="169"/>
      <c r="Y5" s="169"/>
      <c r="Z5" s="173"/>
      <c r="AA5" s="8"/>
      <c r="AB5" s="8"/>
      <c r="AC5" s="15"/>
      <c r="AD5"/>
    </row>
    <row r="6" spans="1:30" ht="15.65" customHeight="1">
      <c r="A6" s="167"/>
      <c r="B6" s="167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8"/>
      <c r="P6" s="167"/>
      <c r="Q6" s="169"/>
      <c r="R6" s="169"/>
      <c r="S6" s="170"/>
      <c r="T6" s="169"/>
      <c r="U6" s="171"/>
      <c r="V6" s="172"/>
      <c r="W6" s="172"/>
      <c r="X6" s="169"/>
      <c r="Y6" s="169"/>
      <c r="Z6" s="173"/>
      <c r="AA6" s="8"/>
      <c r="AB6" s="8"/>
      <c r="AC6" s="15"/>
      <c r="AD6"/>
    </row>
    <row r="7" spans="1:30" ht="20.5">
      <c r="A7" s="8"/>
      <c r="B7" s="8"/>
      <c r="C7" s="8"/>
      <c r="D7" s="8"/>
      <c r="E7" s="8"/>
      <c r="F7" s="8"/>
      <c r="G7" s="55"/>
      <c r="H7" s="8"/>
      <c r="I7" s="9"/>
      <c r="J7" s="8"/>
      <c r="K7" s="167"/>
      <c r="L7" s="167"/>
      <c r="M7" s="167"/>
      <c r="N7" s="167"/>
      <c r="O7" s="168"/>
      <c r="P7" s="167"/>
      <c r="Q7" s="169"/>
      <c r="R7" s="56"/>
      <c r="S7" s="52"/>
      <c r="T7" s="10"/>
      <c r="U7" s="52"/>
      <c r="V7" s="53"/>
      <c r="W7" s="53"/>
      <c r="X7" s="10"/>
      <c r="Y7" s="10"/>
      <c r="Z7" s="54"/>
      <c r="AA7" s="8"/>
      <c r="AB7" s="8"/>
      <c r="AC7" s="15"/>
      <c r="AD7"/>
    </row>
    <row r="8" spans="1:30">
      <c r="A8" s="11" t="s">
        <v>2</v>
      </c>
      <c r="B8" s="11"/>
      <c r="C8" s="11"/>
      <c r="D8" s="11"/>
      <c r="E8" s="162" t="s">
        <v>3</v>
      </c>
      <c r="F8" s="162"/>
      <c r="G8" s="162"/>
      <c r="H8" s="162"/>
      <c r="I8" s="162"/>
      <c r="J8" s="162"/>
      <c r="K8" s="12"/>
      <c r="L8" s="13"/>
      <c r="M8" s="13"/>
      <c r="N8" s="14"/>
      <c r="O8" s="57"/>
      <c r="P8" s="15"/>
      <c r="Q8" s="58"/>
      <c r="R8" s="59"/>
      <c r="S8" s="50"/>
      <c r="T8" s="4"/>
      <c r="U8" s="50"/>
      <c r="V8" s="51"/>
      <c r="W8" s="51"/>
      <c r="X8" s="4"/>
      <c r="Y8" s="4"/>
      <c r="Z8"/>
      <c r="AA8"/>
      <c r="AB8"/>
      <c r="AC8" s="15"/>
      <c r="AD8"/>
    </row>
    <row r="9" spans="1:30" ht="15.65" customHeight="1">
      <c r="A9" s="176" t="s">
        <v>4</v>
      </c>
      <c r="B9" s="176"/>
      <c r="C9" s="176"/>
      <c r="D9" s="176"/>
      <c r="E9" s="177" t="s">
        <v>28</v>
      </c>
      <c r="F9" s="177"/>
      <c r="G9" s="177"/>
      <c r="H9" s="177"/>
      <c r="I9" s="177"/>
      <c r="J9" s="177"/>
      <c r="K9" s="177"/>
      <c r="L9" s="16"/>
      <c r="M9" s="16"/>
      <c r="N9" s="17"/>
      <c r="O9" s="60"/>
      <c r="P9" s="15"/>
      <c r="Q9" s="58"/>
      <c r="R9" s="59"/>
      <c r="S9" s="50"/>
      <c r="T9" s="4"/>
      <c r="U9" s="50"/>
      <c r="V9" s="51"/>
      <c r="W9" s="51"/>
      <c r="X9" s="4"/>
      <c r="Y9" s="4"/>
      <c r="Z9"/>
      <c r="AA9"/>
      <c r="AB9"/>
      <c r="AC9" s="15"/>
      <c r="AD9"/>
    </row>
    <row r="10" spans="1:30">
      <c r="A10" s="11" t="s">
        <v>5</v>
      </c>
      <c r="B10" s="11"/>
      <c r="C10" s="11"/>
      <c r="D10" s="11"/>
      <c r="E10" s="178" t="s">
        <v>6</v>
      </c>
      <c r="F10" s="162"/>
      <c r="G10" s="18"/>
      <c r="H10" s="18"/>
      <c r="I10" s="11"/>
      <c r="J10" s="19"/>
      <c r="K10" s="19"/>
      <c r="L10" s="20"/>
      <c r="M10" s="20"/>
      <c r="N10" s="21"/>
      <c r="O10" s="57"/>
      <c r="P10" s="15"/>
      <c r="Q10" s="58"/>
      <c r="R10" s="59"/>
      <c r="S10" s="50"/>
      <c r="T10" s="4"/>
      <c r="U10" s="50"/>
      <c r="V10" s="51"/>
      <c r="W10" s="51"/>
      <c r="X10" s="4"/>
      <c r="Y10" s="4"/>
      <c r="Z10"/>
      <c r="AA10"/>
      <c r="AB10"/>
      <c r="AC10" s="15"/>
      <c r="AD10"/>
    </row>
    <row r="11" spans="1:30">
      <c r="A11" s="22"/>
      <c r="B11" s="22"/>
      <c r="C11" s="22"/>
      <c r="D11" s="22"/>
      <c r="E11" s="22"/>
      <c r="F11" s="22"/>
      <c r="G11" s="61"/>
      <c r="H11" s="22"/>
      <c r="I11" s="23"/>
      <c r="J11" s="22"/>
      <c r="K11" s="22"/>
      <c r="L11" s="22"/>
      <c r="M11" s="22"/>
      <c r="N11" s="21"/>
      <c r="O11" s="57"/>
      <c r="P11" s="62"/>
      <c r="Q11" s="63"/>
      <c r="R11" s="64"/>
      <c r="S11" s="131"/>
      <c r="T11" s="65"/>
      <c r="U11" s="65"/>
      <c r="V11" s="65"/>
      <c r="W11" s="65"/>
      <c r="X11" s="65"/>
      <c r="Y11" s="65"/>
      <c r="Z11" s="66"/>
      <c r="AA11" s="22"/>
      <c r="AB11" s="22"/>
      <c r="AC11" s="42"/>
    </row>
    <row r="12" spans="1:30" ht="30" customHeight="1">
      <c r="A12" s="179" t="s">
        <v>7</v>
      </c>
      <c r="B12" s="48"/>
      <c r="C12" s="48"/>
      <c r="D12" s="179" t="s">
        <v>8</v>
      </c>
      <c r="E12" s="179" t="s">
        <v>9</v>
      </c>
      <c r="F12" s="179" t="s">
        <v>29</v>
      </c>
      <c r="G12" s="181" t="s">
        <v>30</v>
      </c>
      <c r="H12" s="179" t="s">
        <v>31</v>
      </c>
      <c r="I12" s="179" t="s">
        <v>10</v>
      </c>
      <c r="J12" s="179" t="s">
        <v>32</v>
      </c>
      <c r="K12" s="179" t="s">
        <v>33</v>
      </c>
      <c r="L12" s="179" t="s">
        <v>11</v>
      </c>
      <c r="M12" s="179" t="s">
        <v>12</v>
      </c>
      <c r="N12" s="179" t="s">
        <v>34</v>
      </c>
      <c r="O12" s="174" t="s">
        <v>13</v>
      </c>
      <c r="P12" s="179" t="s">
        <v>35</v>
      </c>
      <c r="Q12" s="192" t="s">
        <v>36</v>
      </c>
      <c r="R12" s="198" t="s">
        <v>37</v>
      </c>
      <c r="S12" s="196" t="s">
        <v>38</v>
      </c>
      <c r="T12" s="190" t="s">
        <v>39</v>
      </c>
      <c r="U12" s="196" t="s">
        <v>40</v>
      </c>
      <c r="V12" s="194" t="s">
        <v>14</v>
      </c>
      <c r="W12" s="194" t="s">
        <v>215</v>
      </c>
      <c r="X12" s="190" t="s">
        <v>15</v>
      </c>
      <c r="Y12" s="190" t="s">
        <v>16</v>
      </c>
      <c r="Z12" s="188" t="s">
        <v>17</v>
      </c>
      <c r="AA12" s="179"/>
      <c r="AB12" s="48"/>
      <c r="AC12" s="186" t="s">
        <v>18</v>
      </c>
    </row>
    <row r="13" spans="1:30" ht="51" customHeight="1">
      <c r="A13" s="180"/>
      <c r="B13" s="67"/>
      <c r="C13" s="67"/>
      <c r="D13" s="180"/>
      <c r="E13" s="180"/>
      <c r="F13" s="180"/>
      <c r="G13" s="182"/>
      <c r="H13" s="180"/>
      <c r="I13" s="180"/>
      <c r="J13" s="180"/>
      <c r="K13" s="180"/>
      <c r="L13" s="180"/>
      <c r="M13" s="180"/>
      <c r="N13" s="180"/>
      <c r="O13" s="175"/>
      <c r="P13" s="180"/>
      <c r="Q13" s="193"/>
      <c r="R13" s="199"/>
      <c r="S13" s="197"/>
      <c r="T13" s="191"/>
      <c r="U13" s="197"/>
      <c r="V13" s="195"/>
      <c r="W13" s="195"/>
      <c r="X13" s="191"/>
      <c r="Y13" s="191"/>
      <c r="Z13" s="189"/>
      <c r="AA13" s="180"/>
      <c r="AB13" s="67"/>
      <c r="AC13" s="187"/>
    </row>
    <row r="14" spans="1:30" s="77" customFormat="1" ht="56" customHeight="1">
      <c r="A14" s="132">
        <v>1</v>
      </c>
      <c r="B14" s="147"/>
      <c r="C14" s="132"/>
      <c r="D14" s="150" t="s">
        <v>115</v>
      </c>
      <c r="E14" s="154" t="s">
        <v>41</v>
      </c>
      <c r="F14" s="152">
        <v>46025</v>
      </c>
      <c r="G14" s="152">
        <v>46026</v>
      </c>
      <c r="H14" s="156">
        <v>107854119550</v>
      </c>
      <c r="I14" s="155" t="s">
        <v>116</v>
      </c>
      <c r="J14" s="155" t="s">
        <v>117</v>
      </c>
      <c r="K14" s="133" t="s">
        <v>101</v>
      </c>
      <c r="L14" s="155" t="s">
        <v>42</v>
      </c>
      <c r="M14" s="133" t="s">
        <v>43</v>
      </c>
      <c r="N14" s="141" t="s">
        <v>96</v>
      </c>
      <c r="O14" s="133">
        <v>16680.7</v>
      </c>
      <c r="P14" s="144">
        <v>1188000</v>
      </c>
      <c r="Q14" s="138">
        <v>800000</v>
      </c>
      <c r="R14" s="138">
        <v>400000</v>
      </c>
      <c r="S14" s="138">
        <v>600000</v>
      </c>
      <c r="T14" s="145">
        <v>8155000</v>
      </c>
      <c r="U14" s="138">
        <v>2050000</v>
      </c>
      <c r="V14" s="138"/>
      <c r="W14" s="138"/>
      <c r="X14" s="138">
        <f>SUM(P14:W14)</f>
        <v>13193000</v>
      </c>
      <c r="Y14" s="138">
        <v>0</v>
      </c>
      <c r="Z14" s="146">
        <f>X14+Y14</f>
        <v>13193000</v>
      </c>
      <c r="AA14" s="147"/>
      <c r="AB14" s="147"/>
      <c r="AC14" s="132"/>
    </row>
    <row r="15" spans="1:30" s="77" customFormat="1" ht="56" customHeight="1">
      <c r="A15" s="132">
        <v>2</v>
      </c>
      <c r="B15" s="147"/>
      <c r="C15" s="132"/>
      <c r="D15" s="150" t="s">
        <v>118</v>
      </c>
      <c r="E15" s="154" t="s">
        <v>41</v>
      </c>
      <c r="F15" s="152">
        <v>46028</v>
      </c>
      <c r="G15" s="152">
        <v>46029</v>
      </c>
      <c r="H15" s="157">
        <v>107864388550</v>
      </c>
      <c r="I15" s="155" t="s">
        <v>119</v>
      </c>
      <c r="J15" s="133" t="s">
        <v>45</v>
      </c>
      <c r="K15" s="133" t="s">
        <v>120</v>
      </c>
      <c r="L15" s="155" t="s">
        <v>42</v>
      </c>
      <c r="M15" s="133" t="s">
        <v>43</v>
      </c>
      <c r="N15" s="141" t="s">
        <v>179</v>
      </c>
      <c r="O15" s="183">
        <v>14161</v>
      </c>
      <c r="P15" s="144">
        <v>1674000</v>
      </c>
      <c r="Q15" s="138">
        <v>800000</v>
      </c>
      <c r="R15" s="138">
        <v>400000</v>
      </c>
      <c r="S15" s="138">
        <v>600000</v>
      </c>
      <c r="T15" s="145">
        <v>8155000</v>
      </c>
      <c r="U15" s="138">
        <v>2050000</v>
      </c>
      <c r="V15" s="138"/>
      <c r="W15" s="138"/>
      <c r="X15" s="138">
        <f t="shared" ref="X15:X45" si="0">SUM(P15:W15)</f>
        <v>13679000</v>
      </c>
      <c r="Y15" s="138">
        <v>0</v>
      </c>
      <c r="Z15" s="146">
        <f t="shared" ref="Z15:Z45" si="1">X15+Y15</f>
        <v>13679000</v>
      </c>
      <c r="AA15" s="147"/>
      <c r="AB15" s="147"/>
      <c r="AC15" s="132"/>
    </row>
    <row r="16" spans="1:30" s="77" customFormat="1" ht="56" customHeight="1">
      <c r="A16" s="132">
        <v>3</v>
      </c>
      <c r="B16" s="147"/>
      <c r="C16" s="132" t="s">
        <v>112</v>
      </c>
      <c r="D16" s="150" t="s">
        <v>121</v>
      </c>
      <c r="E16" s="154" t="s">
        <v>41</v>
      </c>
      <c r="F16" s="152">
        <v>46028</v>
      </c>
      <c r="G16" s="152">
        <v>46029</v>
      </c>
      <c r="H16" s="150">
        <v>107864388550</v>
      </c>
      <c r="I16" s="133" t="s">
        <v>119</v>
      </c>
      <c r="J16" s="133" t="s">
        <v>45</v>
      </c>
      <c r="K16" s="133" t="s">
        <v>109</v>
      </c>
      <c r="L16" s="155" t="s">
        <v>42</v>
      </c>
      <c r="M16" s="133" t="s">
        <v>43</v>
      </c>
      <c r="N16" s="141" t="s">
        <v>180</v>
      </c>
      <c r="O16" s="184"/>
      <c r="P16" s="144">
        <v>1026000.0000000001</v>
      </c>
      <c r="Q16" s="138">
        <v>800000</v>
      </c>
      <c r="R16" s="138">
        <v>400000</v>
      </c>
      <c r="S16" s="138"/>
      <c r="T16" s="145">
        <v>8155000</v>
      </c>
      <c r="U16" s="138">
        <v>2050000</v>
      </c>
      <c r="V16" s="138"/>
      <c r="W16" s="138"/>
      <c r="X16" s="138">
        <f t="shared" si="0"/>
        <v>12431000</v>
      </c>
      <c r="Y16" s="138">
        <v>0</v>
      </c>
      <c r="Z16" s="146">
        <f t="shared" si="1"/>
        <v>12431000</v>
      </c>
      <c r="AA16" s="147"/>
      <c r="AB16" s="147"/>
      <c r="AC16" s="132"/>
    </row>
    <row r="17" spans="1:29" s="77" customFormat="1" ht="56" customHeight="1">
      <c r="A17" s="132">
        <v>4</v>
      </c>
      <c r="B17" s="147"/>
      <c r="C17" s="132"/>
      <c r="D17" s="150" t="s">
        <v>122</v>
      </c>
      <c r="E17" s="154" t="s">
        <v>41</v>
      </c>
      <c r="F17" s="152">
        <v>46028</v>
      </c>
      <c r="G17" s="152">
        <v>46029</v>
      </c>
      <c r="H17" s="157">
        <v>107865216760</v>
      </c>
      <c r="I17" s="155" t="s">
        <v>123</v>
      </c>
      <c r="J17" s="133" t="s">
        <v>124</v>
      </c>
      <c r="K17" s="133" t="s">
        <v>125</v>
      </c>
      <c r="L17" s="155" t="s">
        <v>42</v>
      </c>
      <c r="M17" s="133" t="s">
        <v>43</v>
      </c>
      <c r="N17" s="141" t="s">
        <v>95</v>
      </c>
      <c r="O17" s="133">
        <v>13220.9</v>
      </c>
      <c r="P17" s="144">
        <v>1134000</v>
      </c>
      <c r="Q17" s="138">
        <v>800000</v>
      </c>
      <c r="R17" s="138">
        <v>400000</v>
      </c>
      <c r="S17" s="138">
        <v>600000</v>
      </c>
      <c r="T17" s="145">
        <v>8155000</v>
      </c>
      <c r="U17" s="138">
        <v>2050000</v>
      </c>
      <c r="V17" s="138"/>
      <c r="W17" s="138"/>
      <c r="X17" s="138">
        <f t="shared" si="0"/>
        <v>13139000</v>
      </c>
      <c r="Y17" s="138">
        <v>0</v>
      </c>
      <c r="Z17" s="146">
        <f t="shared" si="1"/>
        <v>13139000</v>
      </c>
      <c r="AA17" s="147"/>
      <c r="AB17" s="147"/>
      <c r="AC17" s="132"/>
    </row>
    <row r="18" spans="1:29" s="379" customFormat="1" ht="56" customHeight="1">
      <c r="A18" s="132">
        <v>5</v>
      </c>
      <c r="B18" s="370"/>
      <c r="C18" s="369"/>
      <c r="D18" s="371" t="s">
        <v>126</v>
      </c>
      <c r="E18" s="372" t="s">
        <v>41</v>
      </c>
      <c r="F18" s="373">
        <v>46031</v>
      </c>
      <c r="G18" s="373">
        <v>46032</v>
      </c>
      <c r="H18" s="374">
        <v>107875517740</v>
      </c>
      <c r="I18" s="375" t="s">
        <v>127</v>
      </c>
      <c r="J18" s="376" t="s">
        <v>128</v>
      </c>
      <c r="K18" s="376" t="s">
        <v>129</v>
      </c>
      <c r="L18" s="375" t="s">
        <v>42</v>
      </c>
      <c r="M18" s="376" t="s">
        <v>110</v>
      </c>
      <c r="N18" s="377" t="s">
        <v>100</v>
      </c>
      <c r="O18" s="376">
        <v>5281</v>
      </c>
      <c r="P18" s="144">
        <v>648000</v>
      </c>
      <c r="Q18" s="138">
        <v>500000</v>
      </c>
      <c r="R18" s="138">
        <v>250000</v>
      </c>
      <c r="S18" s="138">
        <v>600000</v>
      </c>
      <c r="T18" s="145">
        <v>6175000</v>
      </c>
      <c r="U18" s="138">
        <v>2050000</v>
      </c>
      <c r="V18" s="138"/>
      <c r="W18" s="138"/>
      <c r="X18" s="138">
        <f t="shared" si="0"/>
        <v>10223000</v>
      </c>
      <c r="Y18" s="138">
        <v>0</v>
      </c>
      <c r="Z18" s="378">
        <f t="shared" si="1"/>
        <v>10223000</v>
      </c>
      <c r="AA18" s="370"/>
      <c r="AB18" s="370"/>
      <c r="AC18" s="369"/>
    </row>
    <row r="19" spans="1:29" s="77" customFormat="1" ht="56" customHeight="1">
      <c r="A19" s="132">
        <v>6</v>
      </c>
      <c r="B19" s="147"/>
      <c r="C19" s="132"/>
      <c r="D19" s="150" t="s">
        <v>130</v>
      </c>
      <c r="E19" s="154" t="s">
        <v>41</v>
      </c>
      <c r="F19" s="152">
        <v>46034</v>
      </c>
      <c r="G19" s="152">
        <v>46035</v>
      </c>
      <c r="H19" s="150">
        <v>107884291060</v>
      </c>
      <c r="I19" s="133" t="s">
        <v>131</v>
      </c>
      <c r="J19" s="133" t="s">
        <v>132</v>
      </c>
      <c r="K19" s="133" t="s">
        <v>125</v>
      </c>
      <c r="L19" s="155" t="s">
        <v>42</v>
      </c>
      <c r="M19" s="133" t="s">
        <v>43</v>
      </c>
      <c r="N19" s="141" t="s">
        <v>95</v>
      </c>
      <c r="O19" s="133">
        <v>13305.2</v>
      </c>
      <c r="P19" s="144">
        <v>1134000</v>
      </c>
      <c r="Q19" s="138">
        <v>800000</v>
      </c>
      <c r="R19" s="138">
        <v>400000</v>
      </c>
      <c r="S19" s="138">
        <v>600000</v>
      </c>
      <c r="T19" s="145">
        <v>8155000</v>
      </c>
      <c r="U19" s="138">
        <v>2050000</v>
      </c>
      <c r="V19" s="138"/>
      <c r="W19" s="138"/>
      <c r="X19" s="138">
        <f t="shared" si="0"/>
        <v>13139000</v>
      </c>
      <c r="Y19" s="138">
        <v>0</v>
      </c>
      <c r="Z19" s="146">
        <f t="shared" si="1"/>
        <v>13139000</v>
      </c>
      <c r="AA19" s="147"/>
      <c r="AB19" s="147"/>
      <c r="AC19" s="132"/>
    </row>
    <row r="20" spans="1:29" s="77" customFormat="1" ht="56" customHeight="1">
      <c r="A20" s="132">
        <v>7</v>
      </c>
      <c r="B20" s="147"/>
      <c r="C20" s="132"/>
      <c r="D20" s="150" t="s">
        <v>133</v>
      </c>
      <c r="E20" s="151" t="s">
        <v>41</v>
      </c>
      <c r="F20" s="152">
        <v>46035</v>
      </c>
      <c r="G20" s="152">
        <v>46036</v>
      </c>
      <c r="H20" s="150">
        <v>107884877330</v>
      </c>
      <c r="I20" s="133" t="s">
        <v>134</v>
      </c>
      <c r="J20" s="133" t="s">
        <v>135</v>
      </c>
      <c r="K20" s="133" t="s">
        <v>136</v>
      </c>
      <c r="L20" s="135" t="s">
        <v>93</v>
      </c>
      <c r="M20" s="136" t="s">
        <v>44</v>
      </c>
      <c r="N20" s="141" t="s">
        <v>181</v>
      </c>
      <c r="O20" s="133">
        <v>3800</v>
      </c>
      <c r="P20" s="137">
        <v>378000</v>
      </c>
      <c r="Q20" s="138">
        <v>300000</v>
      </c>
      <c r="R20" s="138">
        <v>150000</v>
      </c>
      <c r="S20" s="138">
        <v>600000</v>
      </c>
      <c r="T20" s="139">
        <v>5770000</v>
      </c>
      <c r="U20" s="138">
        <v>3100000</v>
      </c>
      <c r="V20" s="140"/>
      <c r="W20" s="140"/>
      <c r="X20" s="138">
        <f t="shared" si="0"/>
        <v>10298000</v>
      </c>
      <c r="Y20" s="140">
        <v>0</v>
      </c>
      <c r="Z20" s="146">
        <f t="shared" si="1"/>
        <v>10298000</v>
      </c>
      <c r="AA20" s="147"/>
      <c r="AB20" s="147"/>
      <c r="AC20" s="132"/>
    </row>
    <row r="21" spans="1:29" s="77" customFormat="1" ht="56" customHeight="1">
      <c r="A21" s="132">
        <v>8</v>
      </c>
      <c r="B21" s="147"/>
      <c r="C21" s="132"/>
      <c r="D21" s="150" t="s">
        <v>137</v>
      </c>
      <c r="E21" s="154" t="s">
        <v>41</v>
      </c>
      <c r="F21" s="152">
        <v>46036</v>
      </c>
      <c r="G21" s="152">
        <v>46037</v>
      </c>
      <c r="H21" s="157">
        <v>107889464060</v>
      </c>
      <c r="I21" s="155" t="s">
        <v>138</v>
      </c>
      <c r="J21" s="133" t="s">
        <v>97</v>
      </c>
      <c r="K21" s="133" t="s">
        <v>139</v>
      </c>
      <c r="L21" s="155" t="s">
        <v>42</v>
      </c>
      <c r="M21" s="133" t="s">
        <v>43</v>
      </c>
      <c r="N21" s="141" t="s">
        <v>182</v>
      </c>
      <c r="O21" s="183">
        <v>12383</v>
      </c>
      <c r="P21" s="144">
        <v>1458000</v>
      </c>
      <c r="Q21" s="138">
        <v>800000</v>
      </c>
      <c r="R21" s="138">
        <v>400000</v>
      </c>
      <c r="S21" s="138">
        <v>600000</v>
      </c>
      <c r="T21" s="145">
        <v>8155000</v>
      </c>
      <c r="U21" s="138">
        <v>2050000</v>
      </c>
      <c r="V21" s="138"/>
      <c r="W21" s="138"/>
      <c r="X21" s="138">
        <f t="shared" si="0"/>
        <v>13463000</v>
      </c>
      <c r="Y21" s="138">
        <v>0</v>
      </c>
      <c r="Z21" s="146">
        <f t="shared" si="1"/>
        <v>13463000</v>
      </c>
      <c r="AA21" s="147"/>
      <c r="AB21" s="147"/>
      <c r="AC21" s="132"/>
    </row>
    <row r="22" spans="1:29" s="77" customFormat="1" ht="56" customHeight="1">
      <c r="A22" s="132">
        <v>9</v>
      </c>
      <c r="B22" s="147"/>
      <c r="C22" s="132" t="s">
        <v>112</v>
      </c>
      <c r="D22" s="150" t="s">
        <v>140</v>
      </c>
      <c r="E22" s="151" t="s">
        <v>41</v>
      </c>
      <c r="F22" s="152">
        <v>46036</v>
      </c>
      <c r="G22" s="152">
        <v>46037</v>
      </c>
      <c r="H22" s="150">
        <v>107889464060</v>
      </c>
      <c r="I22" s="133" t="s">
        <v>138</v>
      </c>
      <c r="J22" s="133" t="s">
        <v>97</v>
      </c>
      <c r="K22" s="133" t="s">
        <v>102</v>
      </c>
      <c r="L22" s="135" t="s">
        <v>42</v>
      </c>
      <c r="M22" s="136" t="s">
        <v>44</v>
      </c>
      <c r="N22" s="141" t="s">
        <v>183</v>
      </c>
      <c r="O22" s="184"/>
      <c r="P22" s="137">
        <v>594000</v>
      </c>
      <c r="Q22" s="138">
        <v>300000</v>
      </c>
      <c r="R22" s="138">
        <v>150000</v>
      </c>
      <c r="S22" s="138"/>
      <c r="T22" s="139">
        <v>5275000</v>
      </c>
      <c r="U22" s="138">
        <v>2050000</v>
      </c>
      <c r="V22" s="140"/>
      <c r="W22" s="140"/>
      <c r="X22" s="138">
        <f t="shared" si="0"/>
        <v>8369000</v>
      </c>
      <c r="Y22" s="140">
        <v>0</v>
      </c>
      <c r="Z22" s="146">
        <f t="shared" si="1"/>
        <v>8369000</v>
      </c>
      <c r="AA22" s="147"/>
      <c r="AB22" s="147"/>
      <c r="AC22" s="132"/>
    </row>
    <row r="23" spans="1:29" s="77" customFormat="1" ht="56" customHeight="1">
      <c r="A23" s="132">
        <v>10</v>
      </c>
      <c r="B23" s="147"/>
      <c r="C23" s="132"/>
      <c r="D23" s="150" t="s">
        <v>141</v>
      </c>
      <c r="E23" s="154" t="s">
        <v>41</v>
      </c>
      <c r="F23" s="152">
        <v>46037</v>
      </c>
      <c r="G23" s="152">
        <v>46039</v>
      </c>
      <c r="H23" s="150">
        <v>107886040730</v>
      </c>
      <c r="I23" s="133" t="s">
        <v>196</v>
      </c>
      <c r="J23" s="133" t="s">
        <v>142</v>
      </c>
      <c r="K23" s="133" t="s">
        <v>143</v>
      </c>
      <c r="L23" s="155" t="s">
        <v>42</v>
      </c>
      <c r="M23" s="133" t="s">
        <v>43</v>
      </c>
      <c r="N23" s="141" t="s">
        <v>106</v>
      </c>
      <c r="O23" s="133">
        <v>4222.3999999999996</v>
      </c>
      <c r="P23" s="144">
        <v>972000.00000000012</v>
      </c>
      <c r="Q23" s="138">
        <v>800000</v>
      </c>
      <c r="R23" s="138">
        <v>400000</v>
      </c>
      <c r="S23" s="138">
        <v>600000</v>
      </c>
      <c r="T23" s="145">
        <v>8155000</v>
      </c>
      <c r="U23" s="138">
        <v>2050000</v>
      </c>
      <c r="V23" s="138"/>
      <c r="W23" s="138">
        <v>1200000</v>
      </c>
      <c r="X23" s="138">
        <f t="shared" si="0"/>
        <v>14177000</v>
      </c>
      <c r="Y23" s="138">
        <v>0</v>
      </c>
      <c r="Z23" s="146">
        <f t="shared" si="1"/>
        <v>14177000</v>
      </c>
      <c r="AA23" s="147"/>
      <c r="AB23" s="147"/>
      <c r="AC23" s="132" t="s">
        <v>216</v>
      </c>
    </row>
    <row r="24" spans="1:29" s="77" customFormat="1" ht="56" customHeight="1">
      <c r="A24" s="132">
        <v>11</v>
      </c>
      <c r="B24" s="147"/>
      <c r="C24" s="132" t="s">
        <v>113</v>
      </c>
      <c r="D24" s="150" t="s">
        <v>141</v>
      </c>
      <c r="E24" s="151" t="s">
        <v>41</v>
      </c>
      <c r="F24" s="152">
        <v>46037</v>
      </c>
      <c r="G24" s="152">
        <v>46039</v>
      </c>
      <c r="H24" s="150">
        <v>107885889640</v>
      </c>
      <c r="I24" s="133" t="s">
        <v>197</v>
      </c>
      <c r="J24" s="133" t="s">
        <v>142</v>
      </c>
      <c r="K24" s="133" t="s">
        <v>143</v>
      </c>
      <c r="L24" s="135" t="s">
        <v>42</v>
      </c>
      <c r="M24" s="136" t="s">
        <v>43</v>
      </c>
      <c r="N24" s="141" t="s">
        <v>104</v>
      </c>
      <c r="O24" s="133">
        <v>12779.8</v>
      </c>
      <c r="P24" s="137"/>
      <c r="Q24" s="138"/>
      <c r="R24" s="138"/>
      <c r="S24" s="138">
        <v>600000</v>
      </c>
      <c r="T24" s="139"/>
      <c r="U24" s="138"/>
      <c r="V24" s="140"/>
      <c r="W24" s="140"/>
      <c r="X24" s="138">
        <f t="shared" si="0"/>
        <v>600000</v>
      </c>
      <c r="Y24" s="140"/>
      <c r="Z24" s="146">
        <f t="shared" si="1"/>
        <v>600000</v>
      </c>
      <c r="AA24" s="147"/>
      <c r="AB24" s="147"/>
      <c r="AC24" s="132"/>
    </row>
    <row r="25" spans="1:29" s="77" customFormat="1" ht="56" customHeight="1">
      <c r="A25" s="132">
        <v>12</v>
      </c>
      <c r="B25" s="147"/>
      <c r="C25" s="132"/>
      <c r="D25" s="150" t="s">
        <v>144</v>
      </c>
      <c r="E25" s="151" t="s">
        <v>41</v>
      </c>
      <c r="F25" s="152">
        <v>46037</v>
      </c>
      <c r="G25" s="152">
        <v>46038</v>
      </c>
      <c r="H25" s="150">
        <v>107889470140</v>
      </c>
      <c r="I25" s="133" t="s">
        <v>145</v>
      </c>
      <c r="J25" s="133" t="s">
        <v>146</v>
      </c>
      <c r="K25" s="133" t="s">
        <v>147</v>
      </c>
      <c r="L25" s="135" t="s">
        <v>42</v>
      </c>
      <c r="M25" s="136" t="s">
        <v>91</v>
      </c>
      <c r="N25" s="141" t="s">
        <v>185</v>
      </c>
      <c r="O25" s="183">
        <v>14620</v>
      </c>
      <c r="P25" s="137">
        <v>972000.00000000012</v>
      </c>
      <c r="Q25" s="138">
        <v>800000</v>
      </c>
      <c r="R25" s="138">
        <v>400000</v>
      </c>
      <c r="S25" s="138">
        <v>600000</v>
      </c>
      <c r="T25" s="139">
        <v>12950000</v>
      </c>
      <c r="U25" s="138">
        <v>2050000</v>
      </c>
      <c r="V25" s="140">
        <f>13*150000</f>
        <v>1950000</v>
      </c>
      <c r="W25" s="140"/>
      <c r="X25" s="138">
        <f t="shared" si="0"/>
        <v>19722000</v>
      </c>
      <c r="Y25" s="140">
        <v>0</v>
      </c>
      <c r="Z25" s="146">
        <f t="shared" si="1"/>
        <v>19722000</v>
      </c>
      <c r="AA25" s="147"/>
      <c r="AB25" s="147"/>
      <c r="AC25" s="158" t="s">
        <v>218</v>
      </c>
    </row>
    <row r="26" spans="1:29" s="77" customFormat="1" ht="56" customHeight="1">
      <c r="A26" s="132">
        <v>13</v>
      </c>
      <c r="B26" s="147"/>
      <c r="C26" s="132" t="s">
        <v>112</v>
      </c>
      <c r="D26" s="150" t="s">
        <v>148</v>
      </c>
      <c r="E26" s="151" t="s">
        <v>41</v>
      </c>
      <c r="F26" s="152">
        <v>46037</v>
      </c>
      <c r="G26" s="152">
        <v>46038</v>
      </c>
      <c r="H26" s="150">
        <v>107889470140</v>
      </c>
      <c r="I26" s="133" t="s">
        <v>145</v>
      </c>
      <c r="J26" s="133" t="s">
        <v>146</v>
      </c>
      <c r="K26" s="133" t="s">
        <v>149</v>
      </c>
      <c r="L26" s="135" t="s">
        <v>42</v>
      </c>
      <c r="M26" s="136" t="s">
        <v>198</v>
      </c>
      <c r="N26" s="141" t="s">
        <v>186</v>
      </c>
      <c r="O26" s="184"/>
      <c r="P26" s="137">
        <v>324000</v>
      </c>
      <c r="Q26" s="138">
        <v>200000</v>
      </c>
      <c r="R26" s="138">
        <v>100000</v>
      </c>
      <c r="S26" s="138"/>
      <c r="T26" s="139">
        <v>6780000</v>
      </c>
      <c r="U26" s="138">
        <v>2050000</v>
      </c>
      <c r="V26" s="140">
        <f>18*150000</f>
        <v>2700000</v>
      </c>
      <c r="W26" s="140"/>
      <c r="X26" s="138">
        <f t="shared" si="0"/>
        <v>12154000</v>
      </c>
      <c r="Y26" s="140"/>
      <c r="Z26" s="146">
        <f t="shared" si="1"/>
        <v>12154000</v>
      </c>
      <c r="AA26" s="147"/>
      <c r="AB26" s="147"/>
      <c r="AC26" s="158" t="s">
        <v>223</v>
      </c>
    </row>
    <row r="27" spans="1:29" s="77" customFormat="1" ht="56" customHeight="1">
      <c r="A27" s="132">
        <v>14</v>
      </c>
      <c r="B27" s="147"/>
      <c r="C27" s="132"/>
      <c r="D27" s="150" t="s">
        <v>150</v>
      </c>
      <c r="E27" s="154" t="s">
        <v>41</v>
      </c>
      <c r="F27" s="152">
        <v>46039</v>
      </c>
      <c r="G27" s="152">
        <v>46040</v>
      </c>
      <c r="H27" s="150">
        <v>107895876320</v>
      </c>
      <c r="I27" s="133" t="s">
        <v>151</v>
      </c>
      <c r="J27" s="133" t="s">
        <v>98</v>
      </c>
      <c r="K27" s="133" t="s">
        <v>152</v>
      </c>
      <c r="L27" s="155" t="s">
        <v>42</v>
      </c>
      <c r="M27" s="133" t="s">
        <v>43</v>
      </c>
      <c r="N27" s="141" t="s">
        <v>187</v>
      </c>
      <c r="O27" s="183">
        <v>8281</v>
      </c>
      <c r="P27" s="144">
        <v>1188000</v>
      </c>
      <c r="Q27" s="138">
        <v>800000</v>
      </c>
      <c r="R27" s="138">
        <v>400000</v>
      </c>
      <c r="S27" s="138">
        <v>600000</v>
      </c>
      <c r="T27" s="145">
        <v>8155000</v>
      </c>
      <c r="U27" s="138">
        <v>2050000</v>
      </c>
      <c r="V27" s="138"/>
      <c r="W27" s="138"/>
      <c r="X27" s="138">
        <f t="shared" si="0"/>
        <v>13193000</v>
      </c>
      <c r="Y27" s="138">
        <v>0</v>
      </c>
      <c r="Z27" s="146">
        <f t="shared" si="1"/>
        <v>13193000</v>
      </c>
      <c r="AA27" s="147"/>
      <c r="AB27" s="147"/>
      <c r="AC27" s="132"/>
    </row>
    <row r="28" spans="1:29" s="77" customFormat="1" ht="56" customHeight="1">
      <c r="A28" s="132">
        <v>15</v>
      </c>
      <c r="B28" s="147"/>
      <c r="C28" s="132" t="s">
        <v>112</v>
      </c>
      <c r="D28" s="150" t="s">
        <v>153</v>
      </c>
      <c r="E28" s="151" t="s">
        <v>41</v>
      </c>
      <c r="F28" s="152">
        <v>46039</v>
      </c>
      <c r="G28" s="152">
        <v>46040</v>
      </c>
      <c r="H28" s="150">
        <v>107895876320</v>
      </c>
      <c r="I28" s="133" t="s">
        <v>151</v>
      </c>
      <c r="J28" s="133" t="s">
        <v>98</v>
      </c>
      <c r="K28" s="133" t="s">
        <v>154</v>
      </c>
      <c r="L28" s="135" t="s">
        <v>42</v>
      </c>
      <c r="M28" s="136" t="s">
        <v>92</v>
      </c>
      <c r="N28" s="141" t="s">
        <v>188</v>
      </c>
      <c r="O28" s="184"/>
      <c r="P28" s="137">
        <v>324000</v>
      </c>
      <c r="Q28" s="138">
        <v>150000</v>
      </c>
      <c r="R28" s="138">
        <v>100000</v>
      </c>
      <c r="S28" s="138"/>
      <c r="T28" s="139">
        <v>2985000</v>
      </c>
      <c r="U28" s="138">
        <v>2050000</v>
      </c>
      <c r="V28" s="140">
        <v>2985000</v>
      </c>
      <c r="W28" s="140"/>
      <c r="X28" s="138">
        <f t="shared" si="0"/>
        <v>8594000</v>
      </c>
      <c r="Y28" s="140"/>
      <c r="Z28" s="146">
        <f t="shared" si="1"/>
        <v>8594000</v>
      </c>
      <c r="AA28" s="147"/>
      <c r="AB28" s="147"/>
      <c r="AC28" s="132"/>
    </row>
    <row r="29" spans="1:29" s="77" customFormat="1" ht="56" customHeight="1">
      <c r="A29" s="132">
        <v>16</v>
      </c>
      <c r="B29" s="147"/>
      <c r="C29" s="132"/>
      <c r="D29" s="150" t="s">
        <v>155</v>
      </c>
      <c r="E29" s="154" t="s">
        <v>41</v>
      </c>
      <c r="F29" s="152">
        <v>46040</v>
      </c>
      <c r="G29" s="152">
        <v>46041</v>
      </c>
      <c r="H29" s="150">
        <v>107900383140</v>
      </c>
      <c r="I29" s="133" t="s">
        <v>199</v>
      </c>
      <c r="J29" s="133" t="s">
        <v>156</v>
      </c>
      <c r="K29" s="142" t="s">
        <v>157</v>
      </c>
      <c r="L29" s="155" t="s">
        <v>42</v>
      </c>
      <c r="M29" s="133" t="s">
        <v>43</v>
      </c>
      <c r="N29" s="141" t="s">
        <v>194</v>
      </c>
      <c r="O29" s="133">
        <v>9770.9</v>
      </c>
      <c r="P29" s="144">
        <v>1188000</v>
      </c>
      <c r="Q29" s="138">
        <v>800000</v>
      </c>
      <c r="R29" s="138">
        <v>400000</v>
      </c>
      <c r="S29" s="138">
        <v>600000</v>
      </c>
      <c r="T29" s="145">
        <v>8155000</v>
      </c>
      <c r="U29" s="138">
        <v>2050000</v>
      </c>
      <c r="V29" s="138"/>
      <c r="W29" s="138"/>
      <c r="X29" s="138">
        <f t="shared" si="0"/>
        <v>13193000</v>
      </c>
      <c r="Y29" s="138">
        <v>0</v>
      </c>
      <c r="Z29" s="146">
        <f t="shared" si="1"/>
        <v>13193000</v>
      </c>
      <c r="AA29" s="147"/>
      <c r="AB29" s="147"/>
      <c r="AC29" s="132"/>
    </row>
    <row r="30" spans="1:29" s="77" customFormat="1" ht="56" customHeight="1">
      <c r="A30" s="132">
        <v>17</v>
      </c>
      <c r="B30" s="147"/>
      <c r="C30" s="132" t="s">
        <v>113</v>
      </c>
      <c r="D30" s="150" t="s">
        <v>155</v>
      </c>
      <c r="E30" s="151" t="s">
        <v>41</v>
      </c>
      <c r="F30" s="152">
        <v>46040</v>
      </c>
      <c r="G30" s="152">
        <v>46041</v>
      </c>
      <c r="H30" s="150">
        <v>107899615350</v>
      </c>
      <c r="I30" s="133" t="s">
        <v>200</v>
      </c>
      <c r="J30" s="133" t="s">
        <v>156</v>
      </c>
      <c r="K30" s="142" t="s">
        <v>157</v>
      </c>
      <c r="L30" s="135" t="s">
        <v>42</v>
      </c>
      <c r="M30" s="136" t="s">
        <v>43</v>
      </c>
      <c r="N30" s="141" t="s">
        <v>191</v>
      </c>
      <c r="O30" s="133">
        <v>3574.7</v>
      </c>
      <c r="P30" s="137"/>
      <c r="Q30" s="138"/>
      <c r="R30" s="138"/>
      <c r="S30" s="138">
        <v>600000</v>
      </c>
      <c r="T30" s="139"/>
      <c r="U30" s="138"/>
      <c r="V30" s="140"/>
      <c r="W30" s="140"/>
      <c r="X30" s="138">
        <f t="shared" si="0"/>
        <v>600000</v>
      </c>
      <c r="Y30" s="140"/>
      <c r="Z30" s="146">
        <f t="shared" si="1"/>
        <v>600000</v>
      </c>
      <c r="AA30" s="147"/>
      <c r="AB30" s="147"/>
      <c r="AC30" s="132"/>
    </row>
    <row r="31" spans="1:29" s="77" customFormat="1" ht="56" customHeight="1">
      <c r="A31" s="132">
        <v>18</v>
      </c>
      <c r="B31" s="147"/>
      <c r="C31" s="132"/>
      <c r="D31" s="150" t="s">
        <v>158</v>
      </c>
      <c r="E31" s="151" t="s">
        <v>41</v>
      </c>
      <c r="F31" s="152">
        <v>46041</v>
      </c>
      <c r="G31" s="152">
        <v>46042</v>
      </c>
      <c r="H31" s="150">
        <v>107903190840</v>
      </c>
      <c r="I31" s="133" t="s">
        <v>159</v>
      </c>
      <c r="J31" s="133" t="s">
        <v>105</v>
      </c>
      <c r="K31" s="143" t="s">
        <v>102</v>
      </c>
      <c r="L31" s="135" t="s">
        <v>93</v>
      </c>
      <c r="M31" s="136" t="s">
        <v>44</v>
      </c>
      <c r="N31" s="141" t="s">
        <v>189</v>
      </c>
      <c r="O31" s="133">
        <v>3600</v>
      </c>
      <c r="P31" s="137">
        <v>324000</v>
      </c>
      <c r="Q31" s="138">
        <v>300000</v>
      </c>
      <c r="R31" s="138">
        <v>150000</v>
      </c>
      <c r="S31" s="138">
        <v>600000</v>
      </c>
      <c r="T31" s="139">
        <v>5770000</v>
      </c>
      <c r="U31" s="138">
        <v>3100000</v>
      </c>
      <c r="V31" s="140"/>
      <c r="W31" s="140"/>
      <c r="X31" s="138">
        <f t="shared" si="0"/>
        <v>10244000</v>
      </c>
      <c r="Y31" s="140">
        <v>0</v>
      </c>
      <c r="Z31" s="146">
        <f t="shared" si="1"/>
        <v>10244000</v>
      </c>
      <c r="AA31" s="147"/>
      <c r="AB31" s="147"/>
      <c r="AC31" s="132"/>
    </row>
    <row r="32" spans="1:29" s="77" customFormat="1" ht="56" customHeight="1">
      <c r="A32" s="132">
        <v>19</v>
      </c>
      <c r="B32" s="147"/>
      <c r="C32" s="132"/>
      <c r="D32" s="150" t="s">
        <v>160</v>
      </c>
      <c r="E32" s="151" t="s">
        <v>41</v>
      </c>
      <c r="F32" s="152">
        <v>46042</v>
      </c>
      <c r="G32" s="152">
        <v>46043</v>
      </c>
      <c r="H32" s="150">
        <v>107905807330</v>
      </c>
      <c r="I32" s="133" t="s">
        <v>161</v>
      </c>
      <c r="J32" s="133" t="s">
        <v>162</v>
      </c>
      <c r="K32" s="143" t="s">
        <v>103</v>
      </c>
      <c r="L32" s="135" t="s">
        <v>42</v>
      </c>
      <c r="M32" s="136" t="s">
        <v>108</v>
      </c>
      <c r="N32" s="141" t="s">
        <v>190</v>
      </c>
      <c r="O32" s="133">
        <v>5701</v>
      </c>
      <c r="P32" s="137">
        <v>810000</v>
      </c>
      <c r="Q32" s="138">
        <v>500000</v>
      </c>
      <c r="R32" s="138">
        <v>250000</v>
      </c>
      <c r="S32" s="138">
        <v>600000</v>
      </c>
      <c r="T32" s="139">
        <v>9270000</v>
      </c>
      <c r="U32" s="138">
        <v>2050000</v>
      </c>
      <c r="V32" s="140">
        <f>17*150000</f>
        <v>2550000</v>
      </c>
      <c r="W32" s="140"/>
      <c r="X32" s="138">
        <f t="shared" si="0"/>
        <v>16030000</v>
      </c>
      <c r="Y32" s="140"/>
      <c r="Z32" s="146">
        <f t="shared" si="1"/>
        <v>16030000</v>
      </c>
      <c r="AA32" s="147"/>
      <c r="AB32" s="147"/>
      <c r="AC32" s="132" t="s">
        <v>221</v>
      </c>
    </row>
    <row r="33" spans="1:29" s="77" customFormat="1" ht="56" customHeight="1">
      <c r="A33" s="132">
        <v>20</v>
      </c>
      <c r="B33" s="147"/>
      <c r="C33" s="132"/>
      <c r="D33" s="150" t="s">
        <v>163</v>
      </c>
      <c r="E33" s="154" t="s">
        <v>41</v>
      </c>
      <c r="F33" s="152">
        <v>46043</v>
      </c>
      <c r="G33" s="152">
        <v>46044</v>
      </c>
      <c r="H33" s="150">
        <v>107909040850</v>
      </c>
      <c r="I33" s="133" t="s">
        <v>201</v>
      </c>
      <c r="J33" s="133" t="s">
        <v>164</v>
      </c>
      <c r="K33" s="143" t="s">
        <v>90</v>
      </c>
      <c r="L33" s="155" t="s">
        <v>42</v>
      </c>
      <c r="M33" s="133" t="s">
        <v>43</v>
      </c>
      <c r="N33" s="141" t="s">
        <v>189</v>
      </c>
      <c r="O33" s="153">
        <v>3602.3</v>
      </c>
      <c r="P33" s="144">
        <v>1188000</v>
      </c>
      <c r="Q33" s="138">
        <v>800000</v>
      </c>
      <c r="R33" s="138">
        <v>400000</v>
      </c>
      <c r="S33" s="138">
        <v>600000</v>
      </c>
      <c r="T33" s="145">
        <v>8155000</v>
      </c>
      <c r="U33" s="138">
        <v>2050000</v>
      </c>
      <c r="V33" s="138"/>
      <c r="W33" s="138"/>
      <c r="X33" s="138">
        <f t="shared" si="0"/>
        <v>13193000</v>
      </c>
      <c r="Y33" s="138">
        <v>0</v>
      </c>
      <c r="Z33" s="146">
        <f t="shared" si="1"/>
        <v>13193000</v>
      </c>
      <c r="AA33" s="147"/>
      <c r="AB33" s="147"/>
      <c r="AC33" s="132"/>
    </row>
    <row r="34" spans="1:29" s="77" customFormat="1" ht="56" customHeight="1">
      <c r="A34" s="132">
        <v>21</v>
      </c>
      <c r="B34" s="147"/>
      <c r="C34" s="132" t="s">
        <v>113</v>
      </c>
      <c r="D34" s="150" t="s">
        <v>163</v>
      </c>
      <c r="E34" s="151" t="s">
        <v>41</v>
      </c>
      <c r="F34" s="152">
        <v>46043</v>
      </c>
      <c r="G34" s="152">
        <v>46044</v>
      </c>
      <c r="H34" s="150" t="s">
        <v>203</v>
      </c>
      <c r="I34" s="133" t="s">
        <v>202</v>
      </c>
      <c r="J34" s="133" t="s">
        <v>164</v>
      </c>
      <c r="K34" s="143" t="s">
        <v>90</v>
      </c>
      <c r="L34" s="135" t="s">
        <v>42</v>
      </c>
      <c r="M34" s="136" t="s">
        <v>43</v>
      </c>
      <c r="N34" s="141" t="s">
        <v>195</v>
      </c>
      <c r="O34" s="153">
        <v>9915.9</v>
      </c>
      <c r="P34" s="137"/>
      <c r="Q34" s="138"/>
      <c r="R34" s="138"/>
      <c r="S34" s="138">
        <v>600000</v>
      </c>
      <c r="T34" s="139"/>
      <c r="U34" s="138"/>
      <c r="V34" s="140"/>
      <c r="W34" s="140"/>
      <c r="X34" s="138">
        <f t="shared" si="0"/>
        <v>600000</v>
      </c>
      <c r="Y34" s="140"/>
      <c r="Z34" s="146">
        <f t="shared" si="1"/>
        <v>600000</v>
      </c>
      <c r="AA34" s="147"/>
      <c r="AB34" s="147"/>
      <c r="AC34" s="132"/>
    </row>
    <row r="35" spans="1:29" s="379" customFormat="1" ht="56" customHeight="1">
      <c r="A35" s="369">
        <v>22</v>
      </c>
      <c r="B35" s="370"/>
      <c r="C35" s="369"/>
      <c r="D35" s="371">
        <v>2601230041008</v>
      </c>
      <c r="E35" s="372" t="s">
        <v>41</v>
      </c>
      <c r="F35" s="373">
        <v>46045</v>
      </c>
      <c r="G35" s="373">
        <v>46046</v>
      </c>
      <c r="H35" s="371">
        <v>107918249240</v>
      </c>
      <c r="I35" s="376" t="s">
        <v>165</v>
      </c>
      <c r="J35" s="376" t="s">
        <v>166</v>
      </c>
      <c r="K35" s="380" t="s">
        <v>167</v>
      </c>
      <c r="L35" s="375" t="s">
        <v>42</v>
      </c>
      <c r="M35" s="376" t="s">
        <v>110</v>
      </c>
      <c r="N35" s="377" t="s">
        <v>191</v>
      </c>
      <c r="O35" s="376">
        <v>3280</v>
      </c>
      <c r="P35" s="144">
        <v>378000</v>
      </c>
      <c r="Q35" s="138">
        <v>500000</v>
      </c>
      <c r="R35" s="138">
        <v>250000</v>
      </c>
      <c r="S35" s="138">
        <v>600000</v>
      </c>
      <c r="T35" s="145">
        <v>6175000</v>
      </c>
      <c r="U35" s="138">
        <v>2050000</v>
      </c>
      <c r="V35" s="138"/>
      <c r="W35" s="138">
        <v>350000</v>
      </c>
      <c r="X35" s="138">
        <f t="shared" si="0"/>
        <v>10303000</v>
      </c>
      <c r="Y35" s="138">
        <v>0</v>
      </c>
      <c r="Z35" s="378">
        <f t="shared" si="1"/>
        <v>10303000</v>
      </c>
      <c r="AA35" s="370"/>
      <c r="AB35" s="370"/>
      <c r="AC35" s="369" t="s">
        <v>220</v>
      </c>
    </row>
    <row r="36" spans="1:29" s="77" customFormat="1" ht="56" customHeight="1">
      <c r="A36" s="132">
        <v>23</v>
      </c>
      <c r="B36" s="148"/>
      <c r="C36" s="132"/>
      <c r="D36" s="150">
        <v>2601230051003</v>
      </c>
      <c r="E36" s="154" t="s">
        <v>41</v>
      </c>
      <c r="F36" s="152">
        <v>46045</v>
      </c>
      <c r="G36" s="152">
        <v>46046</v>
      </c>
      <c r="H36" s="150">
        <v>107918733860</v>
      </c>
      <c r="I36" s="133" t="s">
        <v>168</v>
      </c>
      <c r="J36" s="133" t="s">
        <v>169</v>
      </c>
      <c r="K36" s="143" t="s">
        <v>99</v>
      </c>
      <c r="L36" s="155" t="s">
        <v>42</v>
      </c>
      <c r="M36" s="133" t="s">
        <v>43</v>
      </c>
      <c r="N36" s="141" t="s">
        <v>192</v>
      </c>
      <c r="O36" s="133">
        <v>3870</v>
      </c>
      <c r="P36" s="144">
        <v>540000</v>
      </c>
      <c r="Q36" s="138">
        <v>800000</v>
      </c>
      <c r="R36" s="138">
        <v>400000</v>
      </c>
      <c r="S36" s="138">
        <v>600000</v>
      </c>
      <c r="T36" s="145">
        <v>8155000</v>
      </c>
      <c r="U36" s="138">
        <v>2050000</v>
      </c>
      <c r="V36" s="138"/>
      <c r="W36" s="138">
        <v>100000</v>
      </c>
      <c r="X36" s="138">
        <f t="shared" si="0"/>
        <v>12645000</v>
      </c>
      <c r="Y36" s="138">
        <v>0</v>
      </c>
      <c r="Z36" s="146">
        <f t="shared" si="1"/>
        <v>12645000</v>
      </c>
      <c r="AA36" s="148"/>
      <c r="AB36" s="148"/>
      <c r="AC36" s="132" t="s">
        <v>217</v>
      </c>
    </row>
    <row r="37" spans="1:29" s="77" customFormat="1" ht="56" customHeight="1">
      <c r="A37" s="132">
        <v>24</v>
      </c>
      <c r="B37" s="147"/>
      <c r="C37" s="132"/>
      <c r="D37" s="150">
        <v>2601240011007</v>
      </c>
      <c r="E37" s="154" t="s">
        <v>41</v>
      </c>
      <c r="F37" s="152">
        <v>46046</v>
      </c>
      <c r="G37" s="152">
        <v>46047</v>
      </c>
      <c r="H37" s="150">
        <v>107913827560</v>
      </c>
      <c r="I37" s="133" t="s">
        <v>224</v>
      </c>
      <c r="J37" s="133" t="s">
        <v>170</v>
      </c>
      <c r="K37" s="143" t="s">
        <v>120</v>
      </c>
      <c r="L37" s="155" t="s">
        <v>42</v>
      </c>
      <c r="M37" s="133" t="s">
        <v>43</v>
      </c>
      <c r="N37" s="141" t="s">
        <v>193</v>
      </c>
      <c r="O37" s="133">
        <v>19084.2</v>
      </c>
      <c r="P37" s="144">
        <v>1080000</v>
      </c>
      <c r="Q37" s="138">
        <v>800000</v>
      </c>
      <c r="R37" s="138">
        <v>400000</v>
      </c>
      <c r="S37" s="138">
        <v>600000</v>
      </c>
      <c r="T37" s="145">
        <v>8155000</v>
      </c>
      <c r="U37" s="138">
        <v>2050000</v>
      </c>
      <c r="V37" s="138"/>
      <c r="W37" s="138"/>
      <c r="X37" s="138">
        <f t="shared" si="0"/>
        <v>13085000</v>
      </c>
      <c r="Y37" s="138">
        <v>0</v>
      </c>
      <c r="Z37" s="146">
        <f t="shared" si="1"/>
        <v>13085000</v>
      </c>
      <c r="AA37" s="147"/>
      <c r="AB37" s="147"/>
      <c r="AC37" s="132"/>
    </row>
    <row r="38" spans="1:29" s="77" customFormat="1" ht="56" customHeight="1">
      <c r="A38" s="132">
        <v>25</v>
      </c>
      <c r="B38" s="147"/>
      <c r="C38" s="132"/>
      <c r="D38" s="150">
        <v>2601250011005</v>
      </c>
      <c r="E38" s="154" t="s">
        <v>41</v>
      </c>
      <c r="F38" s="152">
        <v>46047</v>
      </c>
      <c r="G38" s="152">
        <v>46048</v>
      </c>
      <c r="H38" s="150" t="s">
        <v>204</v>
      </c>
      <c r="I38" s="133" t="s">
        <v>205</v>
      </c>
      <c r="J38" s="133" t="s">
        <v>171</v>
      </c>
      <c r="K38" s="143" t="s">
        <v>143</v>
      </c>
      <c r="L38" s="155" t="s">
        <v>42</v>
      </c>
      <c r="M38" s="133" t="s">
        <v>43</v>
      </c>
      <c r="N38" s="141" t="s">
        <v>106</v>
      </c>
      <c r="O38" s="133">
        <v>2825.3</v>
      </c>
      <c r="P38" s="144">
        <v>1188000</v>
      </c>
      <c r="Q38" s="138">
        <v>800000</v>
      </c>
      <c r="R38" s="138">
        <v>400000</v>
      </c>
      <c r="S38" s="138">
        <v>600000</v>
      </c>
      <c r="T38" s="145">
        <v>8155000</v>
      </c>
      <c r="U38" s="138">
        <v>2050000</v>
      </c>
      <c r="V38" s="138"/>
      <c r="W38" s="138"/>
      <c r="X38" s="138">
        <f t="shared" si="0"/>
        <v>13193000</v>
      </c>
      <c r="Y38" s="138">
        <v>0</v>
      </c>
      <c r="Z38" s="146">
        <f t="shared" si="1"/>
        <v>13193000</v>
      </c>
      <c r="AA38" s="147"/>
      <c r="AB38" s="147"/>
      <c r="AC38" s="132"/>
    </row>
    <row r="39" spans="1:29" s="77" customFormat="1" ht="56" customHeight="1">
      <c r="A39" s="132">
        <v>26</v>
      </c>
      <c r="B39" s="147"/>
      <c r="C39" s="132" t="s">
        <v>113</v>
      </c>
      <c r="D39" s="150">
        <v>2601250011005</v>
      </c>
      <c r="E39" s="151" t="s">
        <v>41</v>
      </c>
      <c r="F39" s="152">
        <v>46047</v>
      </c>
      <c r="G39" s="152">
        <v>46048</v>
      </c>
      <c r="H39" s="150" t="s">
        <v>207</v>
      </c>
      <c r="I39" s="133" t="s">
        <v>206</v>
      </c>
      <c r="J39" s="133" t="s">
        <v>171</v>
      </c>
      <c r="K39" s="143" t="s">
        <v>143</v>
      </c>
      <c r="L39" s="135" t="s">
        <v>42</v>
      </c>
      <c r="M39" s="136" t="s">
        <v>43</v>
      </c>
      <c r="N39" s="141" t="s">
        <v>184</v>
      </c>
      <c r="O39" s="133">
        <v>12825.5</v>
      </c>
      <c r="P39" s="137"/>
      <c r="Q39" s="138"/>
      <c r="R39" s="138"/>
      <c r="S39" s="138">
        <v>600000</v>
      </c>
      <c r="T39" s="139"/>
      <c r="U39" s="138"/>
      <c r="V39" s="140"/>
      <c r="W39" s="140"/>
      <c r="X39" s="138">
        <f t="shared" si="0"/>
        <v>600000</v>
      </c>
      <c r="Y39" s="140"/>
      <c r="Z39" s="146">
        <f t="shared" si="1"/>
        <v>600000</v>
      </c>
      <c r="AA39" s="147"/>
      <c r="AB39" s="147"/>
      <c r="AC39" s="132"/>
    </row>
    <row r="40" spans="1:29" s="77" customFormat="1" ht="56" customHeight="1">
      <c r="A40" s="132">
        <v>27</v>
      </c>
      <c r="B40" s="147"/>
      <c r="C40" s="132"/>
      <c r="D40" s="150">
        <v>2601250021003</v>
      </c>
      <c r="E40" s="154" t="s">
        <v>41</v>
      </c>
      <c r="F40" s="152">
        <v>46047</v>
      </c>
      <c r="G40" s="152">
        <v>46048</v>
      </c>
      <c r="H40" s="150" t="s">
        <v>209</v>
      </c>
      <c r="I40" s="133" t="s">
        <v>208</v>
      </c>
      <c r="J40" s="133" t="s">
        <v>172</v>
      </c>
      <c r="K40" s="143" t="s">
        <v>173</v>
      </c>
      <c r="L40" s="155" t="s">
        <v>42</v>
      </c>
      <c r="M40" s="133" t="s">
        <v>43</v>
      </c>
      <c r="N40" s="141" t="s">
        <v>104</v>
      </c>
      <c r="O40" s="133">
        <v>8530.7999999999993</v>
      </c>
      <c r="P40" s="144">
        <v>1188000</v>
      </c>
      <c r="Q40" s="138">
        <v>800000</v>
      </c>
      <c r="R40" s="138">
        <v>400000</v>
      </c>
      <c r="S40" s="138">
        <v>600000</v>
      </c>
      <c r="T40" s="145">
        <v>8155000</v>
      </c>
      <c r="U40" s="138">
        <v>2050000</v>
      </c>
      <c r="V40" s="138"/>
      <c r="W40" s="138"/>
      <c r="X40" s="138">
        <f t="shared" si="0"/>
        <v>13193000</v>
      </c>
      <c r="Y40" s="138">
        <v>0</v>
      </c>
      <c r="Z40" s="146">
        <f t="shared" si="1"/>
        <v>13193000</v>
      </c>
      <c r="AA40" s="147"/>
      <c r="AB40" s="147"/>
      <c r="AC40" s="132"/>
    </row>
    <row r="41" spans="1:29" s="77" customFormat="1" ht="56" customHeight="1">
      <c r="A41" s="132">
        <v>28</v>
      </c>
      <c r="B41" s="147"/>
      <c r="C41" s="132" t="s">
        <v>113</v>
      </c>
      <c r="D41" s="150">
        <v>2601250021003</v>
      </c>
      <c r="E41" s="151" t="s">
        <v>41</v>
      </c>
      <c r="F41" s="152">
        <v>46047</v>
      </c>
      <c r="G41" s="152">
        <v>46048</v>
      </c>
      <c r="H41" s="150" t="s">
        <v>210</v>
      </c>
      <c r="I41" s="133" t="s">
        <v>211</v>
      </c>
      <c r="J41" s="133" t="s">
        <v>172</v>
      </c>
      <c r="K41" s="143" t="s">
        <v>173</v>
      </c>
      <c r="L41" s="135" t="s">
        <v>42</v>
      </c>
      <c r="M41" s="136" t="s">
        <v>43</v>
      </c>
      <c r="N41" s="141" t="s">
        <v>192</v>
      </c>
      <c r="O41" s="133">
        <v>5739.1</v>
      </c>
      <c r="P41" s="137"/>
      <c r="Q41" s="138"/>
      <c r="R41" s="138"/>
      <c r="S41" s="138">
        <v>600000</v>
      </c>
      <c r="T41" s="139"/>
      <c r="U41" s="138"/>
      <c r="V41" s="140"/>
      <c r="W41" s="140"/>
      <c r="X41" s="138">
        <f t="shared" si="0"/>
        <v>600000</v>
      </c>
      <c r="Y41" s="140"/>
      <c r="Z41" s="146">
        <f t="shared" si="1"/>
        <v>600000</v>
      </c>
      <c r="AA41" s="147"/>
      <c r="AB41" s="147"/>
      <c r="AC41" s="132"/>
    </row>
    <row r="42" spans="1:29" s="77" customFormat="1" ht="56" customHeight="1">
      <c r="A42" s="132">
        <v>29</v>
      </c>
      <c r="B42" s="147"/>
      <c r="C42" s="132"/>
      <c r="D42" s="150">
        <v>2601270021002</v>
      </c>
      <c r="E42" s="151" t="s">
        <v>41</v>
      </c>
      <c r="F42" s="152">
        <v>46049</v>
      </c>
      <c r="G42" s="152">
        <v>46050</v>
      </c>
      <c r="H42" s="150">
        <v>107927857920</v>
      </c>
      <c r="I42" s="133" t="s">
        <v>174</v>
      </c>
      <c r="J42" s="133" t="s">
        <v>175</v>
      </c>
      <c r="K42" s="143" t="s">
        <v>176</v>
      </c>
      <c r="L42" s="135" t="s">
        <v>42</v>
      </c>
      <c r="M42" s="136" t="s">
        <v>91</v>
      </c>
      <c r="N42" s="141" t="s">
        <v>194</v>
      </c>
      <c r="O42" s="133">
        <v>5452</v>
      </c>
      <c r="P42" s="137">
        <v>918000.00000000012</v>
      </c>
      <c r="Q42" s="138">
        <v>800000</v>
      </c>
      <c r="R42" s="138">
        <v>400000</v>
      </c>
      <c r="S42" s="138">
        <v>600000</v>
      </c>
      <c r="T42" s="139">
        <v>12950000</v>
      </c>
      <c r="U42" s="138">
        <v>2050000</v>
      </c>
      <c r="V42" s="140">
        <f>12*150000</f>
        <v>1800000</v>
      </c>
      <c r="W42" s="140"/>
      <c r="X42" s="138">
        <f t="shared" si="0"/>
        <v>19518000</v>
      </c>
      <c r="Y42" s="140">
        <v>0</v>
      </c>
      <c r="Z42" s="146">
        <f t="shared" si="1"/>
        <v>19518000</v>
      </c>
      <c r="AA42" s="147"/>
      <c r="AB42" s="147"/>
      <c r="AC42" s="158" t="s">
        <v>219</v>
      </c>
    </row>
    <row r="43" spans="1:29" s="77" customFormat="1" ht="56" customHeight="1">
      <c r="A43" s="132">
        <v>30</v>
      </c>
      <c r="B43" s="147"/>
      <c r="C43" s="132"/>
      <c r="D43" s="150">
        <v>2601290031004</v>
      </c>
      <c r="E43" s="154" t="s">
        <v>41</v>
      </c>
      <c r="F43" s="152">
        <v>46051</v>
      </c>
      <c r="G43" s="152">
        <v>46052</v>
      </c>
      <c r="H43" s="150">
        <v>107935896020</v>
      </c>
      <c r="I43" s="133" t="s">
        <v>225</v>
      </c>
      <c r="J43" s="133" t="s">
        <v>226</v>
      </c>
      <c r="K43" s="143" t="s">
        <v>227</v>
      </c>
      <c r="L43" s="155" t="s">
        <v>42</v>
      </c>
      <c r="M43" s="133" t="s">
        <v>107</v>
      </c>
      <c r="N43" s="141" t="s">
        <v>189</v>
      </c>
      <c r="O43" s="133">
        <v>4106</v>
      </c>
      <c r="P43" s="144">
        <f>400000*1.08</f>
        <v>432000</v>
      </c>
      <c r="Q43" s="138">
        <v>300000</v>
      </c>
      <c r="R43" s="138">
        <v>150000</v>
      </c>
      <c r="S43" s="138">
        <v>600000</v>
      </c>
      <c r="T43" s="145">
        <v>8870000</v>
      </c>
      <c r="U43" s="138">
        <v>2050000</v>
      </c>
      <c r="V43" s="138">
        <f>7*150000</f>
        <v>1050000</v>
      </c>
      <c r="W43" s="138"/>
      <c r="X43" s="138">
        <f t="shared" si="0"/>
        <v>13452000</v>
      </c>
      <c r="Y43" s="138">
        <v>0</v>
      </c>
      <c r="Z43" s="146">
        <f t="shared" si="1"/>
        <v>13452000</v>
      </c>
      <c r="AA43" s="147"/>
      <c r="AB43" s="147"/>
      <c r="AC43" s="132" t="s">
        <v>222</v>
      </c>
    </row>
    <row r="44" spans="1:29" s="77" customFormat="1" ht="56" customHeight="1">
      <c r="A44" s="132">
        <v>31</v>
      </c>
      <c r="B44" s="149"/>
      <c r="C44" s="159"/>
      <c r="D44" s="150">
        <v>2601270031008</v>
      </c>
      <c r="E44" s="134" t="s">
        <v>41</v>
      </c>
      <c r="F44" s="152">
        <v>46049</v>
      </c>
      <c r="G44" s="152">
        <v>46050</v>
      </c>
      <c r="H44" s="150" t="s">
        <v>212</v>
      </c>
      <c r="I44" s="133" t="s">
        <v>213</v>
      </c>
      <c r="J44" s="133" t="s">
        <v>177</v>
      </c>
      <c r="K44" s="143" t="s">
        <v>178</v>
      </c>
      <c r="L44" s="135" t="s">
        <v>42</v>
      </c>
      <c r="M44" s="136" t="s">
        <v>111</v>
      </c>
      <c r="N44" s="141" t="s">
        <v>191</v>
      </c>
      <c r="O44" s="133">
        <v>3433.4</v>
      </c>
      <c r="P44" s="137">
        <v>864000</v>
      </c>
      <c r="Q44" s="138">
        <v>500000</v>
      </c>
      <c r="R44" s="138">
        <v>250000</v>
      </c>
      <c r="S44" s="138">
        <v>600000</v>
      </c>
      <c r="T44" s="139">
        <v>7155000</v>
      </c>
      <c r="U44" s="138">
        <v>2050000</v>
      </c>
      <c r="V44" s="140"/>
      <c r="W44" s="140"/>
      <c r="X44" s="138">
        <f t="shared" si="0"/>
        <v>11419000</v>
      </c>
      <c r="Y44" s="140">
        <v>0</v>
      </c>
      <c r="Z44" s="146">
        <f t="shared" si="1"/>
        <v>11419000</v>
      </c>
      <c r="AA44" s="147"/>
      <c r="AB44" s="147"/>
      <c r="AC44" s="132"/>
    </row>
    <row r="45" spans="1:29" s="77" customFormat="1" ht="56" customHeight="1">
      <c r="A45" s="132">
        <v>32</v>
      </c>
      <c r="B45" s="353"/>
      <c r="C45" s="352" t="s">
        <v>113</v>
      </c>
      <c r="D45" s="354">
        <v>2601270031008</v>
      </c>
      <c r="E45" s="355" t="s">
        <v>41</v>
      </c>
      <c r="F45" s="356">
        <v>46049</v>
      </c>
      <c r="G45" s="356">
        <v>46050</v>
      </c>
      <c r="H45" s="354">
        <v>107926296920</v>
      </c>
      <c r="I45" s="160" t="s">
        <v>214</v>
      </c>
      <c r="J45" s="160" t="s">
        <v>177</v>
      </c>
      <c r="K45" s="357" t="s">
        <v>178</v>
      </c>
      <c r="L45" s="358" t="s">
        <v>42</v>
      </c>
      <c r="M45" s="359" t="s">
        <v>111</v>
      </c>
      <c r="N45" s="360" t="s">
        <v>94</v>
      </c>
      <c r="O45" s="160">
        <v>6728.3</v>
      </c>
      <c r="P45" s="361"/>
      <c r="Q45" s="362"/>
      <c r="R45" s="362"/>
      <c r="S45" s="362">
        <v>600000</v>
      </c>
      <c r="T45" s="363"/>
      <c r="U45" s="362"/>
      <c r="V45" s="364"/>
      <c r="W45" s="364"/>
      <c r="X45" s="362">
        <f t="shared" si="0"/>
        <v>600000</v>
      </c>
      <c r="Y45" s="364"/>
      <c r="Z45" s="365">
        <f t="shared" si="1"/>
        <v>600000</v>
      </c>
      <c r="AA45" s="366"/>
      <c r="AB45" s="366"/>
      <c r="AC45" s="367"/>
    </row>
    <row r="46" spans="1:29" s="350" customFormat="1" ht="42.5" customHeight="1">
      <c r="A46" s="350" t="s">
        <v>19</v>
      </c>
      <c r="B46" s="368"/>
      <c r="C46" s="368"/>
      <c r="O46" s="351"/>
      <c r="P46" s="68">
        <f>SUM(P14:P44)</f>
        <v>23112000</v>
      </c>
      <c r="Q46" s="68">
        <f t="shared" ref="Q46:Y46" si="2">SUM(Q14:Q44)</f>
        <v>16350000</v>
      </c>
      <c r="R46" s="68">
        <f t="shared" si="2"/>
        <v>8200000</v>
      </c>
      <c r="S46" s="68">
        <f t="shared" si="2"/>
        <v>16200000</v>
      </c>
      <c r="T46" s="68">
        <f t="shared" si="2"/>
        <v>204295000</v>
      </c>
      <c r="U46" s="68">
        <f t="shared" si="2"/>
        <v>55400000</v>
      </c>
      <c r="V46" s="68">
        <f t="shared" si="2"/>
        <v>13035000</v>
      </c>
      <c r="W46" s="68">
        <f t="shared" si="2"/>
        <v>1650000</v>
      </c>
      <c r="X46" s="68">
        <f t="shared" si="2"/>
        <v>338242000</v>
      </c>
      <c r="Y46" s="68">
        <f t="shared" si="2"/>
        <v>0</v>
      </c>
      <c r="Z46" s="68">
        <f>P46+Q46+R46+S46+T46+U46+V46+W46</f>
        <v>338242000</v>
      </c>
      <c r="AA46" s="68" t="e">
        <f>SUM(#REF!)</f>
        <v>#REF!</v>
      </c>
      <c r="AB46" s="68" t="e">
        <f>SUM(#REF!)</f>
        <v>#REF!</v>
      </c>
      <c r="AC46" s="68"/>
    </row>
    <row r="47" spans="1:29" s="330" customFormat="1" ht="78.5" customHeight="1">
      <c r="F47" s="341"/>
      <c r="G47" s="342"/>
      <c r="H47" s="341"/>
      <c r="I47" s="343"/>
      <c r="J47" s="341"/>
      <c r="K47" s="339"/>
      <c r="L47" s="339"/>
      <c r="M47" s="344"/>
      <c r="N47" s="320"/>
      <c r="O47" s="321"/>
      <c r="P47" s="345"/>
      <c r="Q47" s="346"/>
      <c r="R47" s="346"/>
      <c r="S47" s="323"/>
      <c r="T47" s="335"/>
      <c r="U47" s="323"/>
      <c r="V47" s="336"/>
      <c r="W47" s="336"/>
      <c r="X47" s="335"/>
      <c r="Y47" s="335"/>
      <c r="AC47" s="347"/>
    </row>
    <row r="48" spans="1:29" s="314" customFormat="1" ht="29.25" customHeight="1">
      <c r="D48" s="315" t="s">
        <v>20</v>
      </c>
      <c r="E48" s="315"/>
      <c r="F48" s="315"/>
      <c r="G48" s="315"/>
      <c r="H48" s="316"/>
      <c r="I48" s="317"/>
      <c r="J48" s="316"/>
      <c r="K48" s="318"/>
      <c r="L48" s="318"/>
      <c r="M48" s="319"/>
      <c r="N48" s="320"/>
      <c r="O48" s="321"/>
      <c r="P48" s="322"/>
      <c r="Q48" s="346"/>
      <c r="R48" s="346"/>
      <c r="S48" s="323"/>
      <c r="T48" s="324" t="s">
        <v>0</v>
      </c>
      <c r="U48" s="325"/>
      <c r="V48" s="326"/>
      <c r="W48" s="326"/>
      <c r="X48" s="324"/>
      <c r="Y48" s="324"/>
      <c r="Z48" s="327"/>
      <c r="AA48" s="328"/>
      <c r="AB48" s="328"/>
      <c r="AC48" s="329"/>
    </row>
    <row r="49" spans="1:29" s="330" customFormat="1" ht="16">
      <c r="G49" s="331"/>
      <c r="H49" s="332"/>
      <c r="I49" s="332"/>
      <c r="J49" s="332"/>
      <c r="K49" s="332"/>
      <c r="L49" s="332"/>
      <c r="M49" s="332"/>
      <c r="N49" s="332"/>
      <c r="O49" s="333"/>
      <c r="P49" s="334"/>
      <c r="Q49" s="346"/>
      <c r="R49" s="346"/>
      <c r="S49" s="323"/>
      <c r="T49" s="335"/>
      <c r="U49" s="323"/>
      <c r="V49" s="336"/>
      <c r="W49" s="336"/>
      <c r="X49" s="337"/>
      <c r="Y49" s="337"/>
      <c r="Z49" s="338"/>
      <c r="AA49" s="339"/>
      <c r="AB49" s="339"/>
      <c r="AC49" s="340"/>
    </row>
    <row r="50" spans="1:29" s="330" customFormat="1">
      <c r="G50" s="331"/>
      <c r="I50" s="348"/>
      <c r="K50" s="318"/>
      <c r="L50" s="318"/>
      <c r="M50" s="349"/>
      <c r="N50" s="240"/>
      <c r="O50" s="333"/>
      <c r="P50" s="334"/>
      <c r="Q50" s="346"/>
      <c r="R50" s="346"/>
      <c r="S50" s="323"/>
      <c r="T50" s="335"/>
      <c r="U50" s="323"/>
      <c r="V50" s="336"/>
      <c r="W50" s="336"/>
      <c r="X50" s="337"/>
      <c r="Y50" s="337"/>
      <c r="Z50" s="338"/>
      <c r="AA50" s="339"/>
      <c r="AB50" s="339"/>
      <c r="AC50" s="340"/>
    </row>
    <row r="51" spans="1:29">
      <c r="F51" s="5"/>
      <c r="H51" s="5"/>
      <c r="I51" s="36"/>
      <c r="J51" s="5"/>
      <c r="K51" s="22"/>
      <c r="L51" s="22"/>
      <c r="M51" s="37"/>
      <c r="N51" s="21"/>
      <c r="O51" s="57"/>
      <c r="P51" s="38"/>
      <c r="X51" s="44"/>
      <c r="Y51" s="44"/>
      <c r="Z51" s="31"/>
      <c r="AA51" s="27"/>
      <c r="AB51" s="27"/>
      <c r="AC51" s="77"/>
    </row>
    <row r="52" spans="1:29">
      <c r="F52" s="5"/>
      <c r="H52" s="5"/>
      <c r="I52" s="36"/>
      <c r="J52" s="5"/>
      <c r="K52" s="22"/>
      <c r="L52" s="22"/>
      <c r="M52" s="37"/>
      <c r="N52" s="21"/>
      <c r="O52" s="57"/>
      <c r="P52" s="38"/>
      <c r="X52" s="44"/>
      <c r="Y52" s="44"/>
      <c r="Z52" s="31"/>
      <c r="AA52" s="27"/>
      <c r="AB52" s="27"/>
      <c r="AC52" s="77"/>
    </row>
    <row r="53" spans="1:29">
      <c r="F53" s="5"/>
      <c r="H53" s="5"/>
      <c r="I53" s="36"/>
      <c r="J53" s="5"/>
      <c r="K53" s="22"/>
      <c r="L53" s="22"/>
      <c r="M53" s="37"/>
      <c r="N53" s="21"/>
      <c r="O53" s="57"/>
      <c r="P53" s="38"/>
      <c r="X53" s="44"/>
      <c r="Y53" s="44"/>
      <c r="Z53" s="31"/>
      <c r="AA53" s="27"/>
      <c r="AB53" s="27"/>
      <c r="AC53" s="77"/>
    </row>
    <row r="54" spans="1:29">
      <c r="F54" s="5"/>
      <c r="H54" s="5"/>
      <c r="I54" s="36"/>
      <c r="J54" s="5"/>
      <c r="K54" s="22"/>
      <c r="L54" s="22"/>
      <c r="M54" s="37"/>
      <c r="N54" s="21"/>
      <c r="O54" s="57"/>
      <c r="P54" s="38"/>
      <c r="X54" s="44"/>
      <c r="Y54" s="44"/>
      <c r="Z54" s="31"/>
      <c r="AA54" s="27"/>
      <c r="AB54" s="27"/>
      <c r="AC54" s="77"/>
    </row>
    <row r="55" spans="1:29" ht="19.399999999999999" customHeight="1">
      <c r="A55" s="40" t="s">
        <v>21</v>
      </c>
      <c r="B55" s="40"/>
      <c r="C55" s="40"/>
      <c r="D55" s="40"/>
      <c r="E55" s="40"/>
      <c r="F55" s="41"/>
      <c r="G55" s="69"/>
      <c r="H55" s="41"/>
      <c r="I55" s="36"/>
      <c r="J55" s="41"/>
      <c r="K55" s="41"/>
      <c r="L55" s="41"/>
      <c r="M55" s="41"/>
      <c r="N55" s="14"/>
      <c r="O55" s="57"/>
      <c r="P55" s="42"/>
      <c r="AC55" s="77"/>
    </row>
    <row r="56" spans="1:29" ht="19.399999999999999" customHeight="1">
      <c r="A56" s="130" t="s">
        <v>22</v>
      </c>
      <c r="B56" s="130"/>
      <c r="C56" s="130"/>
      <c r="D56" s="130"/>
      <c r="E56" s="43" t="s">
        <v>23</v>
      </c>
      <c r="F56" s="43"/>
      <c r="G56" s="78"/>
      <c r="H56" s="43"/>
      <c r="I56" s="36"/>
      <c r="J56" s="43"/>
      <c r="P56" s="45"/>
      <c r="AC56" s="77"/>
    </row>
    <row r="57" spans="1:29" ht="19.399999999999999" customHeight="1">
      <c r="A57" s="130" t="s">
        <v>24</v>
      </c>
      <c r="B57" s="130"/>
      <c r="C57" s="130"/>
      <c r="D57" s="130"/>
      <c r="E57" s="43">
        <v>346886</v>
      </c>
      <c r="F57" s="43"/>
      <c r="G57" s="78"/>
      <c r="H57" s="43"/>
      <c r="I57" s="36"/>
      <c r="J57" s="43"/>
      <c r="P57" s="45"/>
      <c r="AC57" s="77"/>
    </row>
    <row r="58" spans="1:29" ht="19.399999999999999" customHeight="1">
      <c r="A58" s="130" t="s">
        <v>25</v>
      </c>
      <c r="B58" s="130"/>
      <c r="C58" s="130"/>
      <c r="D58" s="130"/>
      <c r="E58" s="43" t="s">
        <v>26</v>
      </c>
      <c r="F58" s="43"/>
      <c r="G58" s="78"/>
      <c r="H58" s="43"/>
      <c r="I58" s="36"/>
      <c r="J58" s="41"/>
      <c r="P58" s="45"/>
      <c r="AC58" s="77"/>
    </row>
  </sheetData>
  <autoFilter ref="C12:AC48" xr:uid="{65DFAC75-DAC2-4B12-ADBA-858986128945}"/>
  <mergeCells count="41">
    <mergeCell ref="R12:R13"/>
    <mergeCell ref="O15:O16"/>
    <mergeCell ref="O25:O26"/>
    <mergeCell ref="O27:O28"/>
    <mergeCell ref="D48:G48"/>
    <mergeCell ref="AC12:AC13"/>
    <mergeCell ref="AA12:AA13"/>
    <mergeCell ref="Z12:Z13"/>
    <mergeCell ref="Y12:Y13"/>
    <mergeCell ref="X12:X13"/>
    <mergeCell ref="Q12:Q13"/>
    <mergeCell ref="P12:P13"/>
    <mergeCell ref="N12:N13"/>
    <mergeCell ref="M12:M13"/>
    <mergeCell ref="W12:W13"/>
    <mergeCell ref="V12:V13"/>
    <mergeCell ref="U12:U13"/>
    <mergeCell ref="T12:T13"/>
    <mergeCell ref="S12:S13"/>
    <mergeCell ref="H49:N49"/>
    <mergeCell ref="O12:O13"/>
    <mergeCell ref="A9:D9"/>
    <mergeCell ref="E9:K9"/>
    <mergeCell ref="E10:F10"/>
    <mergeCell ref="A12:A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O21:O22"/>
    <mergeCell ref="E8:J8"/>
    <mergeCell ref="I1:S1"/>
    <mergeCell ref="I2:S2"/>
    <mergeCell ref="I3:S3"/>
    <mergeCell ref="A5:Z6"/>
    <mergeCell ref="K7:Q7"/>
  </mergeCells>
  <pageMargins left="0.45" right="0.45" top="0.75" bottom="0.75" header="0.3" footer="0.3"/>
  <pageSetup paperSize="9" scale="38" fitToHeight="0" orientation="landscape" r:id="rId1"/>
  <rowBreaks count="1" manualBreakCount="1">
    <brk id="30" max="2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A4B18-D081-4A97-AB12-0F43BD1F82F5}">
  <sheetPr>
    <pageSetUpPr fitToPage="1"/>
  </sheetPr>
  <dimension ref="A1:W161"/>
  <sheetViews>
    <sheetView view="pageBreakPreview" topLeftCell="A140" zoomScale="40" zoomScaleNormal="93" zoomScaleSheetLayoutView="40" workbookViewId="0">
      <selection activeCell="F175" sqref="F175"/>
    </sheetView>
  </sheetViews>
  <sheetFormatPr defaultColWidth="8.81640625" defaultRowHeight="15.5"/>
  <cols>
    <col min="1" max="1" width="6.54296875" style="5" customWidth="1"/>
    <col min="2" max="2" width="15.81640625" style="5" customWidth="1"/>
    <col min="3" max="3" width="27.90625" style="5" customWidth="1"/>
    <col min="4" max="4" width="16.81640625" style="46" customWidth="1"/>
    <col min="5" max="5" width="19.453125" style="46" customWidth="1"/>
    <col min="6" max="6" width="22.1796875" style="26" customWidth="1"/>
    <col min="7" max="7" width="14.1796875" style="5" customWidth="1"/>
    <col min="8" max="8" width="51" style="5" customWidth="1"/>
    <col min="9" max="9" width="22.26953125" style="5" customWidth="1"/>
    <col min="10" max="10" width="10.54296875" style="39" customWidth="1"/>
    <col min="11" max="11" width="17.26953125" style="44" customWidth="1"/>
    <col min="12" max="12" width="11.90625" style="44" customWidth="1"/>
    <col min="13" max="13" width="19.08984375" style="47" customWidth="1"/>
    <col min="14" max="14" width="21.453125" style="299" customWidth="1"/>
    <col min="15" max="15" width="18" style="30" customWidth="1"/>
    <col min="16" max="16" width="12.81640625" style="30" customWidth="1"/>
    <col min="17" max="17" width="19.81640625" style="30" customWidth="1"/>
    <col min="18" max="18" width="19.453125" style="5" customWidth="1"/>
    <col min="19" max="19" width="12" style="5" customWidth="1"/>
    <col min="20" max="20" width="21.1796875" style="5" customWidth="1"/>
    <col min="21" max="21" width="15.453125" style="5" hidden="1" customWidth="1"/>
    <col min="22" max="22" width="28.54296875" style="31" customWidth="1"/>
    <col min="23" max="23" width="23.1796875" style="5" customWidth="1"/>
    <col min="24" max="24" width="13.54296875" style="5" bestFit="1" customWidth="1"/>
    <col min="25" max="16384" width="8.81640625" style="5"/>
  </cols>
  <sheetData>
    <row r="1" spans="1:23" s="207" customFormat="1" ht="44.5" customHeight="1">
      <c r="A1" s="205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6"/>
    </row>
    <row r="2" spans="1:23" s="207" customFormat="1" ht="44.5" customHeight="1">
      <c r="A2" s="205" t="s">
        <v>228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6"/>
    </row>
    <row r="3" spans="1:23" s="207" customFormat="1" ht="44.5" customHeight="1">
      <c r="A3" s="205" t="s">
        <v>1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6"/>
    </row>
    <row r="4" spans="1:23" s="207" customFormat="1" ht="25.5">
      <c r="D4" s="208"/>
      <c r="E4" s="208"/>
      <c r="F4" s="209"/>
      <c r="J4" s="210"/>
      <c r="K4" s="211"/>
      <c r="L4" s="211"/>
      <c r="M4" s="212"/>
      <c r="N4" s="213"/>
      <c r="O4" s="214"/>
      <c r="P4" s="214"/>
      <c r="Q4" s="214"/>
      <c r="V4" s="215"/>
    </row>
    <row r="5" spans="1:23" s="207" customFormat="1" ht="15.65" customHeight="1">
      <c r="A5" s="216" t="s">
        <v>229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06"/>
    </row>
    <row r="6" spans="1:23" s="207" customFormat="1" ht="15.65" customHeight="1">
      <c r="A6" s="216"/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06"/>
    </row>
    <row r="7" spans="1:23" ht="20.5">
      <c r="A7" s="8"/>
      <c r="B7" s="8"/>
      <c r="C7" s="8"/>
      <c r="D7" s="8"/>
      <c r="E7" s="8"/>
      <c r="F7" s="9"/>
      <c r="G7" s="167"/>
      <c r="H7" s="167"/>
      <c r="I7" s="167"/>
      <c r="J7" s="167"/>
      <c r="K7" s="167"/>
      <c r="L7" s="167"/>
      <c r="M7" s="167"/>
      <c r="N7" s="167"/>
      <c r="O7" s="10"/>
      <c r="P7" s="161"/>
      <c r="Q7" s="10"/>
      <c r="R7" s="8"/>
      <c r="S7" s="8"/>
      <c r="T7" s="8"/>
      <c r="U7" s="8"/>
      <c r="V7" s="217"/>
      <c r="W7"/>
    </row>
    <row r="8" spans="1:23" s="228" customFormat="1" ht="29.5" customHeight="1">
      <c r="A8" s="218" t="s">
        <v>2</v>
      </c>
      <c r="B8" s="218"/>
      <c r="C8" s="219" t="s">
        <v>3</v>
      </c>
      <c r="D8" s="219"/>
      <c r="E8" s="219"/>
      <c r="F8" s="219"/>
      <c r="G8" s="220"/>
      <c r="H8" s="221"/>
      <c r="I8" s="221"/>
      <c r="J8" s="221"/>
      <c r="K8" s="222"/>
      <c r="L8" s="222"/>
      <c r="M8" s="223"/>
      <c r="N8" s="224"/>
      <c r="O8" s="225"/>
      <c r="P8" s="225"/>
      <c r="Q8" s="225"/>
      <c r="R8" s="226"/>
      <c r="S8" s="226"/>
      <c r="T8" s="226"/>
      <c r="U8" s="226"/>
      <c r="V8" s="227"/>
      <c r="W8" s="226"/>
    </row>
    <row r="9" spans="1:23" s="228" customFormat="1" ht="29.5" customHeight="1">
      <c r="A9" s="229" t="s">
        <v>4</v>
      </c>
      <c r="B9" s="229"/>
      <c r="C9" s="230" t="s">
        <v>230</v>
      </c>
      <c r="D9" s="230"/>
      <c r="E9" s="230"/>
      <c r="F9" s="230"/>
      <c r="G9" s="230"/>
      <c r="H9" s="231"/>
      <c r="I9" s="231"/>
      <c r="J9" s="231"/>
      <c r="K9" s="232"/>
      <c r="L9" s="232"/>
      <c r="M9" s="223"/>
      <c r="N9" s="224"/>
      <c r="O9" s="225"/>
      <c r="P9" s="225"/>
      <c r="Q9" s="225"/>
      <c r="R9" s="226"/>
      <c r="S9" s="226"/>
      <c r="T9" s="226"/>
      <c r="U9" s="226"/>
      <c r="V9" s="227"/>
      <c r="W9" s="226"/>
    </row>
    <row r="10" spans="1:23" s="228" customFormat="1" ht="29.5" customHeight="1">
      <c r="A10" s="218" t="s">
        <v>5</v>
      </c>
      <c r="B10" s="218"/>
      <c r="C10" s="233" t="s">
        <v>6</v>
      </c>
      <c r="D10" s="219"/>
      <c r="E10" s="234"/>
      <c r="F10" s="218"/>
      <c r="G10" s="235"/>
      <c r="H10" s="236"/>
      <c r="I10" s="236"/>
      <c r="J10" s="236"/>
      <c r="K10" s="237"/>
      <c r="L10" s="237"/>
      <c r="M10" s="223"/>
      <c r="N10" s="224"/>
      <c r="O10" s="225"/>
      <c r="P10" s="225"/>
      <c r="Q10" s="225"/>
      <c r="R10" s="226"/>
      <c r="S10" s="226"/>
      <c r="T10" s="226"/>
      <c r="U10" s="226"/>
      <c r="V10" s="227"/>
      <c r="W10" s="226"/>
    </row>
    <row r="11" spans="1:23" ht="51" customHeight="1" thickBot="1">
      <c r="A11" s="22"/>
      <c r="B11" s="22"/>
      <c r="C11" s="22"/>
      <c r="D11" s="22"/>
      <c r="E11" s="22"/>
      <c r="F11" s="23"/>
      <c r="G11" s="22"/>
      <c r="H11" s="22"/>
      <c r="I11" s="22"/>
      <c r="J11" s="22"/>
      <c r="K11" s="21"/>
      <c r="L11" s="21"/>
      <c r="M11" s="238"/>
      <c r="N11" s="239"/>
      <c r="O11" s="240"/>
      <c r="P11" s="14"/>
      <c r="Q11" s="14"/>
      <c r="R11" s="22"/>
      <c r="S11" s="22"/>
      <c r="T11" s="22"/>
      <c r="U11" s="22"/>
      <c r="V11" s="22"/>
    </row>
    <row r="12" spans="1:23" s="24" customFormat="1" ht="84" customHeight="1">
      <c r="A12" s="241" t="s">
        <v>7</v>
      </c>
      <c r="B12" s="242" t="s">
        <v>8</v>
      </c>
      <c r="C12" s="242" t="s">
        <v>9</v>
      </c>
      <c r="D12" s="243" t="s">
        <v>231</v>
      </c>
      <c r="E12" s="243" t="s">
        <v>232</v>
      </c>
      <c r="F12" s="243" t="s">
        <v>10</v>
      </c>
      <c r="G12" s="242" t="s">
        <v>233</v>
      </c>
      <c r="H12" s="242" t="s">
        <v>11</v>
      </c>
      <c r="I12" s="242" t="s">
        <v>234</v>
      </c>
      <c r="J12" s="244" t="s">
        <v>12</v>
      </c>
      <c r="K12" s="244" t="s">
        <v>235</v>
      </c>
      <c r="L12" s="244" t="s">
        <v>13</v>
      </c>
      <c r="M12" s="244" t="s">
        <v>236</v>
      </c>
      <c r="N12" s="245" t="s">
        <v>237</v>
      </c>
      <c r="O12" s="246" t="s">
        <v>14</v>
      </c>
      <c r="P12" s="247" t="s">
        <v>238</v>
      </c>
      <c r="Q12" s="246" t="s">
        <v>239</v>
      </c>
      <c r="R12" s="248" t="s">
        <v>15</v>
      </c>
      <c r="S12" s="249" t="s">
        <v>16</v>
      </c>
      <c r="T12" s="242" t="s">
        <v>17</v>
      </c>
      <c r="U12" s="250"/>
      <c r="V12" s="251" t="s">
        <v>18</v>
      </c>
    </row>
    <row r="13" spans="1:23" s="24" customFormat="1" ht="84" customHeight="1">
      <c r="A13" s="252"/>
      <c r="B13" s="253"/>
      <c r="C13" s="253"/>
      <c r="D13" s="254"/>
      <c r="E13" s="254"/>
      <c r="F13" s="254"/>
      <c r="G13" s="253"/>
      <c r="H13" s="253"/>
      <c r="I13" s="253"/>
      <c r="J13" s="255"/>
      <c r="K13" s="255"/>
      <c r="L13" s="255"/>
      <c r="M13" s="255"/>
      <c r="N13" s="256"/>
      <c r="O13" s="196"/>
      <c r="P13" s="257"/>
      <c r="Q13" s="196"/>
      <c r="R13" s="258"/>
      <c r="S13" s="179"/>
      <c r="T13" s="253"/>
      <c r="U13" s="259"/>
      <c r="V13" s="260"/>
    </row>
    <row r="14" spans="1:23" s="272" customFormat="1" ht="84" customHeight="1">
      <c r="A14" s="261">
        <v>1</v>
      </c>
      <c r="B14" s="262" t="str">
        <f>[4]HOSIDEN!U14</f>
        <v>LG2512/5042</v>
      </c>
      <c r="C14" s="263" t="s">
        <v>240</v>
      </c>
      <c r="D14" s="264">
        <f>[4]HOSIDEN!A14</f>
        <v>46023</v>
      </c>
      <c r="E14" s="265" t="str">
        <f>[4]HOSIDEN!C14</f>
        <v>HOSIDEN</v>
      </c>
      <c r="F14" s="264" t="str">
        <f>[4]HOSIDEN!F14</f>
        <v>260105HSD-F03, 260105HSD-F04, FOC01</v>
      </c>
      <c r="G14" s="262" t="str">
        <f>[4]HOSIDEN!S14</f>
        <v>29C 64515</v>
      </c>
      <c r="H14" s="262" t="str">
        <f>[4]HOSIDEN!D14</f>
        <v>KCN Thạch Thất, Hanoi- KCN Quang Chau, Bac Ninh</v>
      </c>
      <c r="I14" s="262" t="s">
        <v>241</v>
      </c>
      <c r="J14" s="262" t="str">
        <f>[4]HOSIDEN!G14</f>
        <v>1.25T</v>
      </c>
      <c r="K14" s="264" t="str">
        <f>[4]HOSIDEN!I14</f>
        <v>10 box</v>
      </c>
      <c r="L14" s="266" t="s">
        <v>242</v>
      </c>
      <c r="M14" s="267">
        <f>[4]HOSIDEN!L14</f>
        <v>1200000</v>
      </c>
      <c r="N14" s="268">
        <f>[4]HOSIDEN!M14</f>
        <v>200000</v>
      </c>
      <c r="O14" s="269">
        <f>[4]HOSIDEN!N14</f>
        <v>0</v>
      </c>
      <c r="P14" s="269">
        <f>[4]HOSIDEN!O14</f>
        <v>0</v>
      </c>
      <c r="Q14" s="270">
        <f>[4]HOSIDEN!P14</f>
        <v>0</v>
      </c>
      <c r="R14" s="271">
        <f>SUM(M14:Q14)</f>
        <v>1400000</v>
      </c>
      <c r="S14" s="261">
        <v>0</v>
      </c>
      <c r="T14" s="271">
        <f>R14+S14</f>
        <v>1400000</v>
      </c>
      <c r="U14" s="261"/>
      <c r="V14" s="261">
        <f>[4]HOSIDEN!T14</f>
        <v>0</v>
      </c>
    </row>
    <row r="15" spans="1:23" s="272" customFormat="1" ht="84" customHeight="1">
      <c r="A15" s="261">
        <v>2</v>
      </c>
      <c r="B15" s="262" t="str">
        <f>[4]HOSIDEN!U15</f>
        <v>LG2512/5043</v>
      </c>
      <c r="C15" s="263" t="s">
        <v>240</v>
      </c>
      <c r="D15" s="264">
        <f>[4]HOSIDEN!A15</f>
        <v>46082</v>
      </c>
      <c r="E15" s="265" t="str">
        <f>[4]HOSIDEN!C15</f>
        <v>HOSIDEN</v>
      </c>
      <c r="F15" s="264" t="str">
        <f>[4]HOSIDEN!F15</f>
        <v>260105HSD-F06</v>
      </c>
      <c r="G15" s="262" t="str">
        <f>[4]HOSIDEN!S15</f>
        <v>29H 57424</v>
      </c>
      <c r="H15" s="262" t="str">
        <f>[4]HOSIDEN!D15</f>
        <v>KCN Thạch Thất, Hanoi- KCN Quang Chau, Bac Ninh</v>
      </c>
      <c r="I15" s="262" t="s">
        <v>241</v>
      </c>
      <c r="J15" s="262" t="str">
        <f>[4]HOSIDEN!G15</f>
        <v>1.25T</v>
      </c>
      <c r="K15" s="264" t="str">
        <f>[4]HOSIDEN!I15</f>
        <v>9 cartons</v>
      </c>
      <c r="L15" s="266" t="s">
        <v>242</v>
      </c>
      <c r="M15" s="267">
        <f>[4]HOSIDEN!L15</f>
        <v>1200000</v>
      </c>
      <c r="N15" s="268">
        <f>[4]HOSIDEN!M15</f>
        <v>200000</v>
      </c>
      <c r="O15" s="269">
        <f>[4]HOSIDEN!N15</f>
        <v>0</v>
      </c>
      <c r="P15" s="269">
        <f>[4]HOSIDEN!O15</f>
        <v>0</v>
      </c>
      <c r="Q15" s="270">
        <f>[4]HOSIDEN!P15</f>
        <v>0</v>
      </c>
      <c r="R15" s="271">
        <f t="shared" ref="R15:R56" si="0">SUM(M15:Q15)</f>
        <v>1400000</v>
      </c>
      <c r="S15" s="261">
        <v>0</v>
      </c>
      <c r="T15" s="271">
        <f t="shared" ref="T15:T78" si="1">R15+S15</f>
        <v>1400000</v>
      </c>
      <c r="U15" s="261"/>
      <c r="V15" s="261">
        <f>[4]HOSIDEN!T15</f>
        <v>0</v>
      </c>
    </row>
    <row r="16" spans="1:23" s="272" customFormat="1" ht="84" customHeight="1">
      <c r="A16" s="261">
        <v>3</v>
      </c>
      <c r="B16" s="262" t="str">
        <f>[4]HOSIDEN!U16</f>
        <v>LG2512/5044</v>
      </c>
      <c r="C16" s="263" t="s">
        <v>240</v>
      </c>
      <c r="D16" s="264">
        <f>[4]HOSIDEN!A16</f>
        <v>46082</v>
      </c>
      <c r="E16" s="265" t="str">
        <f>[4]HOSIDEN!C16</f>
        <v>HOSIDEN</v>
      </c>
      <c r="F16" s="264" t="str">
        <f>[4]HOSIDEN!F16</f>
        <v>260105HSD-F05</v>
      </c>
      <c r="G16" s="262" t="str">
        <f>[4]HOSIDEN!S16</f>
        <v>29K 05797</v>
      </c>
      <c r="H16" s="262" t="str">
        <f>[4]HOSIDEN!D16</f>
        <v>KCN Thạch Thất, Hanoi- KCN Quang Chau, Bac Ninh</v>
      </c>
      <c r="I16" s="262" t="s">
        <v>241</v>
      </c>
      <c r="J16" s="262" t="str">
        <f>[4]HOSIDEN!G16</f>
        <v>1.25T</v>
      </c>
      <c r="K16" s="264" t="str">
        <f>[4]HOSIDEN!I16</f>
        <v>6 CT</v>
      </c>
      <c r="L16" s="266" t="s">
        <v>242</v>
      </c>
      <c r="M16" s="267">
        <f>[4]HOSIDEN!L16</f>
        <v>1200000</v>
      </c>
      <c r="N16" s="268">
        <f>[4]HOSIDEN!M16</f>
        <v>200000</v>
      </c>
      <c r="O16" s="269">
        <f>[4]HOSIDEN!N16</f>
        <v>0</v>
      </c>
      <c r="P16" s="269">
        <f>[4]HOSIDEN!O16</f>
        <v>0</v>
      </c>
      <c r="Q16" s="270">
        <f>[4]HOSIDEN!P16</f>
        <v>0</v>
      </c>
      <c r="R16" s="271">
        <f t="shared" si="0"/>
        <v>1400000</v>
      </c>
      <c r="S16" s="261">
        <v>0</v>
      </c>
      <c r="T16" s="271">
        <f t="shared" si="1"/>
        <v>1400000</v>
      </c>
      <c r="U16" s="261"/>
      <c r="V16" s="261">
        <f>[4]HOSIDEN!T16</f>
        <v>0</v>
      </c>
    </row>
    <row r="17" spans="1:22" s="272" customFormat="1" ht="84" customHeight="1">
      <c r="A17" s="261">
        <v>4</v>
      </c>
      <c r="B17" s="262" t="str">
        <f>[4]HOSIDEN!U17</f>
        <v>LG2512/5045</v>
      </c>
      <c r="C17" s="263" t="s">
        <v>240</v>
      </c>
      <c r="D17" s="264">
        <f>[4]HOSIDEN!A17</f>
        <v>46113</v>
      </c>
      <c r="E17" s="265" t="str">
        <f>[4]HOSIDEN!C17</f>
        <v>HOSIDEN</v>
      </c>
      <c r="F17" s="264" t="str">
        <f>[4]HOSIDEN!F17</f>
        <v>260105HSD-F07</v>
      </c>
      <c r="G17" s="262" t="str">
        <f>[4]HOSIDEN!S17</f>
        <v>29C 64515</v>
      </c>
      <c r="H17" s="262" t="str">
        <f>[4]HOSIDEN!D17</f>
        <v>KCN Thạch Thất, Hanoi- KCN Quang Chau, Bac Ninh</v>
      </c>
      <c r="I17" s="262" t="s">
        <v>241</v>
      </c>
      <c r="J17" s="262" t="str">
        <f>[4]HOSIDEN!G17</f>
        <v>1.25T</v>
      </c>
      <c r="K17" s="264" t="str">
        <f>[4]HOSIDEN!I17</f>
        <v>5 CT</v>
      </c>
      <c r="L17" s="266" t="s">
        <v>242</v>
      </c>
      <c r="M17" s="267">
        <f>[4]HOSIDEN!L17</f>
        <v>1200000</v>
      </c>
      <c r="N17" s="268">
        <f>[4]HOSIDEN!M17</f>
        <v>200000</v>
      </c>
      <c r="O17" s="269">
        <f>[4]HOSIDEN!N17</f>
        <v>0</v>
      </c>
      <c r="P17" s="269">
        <f>[4]HOSIDEN!O17</f>
        <v>0</v>
      </c>
      <c r="Q17" s="270">
        <f>[4]HOSIDEN!P17</f>
        <v>0</v>
      </c>
      <c r="R17" s="271">
        <f t="shared" si="0"/>
        <v>1400000</v>
      </c>
      <c r="S17" s="261">
        <v>0</v>
      </c>
      <c r="T17" s="271">
        <f t="shared" si="1"/>
        <v>1400000</v>
      </c>
      <c r="U17" s="261"/>
      <c r="V17" s="261">
        <f>[4]HOSIDEN!T17</f>
        <v>0</v>
      </c>
    </row>
    <row r="18" spans="1:22" s="272" customFormat="1" ht="84" customHeight="1">
      <c r="A18" s="261">
        <v>5</v>
      </c>
      <c r="B18" s="262" t="str">
        <f>[4]HOSIDEN!U18</f>
        <v>LG2512/5046</v>
      </c>
      <c r="C18" s="263" t="s">
        <v>240</v>
      </c>
      <c r="D18" s="264">
        <f>[4]HOSIDEN!A18</f>
        <v>46143</v>
      </c>
      <c r="E18" s="265" t="str">
        <f>[4]HOSIDEN!C18</f>
        <v>HOSIDEN</v>
      </c>
      <c r="F18" s="264" t="str">
        <f>[4]HOSIDEN!F18</f>
        <v>260105HSD-P02
260105HSD-F08</v>
      </c>
      <c r="G18" s="262" t="str">
        <f>[4]HOSIDEN!S18</f>
        <v>29H 80353</v>
      </c>
      <c r="H18" s="262" t="str">
        <f>[4]HOSIDEN!D18</f>
        <v>KCN Thạch Thất, Hanoi- KCN Quang Chau, Bac Ninh</v>
      </c>
      <c r="I18" s="262" t="s">
        <v>241</v>
      </c>
      <c r="J18" s="262" t="str">
        <f>[4]HOSIDEN!G18</f>
        <v>2.5T</v>
      </c>
      <c r="K18" s="264" t="str">
        <f>[4]HOSIDEN!I18</f>
        <v>3 pallets
6 cartons</v>
      </c>
      <c r="L18" s="266" t="s">
        <v>242</v>
      </c>
      <c r="M18" s="267">
        <f>[4]HOSIDEN!L18</f>
        <v>1800000</v>
      </c>
      <c r="N18" s="268">
        <f>[4]HOSIDEN!M18</f>
        <v>300000</v>
      </c>
      <c r="O18" s="269">
        <f>[4]HOSIDEN!N18</f>
        <v>200000</v>
      </c>
      <c r="P18" s="269">
        <f>[4]HOSIDEN!O18</f>
        <v>0</v>
      </c>
      <c r="Q18" s="270">
        <f>[4]HOSIDEN!P18</f>
        <v>0</v>
      </c>
      <c r="R18" s="271">
        <f t="shared" si="0"/>
        <v>2300000</v>
      </c>
      <c r="S18" s="261">
        <v>0</v>
      </c>
      <c r="T18" s="271">
        <f t="shared" si="1"/>
        <v>2300000</v>
      </c>
      <c r="U18" s="261"/>
      <c r="V18" s="261" t="str">
        <f>[4]HOSIDEN!T18</f>
        <v>Chờ lấy hàng từ 18h đến 21h</v>
      </c>
    </row>
    <row r="19" spans="1:22" s="272" customFormat="1" ht="84" customHeight="1">
      <c r="A19" s="261">
        <v>6</v>
      </c>
      <c r="B19" s="262" t="str">
        <f>[4]HOSIDEN!U19</f>
        <v>LG2512/5047</v>
      </c>
      <c r="C19" s="263" t="s">
        <v>240</v>
      </c>
      <c r="D19" s="264">
        <f>[4]HOSIDEN!A19</f>
        <v>46143</v>
      </c>
      <c r="E19" s="265" t="str">
        <f>[4]HOSIDEN!C19</f>
        <v>HOSIDEN</v>
      </c>
      <c r="F19" s="264" t="str">
        <f>[4]HOSIDEN!F19</f>
        <v>260105HSD-P03</v>
      </c>
      <c r="G19" s="262" t="str">
        <f>[4]HOSIDEN!S19</f>
        <v>29E 26074</v>
      </c>
      <c r="H19" s="262" t="str">
        <f>[4]HOSIDEN!D19</f>
        <v>KCN Thạch Thất, Hanoi- KCN Quang Chau, Bac Ninh</v>
      </c>
      <c r="I19" s="262" t="s">
        <v>241</v>
      </c>
      <c r="J19" s="262" t="str">
        <f>[4]HOSIDEN!G19</f>
        <v>1.25T</v>
      </c>
      <c r="K19" s="264" t="str">
        <f>[4]HOSIDEN!I19</f>
        <v>1 pallet</v>
      </c>
      <c r="L19" s="266" t="s">
        <v>242</v>
      </c>
      <c r="M19" s="267">
        <f>[4]HOSIDEN!L19</f>
        <v>1200000</v>
      </c>
      <c r="N19" s="268">
        <f>[4]HOSIDEN!M19</f>
        <v>200000</v>
      </c>
      <c r="O19" s="269">
        <f>[4]HOSIDEN!N19</f>
        <v>0</v>
      </c>
      <c r="P19" s="269">
        <f>[4]HOSIDEN!O19</f>
        <v>0</v>
      </c>
      <c r="Q19" s="270">
        <f>[4]HOSIDEN!P19</f>
        <v>0</v>
      </c>
      <c r="R19" s="271">
        <f t="shared" si="0"/>
        <v>1400000</v>
      </c>
      <c r="S19" s="261">
        <v>0</v>
      </c>
      <c r="T19" s="271">
        <f t="shared" si="1"/>
        <v>1400000</v>
      </c>
      <c r="U19" s="261"/>
      <c r="V19" s="261">
        <f>[4]HOSIDEN!T19</f>
        <v>0</v>
      </c>
    </row>
    <row r="20" spans="1:22" s="272" customFormat="1" ht="84" customHeight="1">
      <c r="A20" s="261">
        <v>7</v>
      </c>
      <c r="B20" s="262" t="str">
        <f>[4]HOSIDEN!U20</f>
        <v>LG2512/5048</v>
      </c>
      <c r="C20" s="263" t="s">
        <v>240</v>
      </c>
      <c r="D20" s="264">
        <f>[4]HOSIDEN!A20</f>
        <v>46174</v>
      </c>
      <c r="E20" s="265" t="str">
        <f>[4]HOSIDEN!C20</f>
        <v>HOSIDEN</v>
      </c>
      <c r="F20" s="264" t="str">
        <f>[4]HOSIDEN!F20</f>
        <v>260105HSD-F09</v>
      </c>
      <c r="G20" s="262" t="str">
        <f>[4]HOSIDEN!S20</f>
        <v>29E 26078</v>
      </c>
      <c r="H20" s="262" t="str">
        <f>[4]HOSIDEN!D20</f>
        <v>KCN Thạch Thất, Hanoi- KCN Quang Chau, Bac Ninh</v>
      </c>
      <c r="I20" s="262" t="s">
        <v>241</v>
      </c>
      <c r="J20" s="262" t="str">
        <f>[4]HOSIDEN!G20</f>
        <v>1.25T</v>
      </c>
      <c r="K20" s="264" t="str">
        <f>[4]HOSIDEN!I20</f>
        <v>1 pallet</v>
      </c>
      <c r="L20" s="266" t="s">
        <v>242</v>
      </c>
      <c r="M20" s="267">
        <f>[4]HOSIDEN!L20</f>
        <v>1200000</v>
      </c>
      <c r="N20" s="268">
        <f>[4]HOSIDEN!M20</f>
        <v>200000</v>
      </c>
      <c r="O20" s="269">
        <f>[4]HOSIDEN!N20</f>
        <v>450000</v>
      </c>
      <c r="P20" s="269">
        <f>[4]HOSIDEN!O20</f>
        <v>0</v>
      </c>
      <c r="Q20" s="270">
        <f>[4]HOSIDEN!P20</f>
        <v>0</v>
      </c>
      <c r="R20" s="271">
        <f t="shared" si="0"/>
        <v>1850000</v>
      </c>
      <c r="S20" s="261">
        <v>0</v>
      </c>
      <c r="T20" s="271">
        <f t="shared" si="1"/>
        <v>1850000</v>
      </c>
      <c r="U20" s="261"/>
      <c r="V20" s="261" t="str">
        <f>[4]HOSIDEN!T20</f>
        <v xml:space="preserve">chờ giờ lấy hàng từ 6h đến 11h45 </v>
      </c>
    </row>
    <row r="21" spans="1:22" s="272" customFormat="1" ht="84" customHeight="1">
      <c r="A21" s="261">
        <v>8</v>
      </c>
      <c r="B21" s="262" t="str">
        <f>[4]HOSIDEN!U21</f>
        <v>LG2512/5049</v>
      </c>
      <c r="C21" s="263" t="s">
        <v>240</v>
      </c>
      <c r="D21" s="264">
        <f>[4]HOSIDEN!A21</f>
        <v>46174</v>
      </c>
      <c r="E21" s="265" t="str">
        <f>[4]HOSIDEN!C21</f>
        <v>HOSIDEN</v>
      </c>
      <c r="F21" s="264" t="str">
        <f>[4]HOSIDEN!F21</f>
        <v>260106HSD-P04; 260105HSD-F10</v>
      </c>
      <c r="G21" s="262" t="str">
        <f>[4]HOSIDEN!S21</f>
        <v>29H 88397</v>
      </c>
      <c r="H21" s="262" t="str">
        <f>[4]HOSIDEN!D21</f>
        <v>KCN Thạch Thất, Hanoi- KCN Quang Chau, Bac Ninh</v>
      </c>
      <c r="I21" s="262" t="s">
        <v>241</v>
      </c>
      <c r="J21" s="262" t="str">
        <f>[4]HOSIDEN!G21</f>
        <v>1.25T</v>
      </c>
      <c r="K21" s="264" t="str">
        <f>[4]HOSIDEN!I21</f>
        <v>1 pallet, 9 cartons</v>
      </c>
      <c r="L21" s="266" t="s">
        <v>242</v>
      </c>
      <c r="M21" s="267">
        <f>[4]HOSIDEN!L21</f>
        <v>1200000</v>
      </c>
      <c r="N21" s="268">
        <f>[4]HOSIDEN!M21</f>
        <v>200000</v>
      </c>
      <c r="O21" s="269">
        <f>[4]HOSIDEN!N21</f>
        <v>0</v>
      </c>
      <c r="P21" s="269">
        <f>[4]HOSIDEN!O21</f>
        <v>0</v>
      </c>
      <c r="Q21" s="270">
        <f>[4]HOSIDEN!P21</f>
        <v>0</v>
      </c>
      <c r="R21" s="271">
        <f t="shared" si="0"/>
        <v>1400000</v>
      </c>
      <c r="S21" s="261">
        <v>0</v>
      </c>
      <c r="T21" s="271">
        <f t="shared" si="1"/>
        <v>1400000</v>
      </c>
      <c r="U21" s="261"/>
      <c r="V21" s="261" t="str">
        <f>[4]HOSIDEN!T21</f>
        <v>Kèm pb thư</v>
      </c>
    </row>
    <row r="22" spans="1:22" s="272" customFormat="1" ht="84" customHeight="1">
      <c r="A22" s="261">
        <v>9</v>
      </c>
      <c r="B22" s="262" t="str">
        <f>[4]HOSIDEN!U22</f>
        <v>LG2512/5050</v>
      </c>
      <c r="C22" s="263" t="s">
        <v>240</v>
      </c>
      <c r="D22" s="264">
        <f>[4]HOSIDEN!A22</f>
        <v>46204</v>
      </c>
      <c r="E22" s="265" t="str">
        <f>[4]HOSIDEN!C22</f>
        <v>HOSIDEN</v>
      </c>
      <c r="F22" s="264" t="str">
        <f>[4]HOSIDEN!F22</f>
        <v>260105HSD-F11
260107HSD-F12</v>
      </c>
      <c r="G22" s="262" t="str">
        <f>[4]HOSIDEN!S22</f>
        <v>29E 26078</v>
      </c>
      <c r="H22" s="262" t="str">
        <f>[4]HOSIDEN!D22</f>
        <v>KCN Thạch Thất, Hanoi- KCN Quang Chau, Bac Ninh</v>
      </c>
      <c r="I22" s="262" t="s">
        <v>241</v>
      </c>
      <c r="J22" s="262" t="str">
        <f>[4]HOSIDEN!G22</f>
        <v>1.25T</v>
      </c>
      <c r="K22" s="264" t="str">
        <f>[4]HOSIDEN!I22</f>
        <v>1 pallet
1 carton</v>
      </c>
      <c r="L22" s="266" t="s">
        <v>242</v>
      </c>
      <c r="M22" s="267">
        <f>[4]HOSIDEN!L22</f>
        <v>1200000</v>
      </c>
      <c r="N22" s="268">
        <f>[4]HOSIDEN!M22</f>
        <v>200000</v>
      </c>
      <c r="O22" s="269">
        <f>[4]HOSIDEN!N22</f>
        <v>300000</v>
      </c>
      <c r="P22" s="269">
        <f>[4]HOSIDEN!O22</f>
        <v>0</v>
      </c>
      <c r="Q22" s="270">
        <f>[4]HOSIDEN!P22</f>
        <v>0</v>
      </c>
      <c r="R22" s="271">
        <f t="shared" si="0"/>
        <v>1700000</v>
      </c>
      <c r="S22" s="261">
        <v>0</v>
      </c>
      <c r="T22" s="271">
        <f t="shared" si="1"/>
        <v>1700000</v>
      </c>
      <c r="U22" s="261"/>
      <c r="V22" s="261" t="str">
        <f>[4]HOSIDEN!T22</f>
        <v>chờ giờ lấy hàng từ 6h đến 10h</v>
      </c>
    </row>
    <row r="23" spans="1:22" s="272" customFormat="1" ht="84" customHeight="1">
      <c r="A23" s="261">
        <v>10</v>
      </c>
      <c r="B23" s="262" t="str">
        <f>[4]HOSIDEN!U23</f>
        <v>LG2512/5051</v>
      </c>
      <c r="C23" s="263" t="s">
        <v>240</v>
      </c>
      <c r="D23" s="264">
        <f>[4]HOSIDEN!A23</f>
        <v>46204</v>
      </c>
      <c r="E23" s="265" t="str">
        <f>[4]HOSIDEN!C23</f>
        <v>HOSIDEN</v>
      </c>
      <c r="F23" s="264" t="str">
        <f>[4]HOSIDEN!F23</f>
        <v>260107HSD-F13</v>
      </c>
      <c r="G23" s="262" t="str">
        <f>[4]HOSIDEN!S23</f>
        <v>99H 02527</v>
      </c>
      <c r="H23" s="262" t="str">
        <f>[4]HOSIDEN!D23</f>
        <v>KCN Thạch Thất, Hanoi- KCN Quang Chau, Bac Ninh</v>
      </c>
      <c r="I23" s="262" t="s">
        <v>241</v>
      </c>
      <c r="J23" s="262" t="str">
        <f>[4]HOSIDEN!G23</f>
        <v>1.25T</v>
      </c>
      <c r="K23" s="264" t="str">
        <f>[4]HOSIDEN!I23</f>
        <v>1 pallet</v>
      </c>
      <c r="L23" s="266" t="s">
        <v>242</v>
      </c>
      <c r="M23" s="267">
        <f>[4]HOSIDEN!L23</f>
        <v>1200000</v>
      </c>
      <c r="N23" s="268">
        <f>[4]HOSIDEN!M23</f>
        <v>200000</v>
      </c>
      <c r="O23" s="269">
        <f>[4]HOSIDEN!N23</f>
        <v>0</v>
      </c>
      <c r="P23" s="269">
        <f>[4]HOSIDEN!O23</f>
        <v>0</v>
      </c>
      <c r="Q23" s="270">
        <f>[4]HOSIDEN!P23</f>
        <v>0</v>
      </c>
      <c r="R23" s="271">
        <f t="shared" si="0"/>
        <v>1400000</v>
      </c>
      <c r="S23" s="261">
        <v>0</v>
      </c>
      <c r="T23" s="271">
        <f t="shared" si="1"/>
        <v>1400000</v>
      </c>
      <c r="U23" s="261"/>
      <c r="V23" s="261">
        <f>[4]HOSIDEN!T23</f>
        <v>0</v>
      </c>
    </row>
    <row r="24" spans="1:22" s="272" customFormat="1" ht="84" customHeight="1">
      <c r="A24" s="261">
        <v>11</v>
      </c>
      <c r="B24" s="262" t="str">
        <f>[4]HOSIDEN!U24</f>
        <v>LG2512/5052</v>
      </c>
      <c r="C24" s="263" t="s">
        <v>240</v>
      </c>
      <c r="D24" s="264">
        <f>[4]HOSIDEN!A24</f>
        <v>46235</v>
      </c>
      <c r="E24" s="265" t="str">
        <f>[4]HOSIDEN!C24</f>
        <v>HOSIDEN</v>
      </c>
      <c r="F24" s="264" t="str">
        <f>[4]HOSIDEN!F24</f>
        <v>260107HSD-F14</v>
      </c>
      <c r="G24" s="262" t="str">
        <f>[4]HOSIDEN!S24</f>
        <v>29H 92126</v>
      </c>
      <c r="H24" s="262" t="str">
        <f>[4]HOSIDEN!D24</f>
        <v>KCN Thạch Thất, Hanoi- KCN Quang Chau, Bac Ninh</v>
      </c>
      <c r="I24" s="262" t="s">
        <v>241</v>
      </c>
      <c r="J24" s="262" t="str">
        <f>[4]HOSIDEN!G24</f>
        <v>1.25T</v>
      </c>
      <c r="K24" s="264" t="str">
        <f>[4]HOSIDEN!I24</f>
        <v>9 cartons</v>
      </c>
      <c r="L24" s="266" t="s">
        <v>242</v>
      </c>
      <c r="M24" s="267">
        <f>[4]HOSIDEN!L24</f>
        <v>1200000</v>
      </c>
      <c r="N24" s="268">
        <f>[4]HOSIDEN!M24</f>
        <v>200000</v>
      </c>
      <c r="O24" s="269">
        <f>[4]HOSIDEN!N24</f>
        <v>350000</v>
      </c>
      <c r="P24" s="269">
        <f>[4]HOSIDEN!O24</f>
        <v>0</v>
      </c>
      <c r="Q24" s="270">
        <f>[4]HOSIDEN!P24</f>
        <v>0</v>
      </c>
      <c r="R24" s="271">
        <f t="shared" si="0"/>
        <v>1750000</v>
      </c>
      <c r="S24" s="261">
        <v>0</v>
      </c>
      <c r="T24" s="271">
        <f t="shared" si="1"/>
        <v>1750000</v>
      </c>
      <c r="U24" s="261"/>
      <c r="V24" s="261" t="str">
        <f>[4]HOSIDEN!T24</f>
        <v>chờ lấy hàng  từ 6h đến 10h30</v>
      </c>
    </row>
    <row r="25" spans="1:22" s="272" customFormat="1" ht="84" customHeight="1">
      <c r="A25" s="261">
        <v>12</v>
      </c>
      <c r="B25" s="262" t="str">
        <f>[4]HOSIDEN!U25</f>
        <v>LG2512/5053</v>
      </c>
      <c r="C25" s="263" t="s">
        <v>240</v>
      </c>
      <c r="D25" s="264">
        <f>[4]HOSIDEN!A25</f>
        <v>46235</v>
      </c>
      <c r="E25" s="265" t="str">
        <f>[4]HOSIDEN!C25</f>
        <v>HOSIDEN</v>
      </c>
      <c r="F25" s="264" t="str">
        <f>[4]HOSIDEN!F25</f>
        <v>260108HSD-P05</v>
      </c>
      <c r="G25" s="262" t="str">
        <f>[4]HOSIDEN!S25</f>
        <v>29E 26577</v>
      </c>
      <c r="H25" s="262" t="str">
        <f>[4]HOSIDEN!D25</f>
        <v>KCN Thạch Thất, Hanoi- KCN Quang Chau, Bac Ninh</v>
      </c>
      <c r="I25" s="262" t="s">
        <v>241</v>
      </c>
      <c r="J25" s="262" t="str">
        <f>[4]HOSIDEN!G25</f>
        <v>1.25T</v>
      </c>
      <c r="K25" s="264" t="str">
        <f>[4]HOSIDEN!I25</f>
        <v>1 carton</v>
      </c>
      <c r="L25" s="266" t="s">
        <v>242</v>
      </c>
      <c r="M25" s="267">
        <f>[4]HOSIDEN!L25</f>
        <v>1200000</v>
      </c>
      <c r="N25" s="268">
        <f>[4]HOSIDEN!M25</f>
        <v>200000</v>
      </c>
      <c r="O25" s="269">
        <f>[4]HOSIDEN!N25</f>
        <v>0</v>
      </c>
      <c r="P25" s="269">
        <f>[4]HOSIDEN!O25</f>
        <v>0</v>
      </c>
      <c r="Q25" s="270">
        <f>[4]HOSIDEN!P25</f>
        <v>0</v>
      </c>
      <c r="R25" s="271">
        <f t="shared" si="0"/>
        <v>1400000</v>
      </c>
      <c r="S25" s="261">
        <v>0</v>
      </c>
      <c r="T25" s="271">
        <f t="shared" si="1"/>
        <v>1400000</v>
      </c>
      <c r="U25" s="261"/>
      <c r="V25" s="261">
        <f>[4]HOSIDEN!T25</f>
        <v>0</v>
      </c>
    </row>
    <row r="26" spans="1:22" s="272" customFormat="1" ht="84" customHeight="1">
      <c r="A26" s="261">
        <v>13</v>
      </c>
      <c r="B26" s="262" t="str">
        <f>[4]HOSIDEN!U26</f>
        <v>LG2512/5054</v>
      </c>
      <c r="C26" s="263" t="s">
        <v>240</v>
      </c>
      <c r="D26" s="264">
        <f>[4]HOSIDEN!A26</f>
        <v>46235</v>
      </c>
      <c r="E26" s="265" t="str">
        <f>[4]HOSIDEN!C26</f>
        <v>HOSIDEN</v>
      </c>
      <c r="F26" s="264" t="str">
        <f>[4]HOSIDEN!F26</f>
        <v>260108HSD-F15</v>
      </c>
      <c r="G26" s="262" t="str">
        <f>[4]HOSIDEN!S26</f>
        <v>29H 76514</v>
      </c>
      <c r="H26" s="262" t="str">
        <f>[4]HOSIDEN!D26</f>
        <v>KCN Thạch Thất, Hanoi- KCN Quang Chau, Bac Ninh</v>
      </c>
      <c r="I26" s="262" t="s">
        <v>241</v>
      </c>
      <c r="J26" s="262" t="str">
        <f>[4]HOSIDEN!G26</f>
        <v>1.25T</v>
      </c>
      <c r="K26" s="264" t="str">
        <f>[4]HOSIDEN!I26</f>
        <v>1 pallet</v>
      </c>
      <c r="L26" s="266" t="s">
        <v>242</v>
      </c>
      <c r="M26" s="267">
        <f>[4]HOSIDEN!L26</f>
        <v>1200000</v>
      </c>
      <c r="N26" s="268">
        <f>[4]HOSIDEN!M26</f>
        <v>200000</v>
      </c>
      <c r="O26" s="269">
        <f>[4]HOSIDEN!N26</f>
        <v>0</v>
      </c>
      <c r="P26" s="269">
        <f>[4]HOSIDEN!O26</f>
        <v>0</v>
      </c>
      <c r="Q26" s="270">
        <f>[4]HOSIDEN!P26</f>
        <v>0</v>
      </c>
      <c r="R26" s="271">
        <f t="shared" si="0"/>
        <v>1400000</v>
      </c>
      <c r="S26" s="261">
        <v>0</v>
      </c>
      <c r="T26" s="271">
        <f t="shared" si="1"/>
        <v>1400000</v>
      </c>
      <c r="U26" s="261"/>
      <c r="V26" s="261">
        <f>[4]HOSIDEN!T26</f>
        <v>0</v>
      </c>
    </row>
    <row r="27" spans="1:22" s="272" customFormat="1" ht="84" customHeight="1">
      <c r="A27" s="261">
        <v>14</v>
      </c>
      <c r="B27" s="262" t="str">
        <f>[4]HOSIDEN!U27</f>
        <v>LG2512/5055</v>
      </c>
      <c r="C27" s="263" t="s">
        <v>240</v>
      </c>
      <c r="D27" s="264">
        <f>[4]HOSIDEN!A27</f>
        <v>46266</v>
      </c>
      <c r="E27" s="265" t="str">
        <f>[4]HOSIDEN!C27</f>
        <v>HOSIDEN</v>
      </c>
      <c r="F27" s="264" t="str">
        <f>[4]HOSIDEN!F27</f>
        <v>260108HSD-P06, 260108HSD-F16</v>
      </c>
      <c r="G27" s="262" t="str">
        <f>[4]HOSIDEN!S27</f>
        <v>29H 80353</v>
      </c>
      <c r="H27" s="262" t="str">
        <f>[4]HOSIDEN!D27</f>
        <v>KCN Thạch Thất, Hanoi- KCN Quang Chau, Bac Ninh</v>
      </c>
      <c r="I27" s="262" t="s">
        <v>241</v>
      </c>
      <c r="J27" s="262" t="str">
        <f>[4]HOSIDEN!G27</f>
        <v>1.25T</v>
      </c>
      <c r="K27" s="264" t="str">
        <f>[4]HOSIDEN!I27</f>
        <v>3 pallets và 7 cartons</v>
      </c>
      <c r="L27" s="266" t="s">
        <v>242</v>
      </c>
      <c r="M27" s="267">
        <f>[4]HOSIDEN!L27</f>
        <v>1200000</v>
      </c>
      <c r="N27" s="268">
        <f>[4]HOSIDEN!M27</f>
        <v>200000</v>
      </c>
      <c r="O27" s="269">
        <f>[4]HOSIDEN!N27</f>
        <v>300000</v>
      </c>
      <c r="P27" s="269">
        <f>[4]HOSIDEN!O27</f>
        <v>0</v>
      </c>
      <c r="Q27" s="270">
        <f>[4]HOSIDEN!P27</f>
        <v>0</v>
      </c>
      <c r="R27" s="271">
        <f t="shared" si="0"/>
        <v>1700000</v>
      </c>
      <c r="S27" s="261">
        <v>0</v>
      </c>
      <c r="T27" s="271">
        <f t="shared" si="1"/>
        <v>1700000</v>
      </c>
      <c r="U27" s="261"/>
      <c r="V27" s="261" t="str">
        <f>[4]HOSIDEN!T27</f>
        <v>Chờ lấy hàng từ 6h đến 10h</v>
      </c>
    </row>
    <row r="28" spans="1:22" s="272" customFormat="1" ht="84" customHeight="1">
      <c r="A28" s="261">
        <v>15</v>
      </c>
      <c r="B28" s="262" t="str">
        <f>[4]HOSIDEN!U28</f>
        <v>LG2512/5056</v>
      </c>
      <c r="C28" s="263" t="s">
        <v>240</v>
      </c>
      <c r="D28" s="264">
        <f>[4]HOSIDEN!A28</f>
        <v>46266</v>
      </c>
      <c r="E28" s="265" t="str">
        <f>[4]HOSIDEN!C28</f>
        <v>HOSIDEN</v>
      </c>
      <c r="F28" s="264" t="str">
        <f>[4]HOSIDEN!F28</f>
        <v>260109HSD-F17</v>
      </c>
      <c r="G28" s="262" t="str">
        <f>[4]HOSIDEN!S28</f>
        <v>29H 70769</v>
      </c>
      <c r="H28" s="262" t="str">
        <f>[4]HOSIDEN!D28</f>
        <v>KCN Thạch Thất, Hanoi- KCN Quang Chau, Bac Ninh</v>
      </c>
      <c r="I28" s="262" t="s">
        <v>241</v>
      </c>
      <c r="J28" s="262" t="str">
        <f>[4]HOSIDEN!G28</f>
        <v>1.25T</v>
      </c>
      <c r="K28" s="264" t="str">
        <f>[4]HOSIDEN!I28</f>
        <v>7 cartons</v>
      </c>
      <c r="L28" s="266" t="s">
        <v>242</v>
      </c>
      <c r="M28" s="267">
        <f>[4]HOSIDEN!L28</f>
        <v>1200000</v>
      </c>
      <c r="N28" s="268">
        <f>[4]HOSIDEN!M28</f>
        <v>200000</v>
      </c>
      <c r="O28" s="269">
        <f>[4]HOSIDEN!N28</f>
        <v>0</v>
      </c>
      <c r="P28" s="269">
        <f>[4]HOSIDEN!O28</f>
        <v>0</v>
      </c>
      <c r="Q28" s="270">
        <f>[4]HOSIDEN!P28</f>
        <v>0</v>
      </c>
      <c r="R28" s="271">
        <f t="shared" si="0"/>
        <v>1400000</v>
      </c>
      <c r="S28" s="261">
        <v>0</v>
      </c>
      <c r="T28" s="271">
        <f t="shared" si="1"/>
        <v>1400000</v>
      </c>
      <c r="U28" s="261"/>
      <c r="V28" s="261">
        <f>[4]HOSIDEN!T28</f>
        <v>0</v>
      </c>
    </row>
    <row r="29" spans="1:22" s="272" customFormat="1" ht="84" customHeight="1">
      <c r="A29" s="261">
        <v>16</v>
      </c>
      <c r="B29" s="262" t="str">
        <f>[4]HOSIDEN!U29</f>
        <v>LG2512/5057</v>
      </c>
      <c r="C29" s="263" t="s">
        <v>240</v>
      </c>
      <c r="D29" s="264">
        <f>[4]HOSIDEN!A29</f>
        <v>46296</v>
      </c>
      <c r="E29" s="265" t="str">
        <f>[4]HOSIDEN!C29</f>
        <v>HOSIDEN</v>
      </c>
      <c r="F29" s="264" t="str">
        <f>[4]HOSIDEN!F29</f>
        <v>260109HSD-F18</v>
      </c>
      <c r="G29" s="262" t="str">
        <f>[4]HOSIDEN!S29</f>
        <v>29E 26072</v>
      </c>
      <c r="H29" s="262" t="str">
        <f>[4]HOSIDEN!D29</f>
        <v>KCN Thạch Thất, Hanoi- KCN Quang Chau, Bac Ninh</v>
      </c>
      <c r="I29" s="262" t="s">
        <v>241</v>
      </c>
      <c r="J29" s="262" t="str">
        <f>[4]HOSIDEN!G29</f>
        <v>1.25T</v>
      </c>
      <c r="K29" s="264" t="str">
        <f>[4]HOSIDEN!I29</f>
        <v>8 cartons</v>
      </c>
      <c r="L29" s="266" t="s">
        <v>242</v>
      </c>
      <c r="M29" s="267">
        <f>[4]HOSIDEN!L29</f>
        <v>1200000</v>
      </c>
      <c r="N29" s="268">
        <f>[4]HOSIDEN!M29</f>
        <v>200000</v>
      </c>
      <c r="O29" s="269">
        <f>[4]HOSIDEN!N29</f>
        <v>0</v>
      </c>
      <c r="P29" s="269">
        <f>[4]HOSIDEN!O29</f>
        <v>0</v>
      </c>
      <c r="Q29" s="270">
        <f>[4]HOSIDEN!P29</f>
        <v>0</v>
      </c>
      <c r="R29" s="271">
        <f t="shared" si="0"/>
        <v>1400000</v>
      </c>
      <c r="S29" s="261">
        <v>0</v>
      </c>
      <c r="T29" s="271">
        <f t="shared" si="1"/>
        <v>1400000</v>
      </c>
      <c r="U29" s="261"/>
      <c r="V29" s="261">
        <f>[4]HOSIDEN!T29</f>
        <v>0</v>
      </c>
    </row>
    <row r="30" spans="1:22" s="272" customFormat="1" ht="84" customHeight="1">
      <c r="A30" s="261">
        <v>17</v>
      </c>
      <c r="B30" s="262" t="str">
        <f>[4]HOSIDEN!U30</f>
        <v>LG2512/5058</v>
      </c>
      <c r="C30" s="263" t="s">
        <v>240</v>
      </c>
      <c r="D30" s="264">
        <f>[4]HOSIDEN!A30</f>
        <v>46327</v>
      </c>
      <c r="E30" s="265" t="str">
        <f>[4]HOSIDEN!C30</f>
        <v>HOSIDEN</v>
      </c>
      <c r="F30" s="264" t="str">
        <f>[4]HOSIDEN!F30</f>
        <v>260110HSD-F19
260110HSD-F20
260111HSD-P07</v>
      </c>
      <c r="G30" s="262" t="str">
        <f>[4]HOSIDEN!S30</f>
        <v>29H 76514</v>
      </c>
      <c r="H30" s="262" t="str">
        <f>[4]HOSIDEN!D30</f>
        <v>KCN Thạch Thất, Hanoi- KCN Quang Chau, Bac Ninh</v>
      </c>
      <c r="I30" s="262" t="s">
        <v>241</v>
      </c>
      <c r="J30" s="262" t="str">
        <f>[4]HOSIDEN!G30</f>
        <v>1.25T</v>
      </c>
      <c r="K30" s="264" t="str">
        <f>[4]HOSIDEN!I30</f>
        <v>19 cartons</v>
      </c>
      <c r="L30" s="266" t="s">
        <v>242</v>
      </c>
      <c r="M30" s="267">
        <f>[4]HOSIDEN!L30</f>
        <v>1200000</v>
      </c>
      <c r="N30" s="268">
        <f>[4]HOSIDEN!M30</f>
        <v>200000</v>
      </c>
      <c r="O30" s="269">
        <f>[4]HOSIDEN!N30</f>
        <v>0</v>
      </c>
      <c r="P30" s="269">
        <f>[4]HOSIDEN!O30</f>
        <v>0</v>
      </c>
      <c r="Q30" s="270">
        <f>[4]HOSIDEN!P30</f>
        <v>0</v>
      </c>
      <c r="R30" s="271">
        <f t="shared" si="0"/>
        <v>1400000</v>
      </c>
      <c r="S30" s="261">
        <v>0</v>
      </c>
      <c r="T30" s="271">
        <f t="shared" si="1"/>
        <v>1400000</v>
      </c>
      <c r="U30" s="261"/>
      <c r="V30" s="261">
        <f>[4]HOSIDEN!T30</f>
        <v>0</v>
      </c>
    </row>
    <row r="31" spans="1:22" s="272" customFormat="1" ht="84" customHeight="1">
      <c r="A31" s="261">
        <v>18</v>
      </c>
      <c r="B31" s="262" t="str">
        <f>[4]HOSIDEN!U31</f>
        <v>LG2512/5059</v>
      </c>
      <c r="C31" s="263" t="s">
        <v>240</v>
      </c>
      <c r="D31" s="264">
        <f>[4]HOSIDEN!A31</f>
        <v>46357</v>
      </c>
      <c r="E31" s="265" t="str">
        <f>[4]HOSIDEN!C31</f>
        <v>HOSIDEN</v>
      </c>
      <c r="F31" s="264" t="str">
        <f>[4]HOSIDEN!F31</f>
        <v>260112HSD-F21</v>
      </c>
      <c r="G31" s="262" t="str">
        <f>[4]HOSIDEN!S31</f>
        <v>29K 05633</v>
      </c>
      <c r="H31" s="262" t="str">
        <f>[4]HOSIDEN!D31</f>
        <v>KCN Thạch Thất, Hanoi- KCN Quang Chau, Bac Ninh</v>
      </c>
      <c r="I31" s="262" t="s">
        <v>241</v>
      </c>
      <c r="J31" s="262" t="str">
        <f>[4]HOSIDEN!G31</f>
        <v>1.25T</v>
      </c>
      <c r="K31" s="264" t="str">
        <f>[4]HOSIDEN!I31</f>
        <v>1 pallet</v>
      </c>
      <c r="L31" s="266" t="s">
        <v>242</v>
      </c>
      <c r="M31" s="267">
        <f>[4]HOSIDEN!L31</f>
        <v>1200000</v>
      </c>
      <c r="N31" s="268">
        <f>[4]HOSIDEN!M31</f>
        <v>200000</v>
      </c>
      <c r="O31" s="269">
        <f>[4]HOSIDEN!N31</f>
        <v>0</v>
      </c>
      <c r="P31" s="269">
        <f>[4]HOSIDEN!O31</f>
        <v>0</v>
      </c>
      <c r="Q31" s="270">
        <f>[4]HOSIDEN!P31</f>
        <v>0</v>
      </c>
      <c r="R31" s="271">
        <f t="shared" si="0"/>
        <v>1400000</v>
      </c>
      <c r="S31" s="261">
        <v>0</v>
      </c>
      <c r="T31" s="271">
        <f t="shared" si="1"/>
        <v>1400000</v>
      </c>
      <c r="U31" s="261"/>
      <c r="V31" s="261">
        <f>[4]HOSIDEN!T31</f>
        <v>0</v>
      </c>
    </row>
    <row r="32" spans="1:22" s="272" customFormat="1" ht="84" customHeight="1">
      <c r="A32" s="261">
        <v>19</v>
      </c>
      <c r="B32" s="262" t="str">
        <f>[4]HOSIDEN!U32</f>
        <v>LG2512/5060</v>
      </c>
      <c r="C32" s="263" t="s">
        <v>240</v>
      </c>
      <c r="D32" s="264" t="str">
        <f>[4]HOSIDEN!A32</f>
        <v>13/01/2026</v>
      </c>
      <c r="E32" s="265" t="str">
        <f>[4]HOSIDEN!C32</f>
        <v>HOSIDEN</v>
      </c>
      <c r="F32" s="264" t="str">
        <f>[4]HOSIDEN!F32</f>
        <v>260113HSD-F22</v>
      </c>
      <c r="G32" s="262" t="str">
        <f>[4]HOSIDEN!S32</f>
        <v>29H 27651</v>
      </c>
      <c r="H32" s="262" t="str">
        <f>[4]HOSIDEN!D32</f>
        <v>KCN Thạch Thất, Hanoi- KCN Quang Chau, Bac Ninh</v>
      </c>
      <c r="I32" s="262" t="s">
        <v>241</v>
      </c>
      <c r="J32" s="262" t="str">
        <f>[4]HOSIDEN!G32</f>
        <v>1.25T</v>
      </c>
      <c r="K32" s="264" t="str">
        <f>[4]HOSIDEN!I32</f>
        <v>7 cartons</v>
      </c>
      <c r="L32" s="266" t="s">
        <v>242</v>
      </c>
      <c r="M32" s="267">
        <f>[4]HOSIDEN!L32</f>
        <v>1200000</v>
      </c>
      <c r="N32" s="268">
        <f>[4]HOSIDEN!M32</f>
        <v>200000</v>
      </c>
      <c r="O32" s="269">
        <f>[4]HOSIDEN!N32</f>
        <v>0</v>
      </c>
      <c r="P32" s="269">
        <f>[4]HOSIDEN!O32</f>
        <v>0</v>
      </c>
      <c r="Q32" s="270">
        <f>[4]HOSIDEN!P32</f>
        <v>0</v>
      </c>
      <c r="R32" s="271">
        <f t="shared" si="0"/>
        <v>1400000</v>
      </c>
      <c r="S32" s="261">
        <v>0</v>
      </c>
      <c r="T32" s="271">
        <f t="shared" si="1"/>
        <v>1400000</v>
      </c>
      <c r="U32" s="261"/>
      <c r="V32" s="261">
        <f>[4]HOSIDEN!T32</f>
        <v>0</v>
      </c>
    </row>
    <row r="33" spans="1:23" s="272" customFormat="1" ht="84" customHeight="1">
      <c r="A33" s="261">
        <v>20</v>
      </c>
      <c r="B33" s="262" t="str">
        <f>[4]HOSIDEN!U33</f>
        <v>LG2512/5061</v>
      </c>
      <c r="C33" s="263" t="s">
        <v>240</v>
      </c>
      <c r="D33" s="264" t="str">
        <f>[4]HOSIDEN!A33</f>
        <v>13/01/2026</v>
      </c>
      <c r="E33" s="265" t="str">
        <f>[4]HOSIDEN!C33</f>
        <v>HOSIDEN</v>
      </c>
      <c r="F33" s="264" t="str">
        <f>[4]HOSIDEN!F33</f>
        <v>260112HSD-F23</v>
      </c>
      <c r="G33" s="262" t="str">
        <f>[4]HOSIDEN!S33</f>
        <v>29H 76819</v>
      </c>
      <c r="H33" s="262" t="str">
        <f>[4]HOSIDEN!D33</f>
        <v>KCN Thạch Thất, Hanoi- KCN Quang Chau, Bac Ninh</v>
      </c>
      <c r="I33" s="262" t="s">
        <v>241</v>
      </c>
      <c r="J33" s="262" t="str">
        <f>[4]HOSIDEN!G33</f>
        <v>1.25T</v>
      </c>
      <c r="K33" s="264" t="str">
        <f>[4]HOSIDEN!I33</f>
        <v>1 pallet</v>
      </c>
      <c r="L33" s="266" t="s">
        <v>242</v>
      </c>
      <c r="M33" s="267">
        <f>[4]HOSIDEN!L33</f>
        <v>1200000</v>
      </c>
      <c r="N33" s="268">
        <f>[4]HOSIDEN!M33</f>
        <v>200000</v>
      </c>
      <c r="O33" s="269">
        <f>[4]HOSIDEN!N33</f>
        <v>0</v>
      </c>
      <c r="P33" s="269">
        <f>[4]HOSIDEN!O33</f>
        <v>0</v>
      </c>
      <c r="Q33" s="270">
        <f>[4]HOSIDEN!P33</f>
        <v>0</v>
      </c>
      <c r="R33" s="271">
        <f t="shared" si="0"/>
        <v>1400000</v>
      </c>
      <c r="S33" s="261">
        <v>0</v>
      </c>
      <c r="T33" s="271">
        <f t="shared" si="1"/>
        <v>1400000</v>
      </c>
      <c r="U33" s="261"/>
      <c r="V33" s="261">
        <f>[4]HOSIDEN!T33</f>
        <v>0</v>
      </c>
    </row>
    <row r="34" spans="1:23" s="272" customFormat="1" ht="84" customHeight="1">
      <c r="A34" s="261">
        <v>21</v>
      </c>
      <c r="B34" s="262" t="str">
        <f>[4]HOSIDEN!U34</f>
        <v>LG2512/5062</v>
      </c>
      <c r="C34" s="263" t="s">
        <v>240</v>
      </c>
      <c r="D34" s="264" t="str">
        <f>[4]HOSIDEN!A34</f>
        <v>14/01/2026</v>
      </c>
      <c r="E34" s="265" t="str">
        <f>[4]HOSIDEN!C34</f>
        <v>HOSIDEN</v>
      </c>
      <c r="F34" s="264" t="str">
        <f>[4]HOSIDEN!F34</f>
        <v>260114HosidenSP-10, 260114HSD-F24</v>
      </c>
      <c r="G34" s="262" t="str">
        <f>[4]HOSIDEN!S34</f>
        <v>29E 26078</v>
      </c>
      <c r="H34" s="262" t="str">
        <f>[4]HOSIDEN!D34</f>
        <v>KCN Thạch Thất, Hanoi- KCN Quang Chau, Bac Ninh</v>
      </c>
      <c r="I34" s="262" t="s">
        <v>241</v>
      </c>
      <c r="J34" s="262" t="str">
        <f>[4]HOSIDEN!G34</f>
        <v>1.25T</v>
      </c>
      <c r="K34" s="264" t="str">
        <f>[4]HOSIDEN!I34</f>
        <v>5 cartons</v>
      </c>
      <c r="L34" s="266" t="s">
        <v>242</v>
      </c>
      <c r="M34" s="267">
        <f>[4]HOSIDEN!L34</f>
        <v>1200000</v>
      </c>
      <c r="N34" s="268">
        <f>[4]HOSIDEN!M34</f>
        <v>200000</v>
      </c>
      <c r="O34" s="269">
        <f>[4]HOSIDEN!N34</f>
        <v>0</v>
      </c>
      <c r="P34" s="269">
        <f>[4]HOSIDEN!O34</f>
        <v>0</v>
      </c>
      <c r="Q34" s="270">
        <f>[4]HOSIDEN!P34</f>
        <v>0</v>
      </c>
      <c r="R34" s="271">
        <f t="shared" si="0"/>
        <v>1400000</v>
      </c>
      <c r="S34" s="261">
        <v>0</v>
      </c>
      <c r="T34" s="271">
        <f t="shared" si="1"/>
        <v>1400000</v>
      </c>
      <c r="U34" s="261"/>
      <c r="V34" s="261">
        <f>[4]HOSIDEN!T34</f>
        <v>0</v>
      </c>
    </row>
    <row r="35" spans="1:23" s="272" customFormat="1" ht="84" customHeight="1">
      <c r="A35" s="261">
        <v>22</v>
      </c>
      <c r="B35" s="262" t="str">
        <f>[4]HOSIDEN!U35</f>
        <v>LG2512/5063</v>
      </c>
      <c r="C35" s="263" t="s">
        <v>240</v>
      </c>
      <c r="D35" s="264" t="str">
        <f>[4]HOSIDEN!A35</f>
        <v>14/01/2026</v>
      </c>
      <c r="E35" s="265" t="str">
        <f>[4]HOSIDEN!C35</f>
        <v>HOSIDEN</v>
      </c>
      <c r="F35" s="264" t="str">
        <f>[4]HOSIDEN!F35</f>
        <v>260114HSD-F25; 260114HSD-P08</v>
      </c>
      <c r="G35" s="262" t="str">
        <f>[4]HOSIDEN!S35</f>
        <v>29H 76819</v>
      </c>
      <c r="H35" s="262" t="str">
        <f>[4]HOSIDEN!D35</f>
        <v>KCN Thạch Thất, Hanoi- KCN Quang Chau, Bac Ninh</v>
      </c>
      <c r="I35" s="262" t="s">
        <v>241</v>
      </c>
      <c r="J35" s="262" t="str">
        <f>[4]HOSIDEN!G35</f>
        <v>1.25T</v>
      </c>
      <c r="K35" s="264" t="str">
        <f>[4]HOSIDEN!I35</f>
        <v>6 cartons, 1 pallet</v>
      </c>
      <c r="L35" s="266" t="s">
        <v>242</v>
      </c>
      <c r="M35" s="267">
        <f>[4]HOSIDEN!L35</f>
        <v>1200000</v>
      </c>
      <c r="N35" s="268">
        <f>[4]HOSIDEN!M35</f>
        <v>200000</v>
      </c>
      <c r="O35" s="269">
        <f>[4]HOSIDEN!N35</f>
        <v>0</v>
      </c>
      <c r="P35" s="269">
        <f>[4]HOSIDEN!O35</f>
        <v>0</v>
      </c>
      <c r="Q35" s="270">
        <f>[4]HOSIDEN!P35</f>
        <v>0</v>
      </c>
      <c r="R35" s="271">
        <f t="shared" si="0"/>
        <v>1400000</v>
      </c>
      <c r="S35" s="261">
        <v>0</v>
      </c>
      <c r="T35" s="271">
        <f t="shared" si="1"/>
        <v>1400000</v>
      </c>
      <c r="U35" s="261"/>
      <c r="V35" s="261">
        <f>[4]HOSIDEN!T35</f>
        <v>0</v>
      </c>
    </row>
    <row r="36" spans="1:23" s="272" customFormat="1" ht="84" customHeight="1">
      <c r="A36" s="261">
        <v>23</v>
      </c>
      <c r="B36" s="262" t="str">
        <f>[4]HOSIDEN!U36</f>
        <v>LG2512/5064</v>
      </c>
      <c r="C36" s="263" t="s">
        <v>240</v>
      </c>
      <c r="D36" s="264" t="str">
        <f>[4]HOSIDEN!A36</f>
        <v>15/01/2026</v>
      </c>
      <c r="E36" s="265" t="str">
        <f>[4]HOSIDEN!C36</f>
        <v>HOSIDEN</v>
      </c>
      <c r="F36" s="264" t="str">
        <f>[4]HOSIDEN!F36</f>
        <v>260115HSD-F26</v>
      </c>
      <c r="G36" s="262" t="str">
        <f>[4]HOSIDEN!S36</f>
        <v>29E 26061</v>
      </c>
      <c r="H36" s="262" t="str">
        <f>[4]HOSIDEN!D36</f>
        <v>KCN Thạch Thất, Hanoi- KCN Quang Chau, Bac Ninh</v>
      </c>
      <c r="I36" s="262" t="s">
        <v>241</v>
      </c>
      <c r="J36" s="262" t="str">
        <f>[4]HOSIDEN!G36</f>
        <v>1.25T</v>
      </c>
      <c r="K36" s="264" t="str">
        <f>[4]HOSIDEN!I36</f>
        <v>8 CT</v>
      </c>
      <c r="L36" s="266" t="s">
        <v>242</v>
      </c>
      <c r="M36" s="267">
        <f>[4]HOSIDEN!L36</f>
        <v>1200000</v>
      </c>
      <c r="N36" s="268">
        <f>[4]HOSIDEN!M36</f>
        <v>200000</v>
      </c>
      <c r="O36" s="269">
        <f>[4]HOSIDEN!N36</f>
        <v>0</v>
      </c>
      <c r="P36" s="269">
        <f>[4]HOSIDEN!O36</f>
        <v>0</v>
      </c>
      <c r="Q36" s="270">
        <f>[4]HOSIDEN!P36</f>
        <v>0</v>
      </c>
      <c r="R36" s="271">
        <f t="shared" si="0"/>
        <v>1400000</v>
      </c>
      <c r="S36" s="261">
        <v>0</v>
      </c>
      <c r="T36" s="271">
        <f t="shared" si="1"/>
        <v>1400000</v>
      </c>
      <c r="U36" s="261"/>
      <c r="V36" s="261">
        <f>[4]HOSIDEN!T36</f>
        <v>0</v>
      </c>
    </row>
    <row r="37" spans="1:23" s="272" customFormat="1" ht="84" customHeight="1">
      <c r="A37" s="261">
        <v>24</v>
      </c>
      <c r="B37" s="262" t="str">
        <f>[4]HOSIDEN!U37</f>
        <v>LG2512/5065</v>
      </c>
      <c r="C37" s="263" t="s">
        <v>240</v>
      </c>
      <c r="D37" s="264" t="str">
        <f>[4]HOSIDEN!A37</f>
        <v>15/01/2026</v>
      </c>
      <c r="E37" s="265" t="str">
        <f>[4]HOSIDEN!C37</f>
        <v>HOSIDEN</v>
      </c>
      <c r="F37" s="264" t="str">
        <f>[4]HOSIDEN!F37</f>
        <v>260115HSD-F27</v>
      </c>
      <c r="G37" s="262" t="str">
        <f>[4]HOSIDEN!S37</f>
        <v>29H 88330</v>
      </c>
      <c r="H37" s="262" t="str">
        <f>[4]HOSIDEN!D37</f>
        <v>KCN Thạch Thất, Hanoi- KCN Quang Chau, Bac Ninh</v>
      </c>
      <c r="I37" s="262" t="s">
        <v>241</v>
      </c>
      <c r="J37" s="262" t="str">
        <f>[4]HOSIDEN!G37</f>
        <v>1.25T</v>
      </c>
      <c r="K37" s="264" t="str">
        <f>[4]HOSIDEN!I37</f>
        <v>1 pallet</v>
      </c>
      <c r="L37" s="266" t="s">
        <v>242</v>
      </c>
      <c r="M37" s="267">
        <f>[4]HOSIDEN!L37</f>
        <v>1200000</v>
      </c>
      <c r="N37" s="268">
        <f>[4]HOSIDEN!M37</f>
        <v>200000</v>
      </c>
      <c r="O37" s="269">
        <f>[4]HOSIDEN!N37</f>
        <v>0</v>
      </c>
      <c r="P37" s="269">
        <f>[4]HOSIDEN!O37</f>
        <v>0</v>
      </c>
      <c r="Q37" s="270">
        <f>[4]HOSIDEN!P37</f>
        <v>0</v>
      </c>
      <c r="R37" s="271">
        <f t="shared" si="0"/>
        <v>1400000</v>
      </c>
      <c r="S37" s="261">
        <v>0</v>
      </c>
      <c r="T37" s="271">
        <f t="shared" si="1"/>
        <v>1400000</v>
      </c>
      <c r="U37" s="261"/>
      <c r="V37" s="261">
        <f>[4]HOSIDEN!T37</f>
        <v>0</v>
      </c>
    </row>
    <row r="38" spans="1:23" s="272" customFormat="1" ht="84" customHeight="1">
      <c r="A38" s="261">
        <v>25</v>
      </c>
      <c r="B38" s="262" t="str">
        <f>[4]HOSIDEN!U38</f>
        <v>LG2512/5066</v>
      </c>
      <c r="C38" s="263" t="s">
        <v>240</v>
      </c>
      <c r="D38" s="264" t="str">
        <f>[4]HOSIDEN!A38</f>
        <v>16/01/2026</v>
      </c>
      <c r="E38" s="265" t="str">
        <f>[4]HOSIDEN!C38</f>
        <v>HOSIDEN</v>
      </c>
      <c r="F38" s="264" t="str">
        <f>[4]HOSIDEN!F38</f>
        <v>260115HSD-F28</v>
      </c>
      <c r="G38" s="262" t="str">
        <f>[4]HOSIDEN!S38</f>
        <v>29H 92126</v>
      </c>
      <c r="H38" s="262" t="str">
        <f>[4]HOSIDEN!D38</f>
        <v>KCN Thạch Thất, Hanoi- KCN Quang Chau, Bac Ninh</v>
      </c>
      <c r="I38" s="262" t="s">
        <v>241</v>
      </c>
      <c r="J38" s="262" t="str">
        <f>[4]HOSIDEN!G38</f>
        <v>1.25T</v>
      </c>
      <c r="K38" s="264" t="str">
        <f>[4]HOSIDEN!I38</f>
        <v>6 cartons</v>
      </c>
      <c r="L38" s="266" t="s">
        <v>242</v>
      </c>
      <c r="M38" s="267">
        <f>[4]HOSIDEN!L38</f>
        <v>1200000</v>
      </c>
      <c r="N38" s="268">
        <f>[4]HOSIDEN!M38</f>
        <v>200000</v>
      </c>
      <c r="O38" s="269">
        <f>[4]HOSIDEN!N38</f>
        <v>100000</v>
      </c>
      <c r="P38" s="269">
        <f>[4]HOSIDEN!O38</f>
        <v>0</v>
      </c>
      <c r="Q38" s="270">
        <f>[4]HOSIDEN!P38</f>
        <v>0</v>
      </c>
      <c r="R38" s="271">
        <f t="shared" si="0"/>
        <v>1500000</v>
      </c>
      <c r="S38" s="261">
        <v>0</v>
      </c>
      <c r="T38" s="271">
        <f t="shared" si="1"/>
        <v>1500000</v>
      </c>
      <c r="U38" s="261"/>
      <c r="V38" s="261" t="str">
        <f>[4]HOSIDEN!T38</f>
        <v>chờ lấy hàng từ 6h đến 8h</v>
      </c>
    </row>
    <row r="39" spans="1:23" s="272" customFormat="1" ht="84" customHeight="1">
      <c r="A39" s="261">
        <v>26</v>
      </c>
      <c r="B39" s="262" t="str">
        <f>[4]HOSIDEN!U39</f>
        <v>LG2512/5067</v>
      </c>
      <c r="C39" s="263" t="s">
        <v>240</v>
      </c>
      <c r="D39" s="264" t="str">
        <f>[4]HOSIDEN!A39</f>
        <v>16/01/2026</v>
      </c>
      <c r="E39" s="265" t="str">
        <f>[4]HOSIDEN!C39</f>
        <v>HOSIDEN</v>
      </c>
      <c r="F39" s="264" t="str">
        <f>[4]HOSIDEN!F39</f>
        <v>260116HSD-F29; 260116HSD-P09 ; 260116HSD-FOC-02</v>
      </c>
      <c r="G39" s="262" t="str">
        <f>[4]HOSIDEN!S39</f>
        <v>29H 70641</v>
      </c>
      <c r="H39" s="262" t="str">
        <f>[4]HOSIDEN!D39</f>
        <v>KCN Thạch Thất, Hanoi- KCN Quang Chau, Bac Ninh</v>
      </c>
      <c r="I39" s="262" t="s">
        <v>241</v>
      </c>
      <c r="J39" s="262" t="str">
        <f>[4]HOSIDEN!G39</f>
        <v>5T</v>
      </c>
      <c r="K39" s="264" t="str">
        <f>[4]HOSIDEN!I39</f>
        <v>5 pallets, 1 carton</v>
      </c>
      <c r="L39" s="266" t="s">
        <v>242</v>
      </c>
      <c r="M39" s="267">
        <f>[4]HOSIDEN!L39</f>
        <v>2750000</v>
      </c>
      <c r="N39" s="268">
        <f>[4]HOSIDEN!M39</f>
        <v>610000</v>
      </c>
      <c r="O39" s="269">
        <f>[4]HOSIDEN!N39</f>
        <v>0</v>
      </c>
      <c r="P39" s="269">
        <f>[4]HOSIDEN!O39</f>
        <v>0</v>
      </c>
      <c r="Q39" s="270">
        <f>[4]HOSIDEN!P39</f>
        <v>0</v>
      </c>
      <c r="R39" s="271">
        <f t="shared" si="0"/>
        <v>3360000</v>
      </c>
      <c r="S39" s="261">
        <v>0</v>
      </c>
      <c r="T39" s="271">
        <f t="shared" si="1"/>
        <v>3360000</v>
      </c>
      <c r="U39" s="261"/>
      <c r="V39" s="261">
        <f>[4]HOSIDEN!T39</f>
        <v>0</v>
      </c>
    </row>
    <row r="40" spans="1:23" s="272" customFormat="1" ht="84" customHeight="1">
      <c r="A40" s="261">
        <v>27</v>
      </c>
      <c r="B40" s="262" t="str">
        <f>[4]HOSIDEN!U40</f>
        <v>LG2512/5068</v>
      </c>
      <c r="C40" s="263" t="s">
        <v>240</v>
      </c>
      <c r="D40" s="264" t="str">
        <f>[4]HOSIDEN!A40</f>
        <v>17/01/2026</v>
      </c>
      <c r="E40" s="265" t="str">
        <f>[4]HOSIDEN!C40</f>
        <v>HOSIDEN</v>
      </c>
      <c r="F40" s="264" t="str">
        <f>[4]HOSIDEN!F40</f>
        <v>260117HSD-F30</v>
      </c>
      <c r="G40" s="262" t="str">
        <f>[4]HOSIDEN!S40</f>
        <v>29H 80353</v>
      </c>
      <c r="H40" s="262" t="str">
        <f>[4]HOSIDEN!D40</f>
        <v>KCN Thạch Thất, Hanoi- KCN Quang Chau, Bac Ninh</v>
      </c>
      <c r="I40" s="262" t="s">
        <v>241</v>
      </c>
      <c r="J40" s="262" t="str">
        <f>[4]HOSIDEN!G40</f>
        <v>1.25T</v>
      </c>
      <c r="K40" s="264" t="str">
        <f>[4]HOSIDEN!I40</f>
        <v>9 cartons</v>
      </c>
      <c r="L40" s="266" t="s">
        <v>242</v>
      </c>
      <c r="M40" s="267">
        <f>[4]HOSIDEN!L40</f>
        <v>1200000</v>
      </c>
      <c r="N40" s="268">
        <f>[4]HOSIDEN!M40</f>
        <v>200000</v>
      </c>
      <c r="O40" s="269">
        <f>[4]HOSIDEN!N40</f>
        <v>0</v>
      </c>
      <c r="P40" s="269">
        <f>[4]HOSIDEN!O40</f>
        <v>0</v>
      </c>
      <c r="Q40" s="270">
        <f>[4]HOSIDEN!P40</f>
        <v>0</v>
      </c>
      <c r="R40" s="271">
        <f t="shared" si="0"/>
        <v>1400000</v>
      </c>
      <c r="S40" s="261">
        <v>0</v>
      </c>
      <c r="T40" s="271">
        <f t="shared" si="1"/>
        <v>1400000</v>
      </c>
      <c r="U40" s="261"/>
      <c r="V40" s="261">
        <f>[4]HOSIDEN!T40</f>
        <v>0</v>
      </c>
    </row>
    <row r="41" spans="1:23" s="272" customFormat="1" ht="84" customHeight="1">
      <c r="A41" s="261">
        <v>28</v>
      </c>
      <c r="B41" s="262" t="str">
        <f>[4]HOSIDEN!U41</f>
        <v>LG2512/5069</v>
      </c>
      <c r="C41" s="263" t="s">
        <v>240</v>
      </c>
      <c r="D41" s="264" t="str">
        <f>[4]HOSIDEN!A41</f>
        <v>17/01/2026</v>
      </c>
      <c r="E41" s="265" t="str">
        <f>[4]HOSIDEN!C41</f>
        <v>HOSIDEN</v>
      </c>
      <c r="F41" s="264" t="str">
        <f>[4]HOSIDEN!F41</f>
        <v>260117HSD-F31</v>
      </c>
      <c r="G41" s="262" t="str">
        <f>[4]HOSIDEN!S41</f>
        <v>29H 79107</v>
      </c>
      <c r="H41" s="262" t="str">
        <f>[4]HOSIDEN!D41</f>
        <v>KCN Thạch Thất, Hanoi- KCN Quang Chau, Bac Ninh</v>
      </c>
      <c r="I41" s="262" t="s">
        <v>241</v>
      </c>
      <c r="J41" s="262" t="str">
        <f>[4]HOSIDEN!G41</f>
        <v>1.25T</v>
      </c>
      <c r="K41" s="264" t="str">
        <f>[4]HOSIDEN!I41</f>
        <v>4 cartons</v>
      </c>
      <c r="L41" s="266" t="s">
        <v>242</v>
      </c>
      <c r="M41" s="267">
        <f>[4]HOSIDEN!L41</f>
        <v>1200000</v>
      </c>
      <c r="N41" s="268">
        <f>[4]HOSIDEN!M41</f>
        <v>200000</v>
      </c>
      <c r="O41" s="269">
        <f>[4]HOSIDEN!N41</f>
        <v>0</v>
      </c>
      <c r="P41" s="269">
        <f>[4]HOSIDEN!O41</f>
        <v>0</v>
      </c>
      <c r="Q41" s="270">
        <f>[4]HOSIDEN!P41</f>
        <v>0</v>
      </c>
      <c r="R41" s="271">
        <f t="shared" si="0"/>
        <v>1400000</v>
      </c>
      <c r="S41" s="261">
        <v>0</v>
      </c>
      <c r="T41" s="271">
        <f t="shared" si="1"/>
        <v>1400000</v>
      </c>
      <c r="U41" s="261"/>
      <c r="V41" s="261">
        <f>[4]HOSIDEN!T41</f>
        <v>0</v>
      </c>
    </row>
    <row r="42" spans="1:23" s="272" customFormat="1" ht="84" customHeight="1">
      <c r="A42" s="261">
        <v>29</v>
      </c>
      <c r="B42" s="262" t="str">
        <f>[4]HOSIDEN!U42</f>
        <v>LG2512/5070</v>
      </c>
      <c r="C42" s="263" t="s">
        <v>240</v>
      </c>
      <c r="D42" s="264" t="str">
        <f>[4]HOSIDEN!A42</f>
        <v>18/01/2026</v>
      </c>
      <c r="E42" s="265" t="str">
        <f>[4]HOSIDEN!C42</f>
        <v>HOSIDEN</v>
      </c>
      <c r="F42" s="264" t="str">
        <f>[4]HOSIDEN!F42</f>
        <v>260118HSD-F32</v>
      </c>
      <c r="G42" s="262" t="str">
        <f>[4]HOSIDEN!S42</f>
        <v>29H 45344</v>
      </c>
      <c r="H42" s="262" t="str">
        <f>[4]HOSIDEN!D42</f>
        <v>KCN Thạch Thất, Hanoi- KCN Quang Chau, Bac Ninh</v>
      </c>
      <c r="I42" s="262" t="s">
        <v>241</v>
      </c>
      <c r="J42" s="262" t="str">
        <f>[4]HOSIDEN!G42</f>
        <v>1.25T</v>
      </c>
      <c r="K42" s="264" t="str">
        <f>[4]HOSIDEN!I42</f>
        <v>8 cartons</v>
      </c>
      <c r="L42" s="266" t="s">
        <v>242</v>
      </c>
      <c r="M42" s="267">
        <f>[4]HOSIDEN!L42</f>
        <v>1200000</v>
      </c>
      <c r="N42" s="268">
        <f>[4]HOSIDEN!M42</f>
        <v>200000</v>
      </c>
      <c r="O42" s="269">
        <f>[4]HOSIDEN!N42</f>
        <v>0</v>
      </c>
      <c r="P42" s="269">
        <f>[4]HOSIDEN!O42</f>
        <v>0</v>
      </c>
      <c r="Q42" s="270">
        <f>[4]HOSIDEN!P42</f>
        <v>0</v>
      </c>
      <c r="R42" s="271">
        <f t="shared" si="0"/>
        <v>1400000</v>
      </c>
      <c r="S42" s="261">
        <v>0</v>
      </c>
      <c r="T42" s="271">
        <f t="shared" si="1"/>
        <v>1400000</v>
      </c>
      <c r="U42" s="261"/>
      <c r="V42" s="261">
        <f>[4]HOSIDEN!T42</f>
        <v>0</v>
      </c>
    </row>
    <row r="43" spans="1:23" s="272" customFormat="1" ht="84" customHeight="1">
      <c r="A43" s="261">
        <v>30</v>
      </c>
      <c r="B43" s="262" t="str">
        <f>[4]HOSIDEN!U43</f>
        <v>LG2512/5071</v>
      </c>
      <c r="C43" s="263" t="s">
        <v>240</v>
      </c>
      <c r="D43" s="264" t="str">
        <f>[4]HOSIDEN!A43</f>
        <v>19/01/2026</v>
      </c>
      <c r="E43" s="265" t="str">
        <f>[4]HOSIDEN!C43</f>
        <v>HOSIDEN</v>
      </c>
      <c r="F43" s="264" t="str">
        <f>[4]HOSIDEN!F43</f>
        <v>260119HSD-F33</v>
      </c>
      <c r="G43" s="262" t="str">
        <f>[4]HOSIDEN!S43</f>
        <v>29E 26061</v>
      </c>
      <c r="H43" s="262" t="str">
        <f>[4]HOSIDEN!D43</f>
        <v>KCN Thạch Thất, Hanoi- KCN Quang Chau, Bac Ninh</v>
      </c>
      <c r="I43" s="262" t="s">
        <v>241</v>
      </c>
      <c r="J43" s="262" t="str">
        <f>[4]HOSIDEN!G43</f>
        <v>1.25T</v>
      </c>
      <c r="K43" s="264" t="str">
        <f>[4]HOSIDEN!I43</f>
        <v>1 pallet</v>
      </c>
      <c r="L43" s="266" t="s">
        <v>242</v>
      </c>
      <c r="M43" s="267">
        <f>[4]HOSIDEN!L43</f>
        <v>1200000</v>
      </c>
      <c r="N43" s="268">
        <f>[4]HOSIDEN!M43</f>
        <v>200000</v>
      </c>
      <c r="O43" s="269">
        <f>[4]HOSIDEN!N43</f>
        <v>0</v>
      </c>
      <c r="P43" s="269">
        <f>[4]HOSIDEN!O43</f>
        <v>0</v>
      </c>
      <c r="Q43" s="270">
        <f>[4]HOSIDEN!P43</f>
        <v>0</v>
      </c>
      <c r="R43" s="271">
        <f t="shared" si="0"/>
        <v>1400000</v>
      </c>
      <c r="S43" s="261">
        <v>0</v>
      </c>
      <c r="T43" s="271">
        <f t="shared" si="1"/>
        <v>1400000</v>
      </c>
      <c r="U43" s="261"/>
      <c r="V43" s="261">
        <f>[4]HOSIDEN!T43</f>
        <v>0</v>
      </c>
      <c r="W43" s="272">
        <f>37+37</f>
        <v>74</v>
      </c>
    </row>
    <row r="44" spans="1:23" s="272" customFormat="1" ht="84" customHeight="1">
      <c r="A44" s="261">
        <v>31</v>
      </c>
      <c r="B44" s="262" t="str">
        <f>[4]HOSIDEN!U44</f>
        <v>LG2512/5072</v>
      </c>
      <c r="C44" s="263" t="s">
        <v>240</v>
      </c>
      <c r="D44" s="264" t="str">
        <f>[4]HOSIDEN!A44</f>
        <v>20/01/2026</v>
      </c>
      <c r="E44" s="265" t="str">
        <f>[4]HOSIDEN!C44</f>
        <v>HOSIDEN</v>
      </c>
      <c r="F44" s="264" t="str">
        <f>[4]HOSIDEN!F44</f>
        <v>260119HSD-P10</v>
      </c>
      <c r="G44" s="262" t="str">
        <f>[4]HOSIDEN!S44</f>
        <v>29H 80353</v>
      </c>
      <c r="H44" s="262" t="str">
        <f>[4]HOSIDEN!D44</f>
        <v>KCN Thạch Thất, Hanoi- KCN Quang Chau, Bac Ninh</v>
      </c>
      <c r="I44" s="262" t="s">
        <v>241</v>
      </c>
      <c r="J44" s="262" t="str">
        <f>[4]HOSIDEN!G44</f>
        <v>1.25T</v>
      </c>
      <c r="K44" s="264" t="str">
        <f>[4]HOSIDEN!I44</f>
        <v>4 cartons</v>
      </c>
      <c r="L44" s="266" t="s">
        <v>242</v>
      </c>
      <c r="M44" s="267">
        <f>[4]HOSIDEN!L44</f>
        <v>1200000</v>
      </c>
      <c r="N44" s="268">
        <f>[4]HOSIDEN!M44</f>
        <v>200000</v>
      </c>
      <c r="O44" s="269">
        <f>[4]HOSIDEN!N44</f>
        <v>300000</v>
      </c>
      <c r="P44" s="269">
        <f>[4]HOSIDEN!O44</f>
        <v>0</v>
      </c>
      <c r="Q44" s="270">
        <f>[4]HOSIDEN!P44</f>
        <v>0</v>
      </c>
      <c r="R44" s="271">
        <f t="shared" si="0"/>
        <v>1700000</v>
      </c>
      <c r="S44" s="261">
        <v>0</v>
      </c>
      <c r="T44" s="271">
        <f t="shared" si="1"/>
        <v>1700000</v>
      </c>
      <c r="U44" s="261"/>
      <c r="V44" s="261" t="str">
        <f>[4]HOSIDEN!T44</f>
        <v xml:space="preserve">  Chờ lấy hàng từ 0h đến 4h</v>
      </c>
    </row>
    <row r="45" spans="1:23" s="272" customFormat="1" ht="84" customHeight="1">
      <c r="A45" s="261">
        <v>32</v>
      </c>
      <c r="B45" s="262" t="str">
        <f>[4]HOSIDEN!U45</f>
        <v>LG2512/5073</v>
      </c>
      <c r="C45" s="263" t="s">
        <v>240</v>
      </c>
      <c r="D45" s="264" t="str">
        <f>[4]HOSIDEN!A45</f>
        <v>20/01/2026</v>
      </c>
      <c r="E45" s="265" t="str">
        <f>[4]HOSIDEN!C45</f>
        <v>HOSIDEN</v>
      </c>
      <c r="F45" s="264" t="str">
        <f>[4]HOSIDEN!F45</f>
        <v>260119HSD-P11</v>
      </c>
      <c r="G45" s="262" t="str">
        <f>[4]HOSIDEN!S45</f>
        <v>29H 70663</v>
      </c>
      <c r="H45" s="262" t="str">
        <f>[4]HOSIDEN!D45</f>
        <v>KCN Thạch Thất, Hanoi- KCN Quang Chau, Bac Ninh</v>
      </c>
      <c r="I45" s="262" t="s">
        <v>241</v>
      </c>
      <c r="J45" s="262" t="str">
        <f>[4]HOSIDEN!G45</f>
        <v>1.25T</v>
      </c>
      <c r="K45" s="264" t="str">
        <f>[4]HOSIDEN!I45</f>
        <v>4 cartons</v>
      </c>
      <c r="L45" s="266" t="s">
        <v>242</v>
      </c>
      <c r="M45" s="267">
        <f>[4]HOSIDEN!L45</f>
        <v>1200000</v>
      </c>
      <c r="N45" s="268">
        <f>[4]HOSIDEN!M45</f>
        <v>200000</v>
      </c>
      <c r="O45" s="269">
        <f>[4]HOSIDEN!N45</f>
        <v>300000</v>
      </c>
      <c r="P45" s="269">
        <f>[4]HOSIDEN!O45</f>
        <v>0</v>
      </c>
      <c r="Q45" s="270">
        <f>[4]HOSIDEN!P45</f>
        <v>0</v>
      </c>
      <c r="R45" s="271">
        <f t="shared" si="0"/>
        <v>1700000</v>
      </c>
      <c r="S45" s="261">
        <v>0</v>
      </c>
      <c r="T45" s="271">
        <f t="shared" si="1"/>
        <v>1700000</v>
      </c>
      <c r="U45" s="261"/>
      <c r="V45" s="261" t="str">
        <f>[4]HOSIDEN!T45</f>
        <v xml:space="preserve"> chờ lấy hàng từ 6h - 10h</v>
      </c>
    </row>
    <row r="46" spans="1:23" s="272" customFormat="1" ht="84" customHeight="1">
      <c r="A46" s="261">
        <v>33</v>
      </c>
      <c r="B46" s="262" t="str">
        <f>[4]HOSIDEN!U46</f>
        <v>LG2512/5074</v>
      </c>
      <c r="C46" s="263" t="s">
        <v>240</v>
      </c>
      <c r="D46" s="264" t="str">
        <f>[4]HOSIDEN!A46</f>
        <v>20/01/2026</v>
      </c>
      <c r="E46" s="265" t="str">
        <f>[4]HOSIDEN!C46</f>
        <v>HOSIDEN</v>
      </c>
      <c r="F46" s="264" t="str">
        <f>[4]HOSIDEN!F46</f>
        <v>260120HSD-P12</v>
      </c>
      <c r="G46" s="262" t="str">
        <f>[4]HOSIDEN!S46</f>
        <v>29H 88330</v>
      </c>
      <c r="H46" s="262" t="str">
        <f>[4]HOSIDEN!D46</f>
        <v>KCN Thạch Thất, Hanoi- KCN Quang Chau, Bac Ninh</v>
      </c>
      <c r="I46" s="262" t="s">
        <v>241</v>
      </c>
      <c r="J46" s="262" t="str">
        <f>[4]HOSIDEN!G46</f>
        <v>3.5T</v>
      </c>
      <c r="K46" s="264" t="str">
        <f>[4]HOSIDEN!I46</f>
        <v>4 pallets</v>
      </c>
      <c r="L46" s="266" t="s">
        <v>242</v>
      </c>
      <c r="M46" s="267">
        <f>[4]HOSIDEN!L46</f>
        <v>1900000</v>
      </c>
      <c r="N46" s="268">
        <f>[4]HOSIDEN!M46</f>
        <v>400000</v>
      </c>
      <c r="O46" s="269">
        <f>[4]HOSIDEN!N46</f>
        <v>0</v>
      </c>
      <c r="P46" s="269">
        <f>[4]HOSIDEN!O46</f>
        <v>0</v>
      </c>
      <c r="Q46" s="270">
        <f>[4]HOSIDEN!P46</f>
        <v>0</v>
      </c>
      <c r="R46" s="271">
        <f t="shared" si="0"/>
        <v>2300000</v>
      </c>
      <c r="S46" s="261">
        <v>0</v>
      </c>
      <c r="T46" s="271">
        <f t="shared" si="1"/>
        <v>2300000</v>
      </c>
      <c r="U46" s="261"/>
      <c r="V46" s="261">
        <f>[4]HOSIDEN!T46</f>
        <v>0</v>
      </c>
    </row>
    <row r="47" spans="1:23" s="272" customFormat="1" ht="84" customHeight="1">
      <c r="A47" s="261">
        <v>34</v>
      </c>
      <c r="B47" s="262" t="str">
        <f>[4]HOSIDEN!U47</f>
        <v>LG2512/5075</v>
      </c>
      <c r="C47" s="263" t="s">
        <v>240</v>
      </c>
      <c r="D47" s="264" t="str">
        <f>[4]HOSIDEN!A47</f>
        <v>20/01/2026</v>
      </c>
      <c r="E47" s="265" t="str">
        <f>[4]HOSIDEN!C47</f>
        <v>HOSIDEN</v>
      </c>
      <c r="F47" s="264" t="str">
        <f>[4]HOSIDEN!F47</f>
        <v>260120HSD-P13</v>
      </c>
      <c r="G47" s="262" t="str">
        <f>[4]HOSIDEN!S47</f>
        <v>29H 80353</v>
      </c>
      <c r="H47" s="262" t="str">
        <f>[4]HOSIDEN!D47</f>
        <v>KCN Thạch Thất, Hanoi- KCN Quang Chau, Bac Ninh</v>
      </c>
      <c r="I47" s="262" t="s">
        <v>241</v>
      </c>
      <c r="J47" s="262" t="str">
        <f>[4]HOSIDEN!G47</f>
        <v>1.25T</v>
      </c>
      <c r="K47" s="264" t="str">
        <f>[4]HOSIDEN!I47</f>
        <v>6 cartons</v>
      </c>
      <c r="L47" s="266" t="s">
        <v>242</v>
      </c>
      <c r="M47" s="267">
        <f>[4]HOSIDEN!L47</f>
        <v>1200000</v>
      </c>
      <c r="N47" s="268">
        <f>[4]HOSIDEN!M47</f>
        <v>200000</v>
      </c>
      <c r="O47" s="269">
        <f>[4]HOSIDEN!N47</f>
        <v>0</v>
      </c>
      <c r="P47" s="269">
        <f>[4]HOSIDEN!O47</f>
        <v>0</v>
      </c>
      <c r="Q47" s="270">
        <f>[4]HOSIDEN!P47</f>
        <v>0</v>
      </c>
      <c r="R47" s="271">
        <f t="shared" si="0"/>
        <v>1400000</v>
      </c>
      <c r="S47" s="261">
        <v>0</v>
      </c>
      <c r="T47" s="271">
        <f t="shared" si="1"/>
        <v>1400000</v>
      </c>
      <c r="U47" s="261"/>
      <c r="V47" s="261">
        <f>[4]HOSIDEN!T47</f>
        <v>0</v>
      </c>
    </row>
    <row r="48" spans="1:23" s="272" customFormat="1" ht="84" customHeight="1">
      <c r="A48" s="261">
        <v>35</v>
      </c>
      <c r="B48" s="262" t="str">
        <f>[4]HOSIDEN!U48</f>
        <v>LG2512/5076</v>
      </c>
      <c r="C48" s="263" t="s">
        <v>240</v>
      </c>
      <c r="D48" s="264" t="str">
        <f>[4]HOSIDEN!A48</f>
        <v>21/01/2026</v>
      </c>
      <c r="E48" s="265" t="str">
        <f>[4]HOSIDEN!C48</f>
        <v>HOSIDEN</v>
      </c>
      <c r="F48" s="264" t="str">
        <f>[4]HOSIDEN!F48</f>
        <v>260121HSD-P14</v>
      </c>
      <c r="G48" s="262" t="str">
        <f>[4]HOSIDEN!S48</f>
        <v>29H 76819</v>
      </c>
      <c r="H48" s="262" t="str">
        <f>[4]HOSIDEN!D48</f>
        <v>KCN Thạch Thất, Hanoi- KCN Quang Chau, Bac Ninh</v>
      </c>
      <c r="I48" s="262" t="s">
        <v>241</v>
      </c>
      <c r="J48" s="262" t="str">
        <f>[4]HOSIDEN!G48</f>
        <v>1.25T</v>
      </c>
      <c r="K48" s="264" t="str">
        <f>[4]HOSIDEN!I48</f>
        <v>1 pallet</v>
      </c>
      <c r="L48" s="266" t="s">
        <v>242</v>
      </c>
      <c r="M48" s="267">
        <f>[4]HOSIDEN!L48</f>
        <v>1200000</v>
      </c>
      <c r="N48" s="268">
        <f>[4]HOSIDEN!M48</f>
        <v>200000</v>
      </c>
      <c r="O48" s="269">
        <f>[4]HOSIDEN!N48</f>
        <v>0</v>
      </c>
      <c r="P48" s="269">
        <f>[4]HOSIDEN!O48</f>
        <v>0</v>
      </c>
      <c r="Q48" s="270">
        <f>[4]HOSIDEN!P48</f>
        <v>0</v>
      </c>
      <c r="R48" s="271">
        <f t="shared" si="0"/>
        <v>1400000</v>
      </c>
      <c r="S48" s="261">
        <v>0</v>
      </c>
      <c r="T48" s="271">
        <f t="shared" si="1"/>
        <v>1400000</v>
      </c>
      <c r="U48" s="261"/>
      <c r="V48" s="261">
        <f>[4]HOSIDEN!T48</f>
        <v>0</v>
      </c>
    </row>
    <row r="49" spans="1:22" s="272" customFormat="1" ht="84" customHeight="1">
      <c r="A49" s="261">
        <v>36</v>
      </c>
      <c r="B49" s="262" t="str">
        <f>[4]HOSIDEN!U49</f>
        <v>LG2512/5077</v>
      </c>
      <c r="C49" s="263" t="s">
        <v>240</v>
      </c>
      <c r="D49" s="264" t="str">
        <f>[4]HOSIDEN!A49</f>
        <v>22/01/2026</v>
      </c>
      <c r="E49" s="265" t="str">
        <f>[4]HOSIDEN!C49</f>
        <v>HOSIDEN</v>
      </c>
      <c r="F49" s="264" t="str">
        <f>[4]HOSIDEN!F49</f>
        <v>260121HSD-P15</v>
      </c>
      <c r="G49" s="262" t="str">
        <f>[4]HOSIDEN!S49</f>
        <v>29F 05985</v>
      </c>
      <c r="H49" s="262" t="str">
        <f>[4]HOSIDEN!D49</f>
        <v>KCN Thạch Thất, Hanoi- KCN Quang Chau, Bac Ninh</v>
      </c>
      <c r="I49" s="262" t="s">
        <v>241</v>
      </c>
      <c r="J49" s="262" t="str">
        <f>[4]HOSIDEN!G49</f>
        <v>1.25T</v>
      </c>
      <c r="K49" s="264" t="str">
        <f>[4]HOSIDEN!I49</f>
        <v>8 cartons</v>
      </c>
      <c r="L49" s="266" t="s">
        <v>242</v>
      </c>
      <c r="M49" s="267">
        <f>[4]HOSIDEN!L49</f>
        <v>1200000</v>
      </c>
      <c r="N49" s="268">
        <f>[4]HOSIDEN!M49</f>
        <v>200000</v>
      </c>
      <c r="O49" s="269">
        <f>[4]HOSIDEN!N49</f>
        <v>0</v>
      </c>
      <c r="P49" s="269">
        <f>[4]HOSIDEN!O49</f>
        <v>0</v>
      </c>
      <c r="Q49" s="270">
        <f>[4]HOSIDEN!P49</f>
        <v>0</v>
      </c>
      <c r="R49" s="271">
        <f t="shared" si="0"/>
        <v>1400000</v>
      </c>
      <c r="S49" s="261">
        <v>0</v>
      </c>
      <c r="T49" s="271">
        <f t="shared" si="1"/>
        <v>1400000</v>
      </c>
      <c r="U49" s="261"/>
      <c r="V49" s="261">
        <f>[4]HOSIDEN!T49</f>
        <v>0</v>
      </c>
    </row>
    <row r="50" spans="1:22" s="272" customFormat="1" ht="84" customHeight="1">
      <c r="A50" s="261">
        <v>37</v>
      </c>
      <c r="B50" s="262" t="str">
        <f>[4]HOSIDEN!U50</f>
        <v>LG2512/5078</v>
      </c>
      <c r="C50" s="263" t="s">
        <v>240</v>
      </c>
      <c r="D50" s="264" t="str">
        <f>[4]HOSIDEN!A50</f>
        <v>22/01/2026</v>
      </c>
      <c r="E50" s="265" t="str">
        <f>[4]HOSIDEN!C50</f>
        <v>HOSIDEN</v>
      </c>
      <c r="F50" s="264" t="str">
        <f>[4]HOSIDEN!F50</f>
        <v>260121HSD-P16; 260121HSD-F34</v>
      </c>
      <c r="G50" s="262" t="str">
        <f>[4]HOSIDEN!S50</f>
        <v>29H 92126</v>
      </c>
      <c r="H50" s="262" t="str">
        <f>[4]HOSIDEN!D50</f>
        <v>KCN Thạch Thất, Hanoi- KCN Quang Chau, Bac Ninh</v>
      </c>
      <c r="I50" s="262" t="s">
        <v>241</v>
      </c>
      <c r="J50" s="262" t="str">
        <f>[4]HOSIDEN!G50</f>
        <v>1.25T</v>
      </c>
      <c r="K50" s="264" t="str">
        <f>[4]HOSIDEN!I50</f>
        <v>8 cartons; 6 cartons</v>
      </c>
      <c r="L50" s="266" t="s">
        <v>242</v>
      </c>
      <c r="M50" s="267">
        <f>[4]HOSIDEN!L50</f>
        <v>1200000</v>
      </c>
      <c r="N50" s="268">
        <f>[4]HOSIDEN!M50</f>
        <v>200000</v>
      </c>
      <c r="O50" s="269">
        <f>[4]HOSIDEN!N50</f>
        <v>150000</v>
      </c>
      <c r="P50" s="269">
        <f>[4]HOSIDEN!O50</f>
        <v>0</v>
      </c>
      <c r="Q50" s="270">
        <f>[4]HOSIDEN!P50</f>
        <v>0</v>
      </c>
      <c r="R50" s="271">
        <f t="shared" si="0"/>
        <v>1550000</v>
      </c>
      <c r="S50" s="261">
        <v>0</v>
      </c>
      <c r="T50" s="271">
        <f t="shared" si="1"/>
        <v>1550000</v>
      </c>
      <c r="U50" s="261"/>
      <c r="V50" s="261" t="str">
        <f>[4]HOSIDEN!T50</f>
        <v>chờ lấy hàng từ 6h đến 8h30</v>
      </c>
    </row>
    <row r="51" spans="1:22" s="272" customFormat="1" ht="84" customHeight="1">
      <c r="A51" s="261">
        <v>38</v>
      </c>
      <c r="B51" s="262" t="str">
        <f>[4]HOSIDEN!U51</f>
        <v>LG2512/5079</v>
      </c>
      <c r="C51" s="263" t="s">
        <v>240</v>
      </c>
      <c r="D51" s="264" t="str">
        <f>[4]HOSIDEN!A51</f>
        <v>22/01/2026</v>
      </c>
      <c r="E51" s="265" t="str">
        <f>[4]HOSIDEN!C51</f>
        <v>HOSIDEN</v>
      </c>
      <c r="F51" s="264" t="str">
        <f>[4]HOSIDEN!F51</f>
        <v>260122HSD-P17; 260122HSD-F35</v>
      </c>
      <c r="G51" s="262" t="str">
        <f>[4]HOSIDEN!S51</f>
        <v>29H 79107</v>
      </c>
      <c r="H51" s="262" t="str">
        <f>[4]HOSIDEN!D51</f>
        <v>KCN Thạch Thất, Hanoi- KCN Quang Chau, Bac Ninh</v>
      </c>
      <c r="I51" s="262" t="s">
        <v>241</v>
      </c>
      <c r="J51" s="262" t="str">
        <f>[4]HOSIDEN!G51</f>
        <v>1.25T</v>
      </c>
      <c r="K51" s="264" t="str">
        <f>[4]HOSIDEN!I51</f>
        <v>4 cartons; 4 cartons</v>
      </c>
      <c r="L51" s="266" t="s">
        <v>242</v>
      </c>
      <c r="M51" s="267">
        <f>[4]HOSIDEN!L51</f>
        <v>1200000</v>
      </c>
      <c r="N51" s="268">
        <f>[4]HOSIDEN!M51</f>
        <v>200000</v>
      </c>
      <c r="O51" s="269">
        <f>[4]HOSIDEN!N51</f>
        <v>400000</v>
      </c>
      <c r="P51" s="269">
        <f>[4]HOSIDEN!O51</f>
        <v>0</v>
      </c>
      <c r="Q51" s="270">
        <f>[4]HOSIDEN!P51</f>
        <v>0</v>
      </c>
      <c r="R51" s="271">
        <f t="shared" si="0"/>
        <v>1800000</v>
      </c>
      <c r="S51" s="261">
        <v>0</v>
      </c>
      <c r="T51" s="271">
        <f t="shared" si="1"/>
        <v>1800000</v>
      </c>
      <c r="U51" s="261"/>
      <c r="V51" s="261">
        <f>[4]HOSIDEN!T51</f>
        <v>0</v>
      </c>
    </row>
    <row r="52" spans="1:22" s="272" customFormat="1" ht="84" customHeight="1">
      <c r="A52" s="261">
        <v>39</v>
      </c>
      <c r="B52" s="262" t="str">
        <f>[4]HOSIDEN!U52</f>
        <v>LG2512/5080</v>
      </c>
      <c r="C52" s="263" t="s">
        <v>240</v>
      </c>
      <c r="D52" s="264" t="str">
        <f>[4]HOSIDEN!A52</f>
        <v>23/01/2026</v>
      </c>
      <c r="E52" s="265" t="str">
        <f>[4]HOSIDEN!C52</f>
        <v>HOSIDEN</v>
      </c>
      <c r="F52" s="264" t="str">
        <f>[4]HOSIDEN!F52</f>
        <v>260122HSD-P18</v>
      </c>
      <c r="G52" s="262" t="str">
        <f>[4]HOSIDEN!S52</f>
        <v>29E 26078</v>
      </c>
      <c r="H52" s="262" t="str">
        <f>[4]HOSIDEN!D52</f>
        <v>KCN Thạch Thất, Hanoi- KCN Quang Chau, Bac Ninh</v>
      </c>
      <c r="I52" s="262" t="s">
        <v>241</v>
      </c>
      <c r="J52" s="262" t="str">
        <f>[4]HOSIDEN!G52</f>
        <v>1.25T</v>
      </c>
      <c r="K52" s="264" t="str">
        <f>[4]HOSIDEN!I52</f>
        <v>4 cartons</v>
      </c>
      <c r="L52" s="266" t="s">
        <v>242</v>
      </c>
      <c r="M52" s="267">
        <f>[4]HOSIDEN!L52</f>
        <v>840000</v>
      </c>
      <c r="N52" s="268">
        <f>[4]HOSIDEN!M52</f>
        <v>0</v>
      </c>
      <c r="O52" s="269">
        <f>[4]HOSIDEN!N52</f>
        <v>100000</v>
      </c>
      <c r="P52" s="269">
        <f>[4]HOSIDEN!O52</f>
        <v>0</v>
      </c>
      <c r="Q52" s="270">
        <f>[4]HOSIDEN!P52</f>
        <v>0</v>
      </c>
      <c r="R52" s="271">
        <f t="shared" si="0"/>
        <v>940000</v>
      </c>
      <c r="S52" s="261">
        <v>0</v>
      </c>
      <c r="T52" s="271">
        <f t="shared" si="1"/>
        <v>940000</v>
      </c>
      <c r="U52" s="261"/>
      <c r="V52" s="261" t="str">
        <f>[4]HOSIDEN!T52</f>
        <v xml:space="preserve">chờ lấy hàng từ 6h đến 8h , hủy xe </v>
      </c>
    </row>
    <row r="53" spans="1:22" s="272" customFormat="1" ht="84" customHeight="1">
      <c r="A53" s="261">
        <v>40</v>
      </c>
      <c r="B53" s="262" t="str">
        <f>[4]HOSIDEN!U53</f>
        <v>LG2512/5081</v>
      </c>
      <c r="C53" s="263" t="s">
        <v>240</v>
      </c>
      <c r="D53" s="264" t="str">
        <f>[4]HOSIDEN!A53</f>
        <v>23/01/2026</v>
      </c>
      <c r="E53" s="265" t="str">
        <f>[4]HOSIDEN!C53</f>
        <v>HOSIDEN</v>
      </c>
      <c r="F53" s="264" t="str">
        <f>[4]HOSIDEN!F53</f>
        <v>260122HSD-P18</v>
      </c>
      <c r="G53" s="262" t="str">
        <f>[4]HOSIDEN!S53</f>
        <v>29H 80353</v>
      </c>
      <c r="H53" s="262" t="str">
        <f>[4]HOSIDEN!D53</f>
        <v>KCN Thạch Thất, Hanoi- KCN Quang Chau, Bac Ninh</v>
      </c>
      <c r="I53" s="262" t="s">
        <v>241</v>
      </c>
      <c r="J53" s="262" t="str">
        <f>[4]HOSIDEN!G53</f>
        <v>1.25T</v>
      </c>
      <c r="K53" s="264" t="str">
        <f>[4]HOSIDEN!I53</f>
        <v>4 cartons</v>
      </c>
      <c r="L53" s="266" t="s">
        <v>242</v>
      </c>
      <c r="M53" s="267">
        <f>[4]HOSIDEN!L53</f>
        <v>1200000</v>
      </c>
      <c r="N53" s="268">
        <f>[4]HOSIDEN!M53</f>
        <v>200000</v>
      </c>
      <c r="O53" s="269">
        <f>[4]HOSIDEN!N53</f>
        <v>0</v>
      </c>
      <c r="P53" s="269">
        <f>[4]HOSIDEN!O53</f>
        <v>0</v>
      </c>
      <c r="Q53" s="270">
        <f>[4]HOSIDEN!P53</f>
        <v>0</v>
      </c>
      <c r="R53" s="271">
        <f t="shared" si="0"/>
        <v>1400000</v>
      </c>
      <c r="S53" s="261">
        <v>0</v>
      </c>
      <c r="T53" s="271">
        <f t="shared" si="1"/>
        <v>1400000</v>
      </c>
      <c r="U53" s="261"/>
      <c r="V53" s="261">
        <f>[4]HOSIDEN!T53</f>
        <v>0</v>
      </c>
    </row>
    <row r="54" spans="1:22" s="272" customFormat="1" ht="84" customHeight="1">
      <c r="A54" s="261">
        <v>41</v>
      </c>
      <c r="B54" s="262" t="str">
        <f>[4]HOSIDEN!U54</f>
        <v>LG2512/5082</v>
      </c>
      <c r="C54" s="263" t="s">
        <v>240</v>
      </c>
      <c r="D54" s="264" t="str">
        <f>[4]HOSIDEN!A54</f>
        <v>23/01/2026</v>
      </c>
      <c r="E54" s="265" t="str">
        <f>[4]HOSIDEN!C54</f>
        <v>HOSIDEN</v>
      </c>
      <c r="F54" s="264" t="str">
        <f>[4]HOSIDEN!F54</f>
        <v>260123HSD-P19; 260123HSD-F36</v>
      </c>
      <c r="G54" s="262" t="str">
        <f>[4]HOSIDEN!S54</f>
        <v>29H 81154</v>
      </c>
      <c r="H54" s="262" t="str">
        <f>[4]HOSIDEN!D54</f>
        <v>KCN Thạch Thất, Hanoi- KCN Quang Chau, Bac Ninh</v>
      </c>
      <c r="I54" s="262" t="s">
        <v>241</v>
      </c>
      <c r="J54" s="262" t="str">
        <f>[4]HOSIDEN!G54</f>
        <v>2.5T</v>
      </c>
      <c r="K54" s="264" t="str">
        <f>[4]HOSIDEN!I54</f>
        <v>3 pallet</v>
      </c>
      <c r="L54" s="266" t="s">
        <v>242</v>
      </c>
      <c r="M54" s="267">
        <f>[4]HOSIDEN!L54</f>
        <v>1800000</v>
      </c>
      <c r="N54" s="268">
        <f>[4]HOSIDEN!M54</f>
        <v>300000</v>
      </c>
      <c r="O54" s="269">
        <f>[4]HOSIDEN!N54</f>
        <v>0</v>
      </c>
      <c r="P54" s="269">
        <f>[4]HOSIDEN!O54</f>
        <v>0</v>
      </c>
      <c r="Q54" s="270">
        <f>[4]HOSIDEN!P54</f>
        <v>0</v>
      </c>
      <c r="R54" s="271">
        <f t="shared" si="0"/>
        <v>2100000</v>
      </c>
      <c r="S54" s="261">
        <v>0</v>
      </c>
      <c r="T54" s="271">
        <f t="shared" si="1"/>
        <v>2100000</v>
      </c>
      <c r="U54" s="261"/>
      <c r="V54" s="261">
        <f>[4]HOSIDEN!T54</f>
        <v>0</v>
      </c>
    </row>
    <row r="55" spans="1:22" s="272" customFormat="1" ht="84" customHeight="1">
      <c r="A55" s="261">
        <v>42</v>
      </c>
      <c r="B55" s="262" t="str">
        <f>[4]HOSIDEN!U55</f>
        <v>LG2512/5083</v>
      </c>
      <c r="C55" s="263" t="s">
        <v>240</v>
      </c>
      <c r="D55" s="264" t="str">
        <f>[4]HOSIDEN!A55</f>
        <v>25/01/2026</v>
      </c>
      <c r="E55" s="265" t="str">
        <f>[4]HOSIDEN!C55</f>
        <v>HOSIDEN</v>
      </c>
      <c r="F55" s="264" t="str">
        <f>[4]HOSIDEN!F55</f>
        <v>260124HSD-F37</v>
      </c>
      <c r="G55" s="262" t="str">
        <f>[4]HOSIDEN!S55</f>
        <v>29E 26078</v>
      </c>
      <c r="H55" s="262" t="str">
        <f>[4]HOSIDEN!D55</f>
        <v>KCN Thạch Thất, Hanoi- KCN Quang Chau, Bac Ninh</v>
      </c>
      <c r="I55" s="262" t="s">
        <v>241</v>
      </c>
      <c r="J55" s="262" t="str">
        <f>[4]HOSIDEN!G55</f>
        <v>1.25T</v>
      </c>
      <c r="K55" s="264" t="str">
        <f>[4]HOSIDEN!I55</f>
        <v>3 cartons</v>
      </c>
      <c r="L55" s="266" t="s">
        <v>242</v>
      </c>
      <c r="M55" s="267">
        <f>[4]HOSIDEN!L55</f>
        <v>840000</v>
      </c>
      <c r="N55" s="268">
        <f>[4]HOSIDEN!M55</f>
        <v>0</v>
      </c>
      <c r="O55" s="269">
        <f>[4]HOSIDEN!N55</f>
        <v>650000</v>
      </c>
      <c r="P55" s="269">
        <f>[4]HOSIDEN!O55</f>
        <v>0</v>
      </c>
      <c r="Q55" s="270">
        <f>[4]HOSIDEN!P55</f>
        <v>0</v>
      </c>
      <c r="R55" s="271">
        <f t="shared" si="0"/>
        <v>1490000</v>
      </c>
      <c r="S55" s="261">
        <v>0</v>
      </c>
      <c r="T55" s="271">
        <f t="shared" si="1"/>
        <v>1490000</v>
      </c>
      <c r="U55" s="261"/>
      <c r="V55" s="261" t="str">
        <f>[4]HOSIDEN!T55</f>
        <v>chờ đóng hàng từ 23h đến 6h20+hủy xe</v>
      </c>
    </row>
    <row r="56" spans="1:22" s="272" customFormat="1" ht="84" customHeight="1">
      <c r="A56" s="261">
        <v>43</v>
      </c>
      <c r="B56" s="262" t="str">
        <f>[4]HOSIDEN!U56</f>
        <v>LG2512/5084</v>
      </c>
      <c r="C56" s="263" t="s">
        <v>240</v>
      </c>
      <c r="D56" s="264" t="str">
        <f>[4]HOSIDEN!A56</f>
        <v>25/01/2026</v>
      </c>
      <c r="E56" s="265" t="str">
        <f>[4]HOSIDEN!C56</f>
        <v>HOSIDEN</v>
      </c>
      <c r="F56" s="264" t="str">
        <f>[4]HOSIDEN!F56</f>
        <v>260124HSD-F37</v>
      </c>
      <c r="G56" s="262" t="str">
        <f>[4]HOSIDEN!S56</f>
        <v>29H 80353</v>
      </c>
      <c r="H56" s="262" t="str">
        <f>[4]HOSIDEN!D56</f>
        <v>KCN Thạch Thất, Hanoi- KCN Quang Chau, Bac Ninh</v>
      </c>
      <c r="I56" s="262" t="s">
        <v>241</v>
      </c>
      <c r="J56" s="262" t="str">
        <f>[4]HOSIDEN!G56</f>
        <v>1.25T</v>
      </c>
      <c r="K56" s="264" t="str">
        <f>[4]HOSIDEN!I56</f>
        <v>3 cartons</v>
      </c>
      <c r="L56" s="266" t="s">
        <v>242</v>
      </c>
      <c r="M56" s="267">
        <f>[4]HOSIDEN!L56</f>
        <v>1200000</v>
      </c>
      <c r="N56" s="268">
        <f>[4]HOSIDEN!M56</f>
        <v>200000</v>
      </c>
      <c r="O56" s="269">
        <f>[4]HOSIDEN!N56</f>
        <v>0</v>
      </c>
      <c r="P56" s="269">
        <f>[4]HOSIDEN!O56</f>
        <v>0</v>
      </c>
      <c r="Q56" s="270">
        <f>[4]HOSIDEN!P56</f>
        <v>0</v>
      </c>
      <c r="R56" s="271">
        <f t="shared" si="0"/>
        <v>1400000</v>
      </c>
      <c r="S56" s="261">
        <v>0</v>
      </c>
      <c r="T56" s="271">
        <f t="shared" si="1"/>
        <v>1400000</v>
      </c>
      <c r="U56" s="261"/>
      <c r="V56" s="261">
        <f>[4]HOSIDEN!T56</f>
        <v>0</v>
      </c>
    </row>
    <row r="57" spans="1:22" s="273" customFormat="1" ht="84" customHeight="1">
      <c r="A57" s="261">
        <v>44</v>
      </c>
      <c r="B57" s="262" t="str">
        <f>'[4]DS HB'!U14</f>
        <v>LG2512/5167</v>
      </c>
      <c r="C57" s="263" t="s">
        <v>240</v>
      </c>
      <c r="D57" s="264">
        <f>'[4]DS HB'!A14</f>
        <v>46143</v>
      </c>
      <c r="E57" s="265" t="str">
        <f>'[4]DS HB'!C14</f>
        <v>DOOSUNG HB</v>
      </c>
      <c r="F57" s="264" t="str">
        <f>'[4]DS HB'!F14</f>
        <v>260105DST-F03
260105DST-P01</v>
      </c>
      <c r="G57" s="262" t="str">
        <f>'[4]DS HB'!S14</f>
        <v>29H 76819</v>
      </c>
      <c r="H57" s="262" t="str">
        <f>'[4]DS HB'!D14</f>
        <v>KCN Thạch Thất, Hanoi- KCN Lương Sơn, Phú Thọ</v>
      </c>
      <c r="I57" s="262" t="s">
        <v>243</v>
      </c>
      <c r="J57" s="262" t="str">
        <f>'[4]DS HB'!G14</f>
        <v>1.25T</v>
      </c>
      <c r="K57" s="264" t="str">
        <f>'[4]DS HB'!I14</f>
        <v>2 PALLET</v>
      </c>
      <c r="L57" s="266" t="s">
        <v>242</v>
      </c>
      <c r="M57" s="267">
        <f>'[4]DS HB'!L14</f>
        <v>870000</v>
      </c>
      <c r="N57" s="268">
        <f>'[4]DS HB'!M14</f>
        <v>200000</v>
      </c>
      <c r="O57" s="267">
        <f>'[4]DS HB'!N14</f>
        <v>609000</v>
      </c>
      <c r="P57" s="269">
        <f>'[4]DS HB'!O14</f>
        <v>0</v>
      </c>
      <c r="Q57" s="270">
        <f>'[4]DS HB'!P14</f>
        <v>0</v>
      </c>
      <c r="R57" s="271">
        <f>SUM(M57:Q57)</f>
        <v>1679000</v>
      </c>
      <c r="S57" s="261">
        <v>0</v>
      </c>
      <c r="T57" s="271">
        <f t="shared" si="1"/>
        <v>1679000</v>
      </c>
      <c r="U57" s="261"/>
      <c r="V57" s="261" t="str">
        <f>'[4]DS HB'!T14</f>
        <v>2 chiều</v>
      </c>
    </row>
    <row r="58" spans="1:22" s="274" customFormat="1" ht="84" customHeight="1">
      <c r="A58" s="261">
        <v>45</v>
      </c>
      <c r="B58" s="262" t="str">
        <f>'[4]DS HB'!U15</f>
        <v>LG2512/5168</v>
      </c>
      <c r="C58" s="263" t="s">
        <v>240</v>
      </c>
      <c r="D58" s="264">
        <f>'[4]DS HB'!A15</f>
        <v>46174</v>
      </c>
      <c r="E58" s="265" t="str">
        <f>'[4]DS HB'!C15</f>
        <v>DOOSUNG HB</v>
      </c>
      <c r="F58" s="264" t="str">
        <f>'[4]DS HB'!F15</f>
        <v>260105DST-F04</v>
      </c>
      <c r="G58" s="262" t="str">
        <f>'[4]DS HB'!S15</f>
        <v>29H 76819</v>
      </c>
      <c r="H58" s="262" t="str">
        <f>'[4]DS HB'!D15</f>
        <v>KCN Thạch Thất, Hanoi- KCN Lương Sơn, Phú Thọ</v>
      </c>
      <c r="I58" s="262" t="s">
        <v>243</v>
      </c>
      <c r="J58" s="262" t="str">
        <f>'[4]DS HB'!G15</f>
        <v>1.25T</v>
      </c>
      <c r="K58" s="264" t="str">
        <f>'[4]DS HB'!I15</f>
        <v>1 PALLET</v>
      </c>
      <c r="L58" s="266" t="s">
        <v>242</v>
      </c>
      <c r="M58" s="267">
        <f>'[4]DS HB'!L15</f>
        <v>870000</v>
      </c>
      <c r="N58" s="268">
        <f>'[4]DS HB'!M15</f>
        <v>200000</v>
      </c>
      <c r="O58" s="267">
        <f>'[4]DS HB'!N15</f>
        <v>300000</v>
      </c>
      <c r="P58" s="269">
        <f>'[4]DS HB'!O15</f>
        <v>0</v>
      </c>
      <c r="Q58" s="270">
        <f>'[4]DS HB'!P15</f>
        <v>0</v>
      </c>
      <c r="R58" s="271">
        <f t="shared" ref="R58:R85" si="2">SUM(M58:Q58)</f>
        <v>1370000</v>
      </c>
      <c r="S58" s="261">
        <v>0</v>
      </c>
      <c r="T58" s="271">
        <f t="shared" si="1"/>
        <v>1370000</v>
      </c>
      <c r="U58" s="261"/>
      <c r="V58" s="261" t="str">
        <f>'[4]DS HB'!T15</f>
        <v xml:space="preserve"> đợi lấy hàng từ 1h tới 5h20</v>
      </c>
    </row>
    <row r="59" spans="1:22" s="274" customFormat="1" ht="84" customHeight="1">
      <c r="A59" s="261">
        <v>46</v>
      </c>
      <c r="B59" s="262" t="str">
        <f>'[4]DS HB'!U16</f>
        <v>LG2512/5169</v>
      </c>
      <c r="C59" s="263" t="s">
        <v>240</v>
      </c>
      <c r="D59" s="264">
        <f>'[4]DS HB'!A16</f>
        <v>46174</v>
      </c>
      <c r="E59" s="265" t="str">
        <f>'[4]DS HB'!C16</f>
        <v>DOOSUNG HB</v>
      </c>
      <c r="F59" s="264" t="str">
        <f>'[4]DS HB'!F16</f>
        <v>260106DST-F05
260106DST-F06</v>
      </c>
      <c r="G59" s="262" t="str">
        <f>'[4]DS HB'!S16</f>
        <v>29H 37799</v>
      </c>
      <c r="H59" s="262" t="str">
        <f>'[4]DS HB'!D16</f>
        <v>KCN Thạch Thất, Hanoi- KCN Lương Sơn, Phú Thọ</v>
      </c>
      <c r="I59" s="262" t="s">
        <v>243</v>
      </c>
      <c r="J59" s="262" t="str">
        <f>'[4]DS HB'!G16</f>
        <v>1.25T</v>
      </c>
      <c r="K59" s="264" t="str">
        <f>'[4]DS HB'!I16</f>
        <v>1 PALLET</v>
      </c>
      <c r="L59" s="266" t="s">
        <v>242</v>
      </c>
      <c r="M59" s="267">
        <f>'[4]DS HB'!L16</f>
        <v>870000</v>
      </c>
      <c r="N59" s="268">
        <f>'[4]DS HB'!M16</f>
        <v>200000</v>
      </c>
      <c r="O59" s="267">
        <f>'[4]DS HB'!N16</f>
        <v>150000</v>
      </c>
      <c r="P59" s="269">
        <f>'[4]DS HB'!O16</f>
        <v>0</v>
      </c>
      <c r="Q59" s="270">
        <f>'[4]DS HB'!P16</f>
        <v>0</v>
      </c>
      <c r="R59" s="271">
        <f t="shared" si="2"/>
        <v>1220000</v>
      </c>
      <c r="S59" s="261">
        <v>0</v>
      </c>
      <c r="T59" s="271">
        <f t="shared" si="1"/>
        <v>1220000</v>
      </c>
      <c r="U59" s="261"/>
      <c r="V59" s="261" t="str">
        <f>'[4]DS HB'!T16</f>
        <v xml:space="preserve"> Chờ lấy hàng 20h30-&gt;23h00</v>
      </c>
    </row>
    <row r="60" spans="1:22" s="274" customFormat="1" ht="84" customHeight="1">
      <c r="A60" s="261">
        <v>47</v>
      </c>
      <c r="B60" s="262" t="str">
        <f>'[4]DS HB'!U17</f>
        <v>LG2512/5170</v>
      </c>
      <c r="C60" s="263" t="s">
        <v>240</v>
      </c>
      <c r="D60" s="264">
        <f>'[4]DS HB'!A17</f>
        <v>46204</v>
      </c>
      <c r="E60" s="265" t="str">
        <f>'[4]DS HB'!C17</f>
        <v>DOOSUNG HB</v>
      </c>
      <c r="F60" s="264" t="str">
        <f>'[4]DS HB'!F17</f>
        <v>260106DST-F07</v>
      </c>
      <c r="G60" s="262" t="str">
        <f>'[4]DS HB'!S17</f>
        <v>29H 79107</v>
      </c>
      <c r="H60" s="262" t="str">
        <f>'[4]DS HB'!D17</f>
        <v>KCN Thạch Thất, Hanoi- KCN Lương Sơn, Phú Thọ</v>
      </c>
      <c r="I60" s="262" t="s">
        <v>243</v>
      </c>
      <c r="J60" s="262" t="str">
        <f>'[4]DS HB'!G17</f>
        <v>1.25T</v>
      </c>
      <c r="K60" s="264" t="str">
        <f>'[4]DS HB'!I17</f>
        <v>1 PALLET</v>
      </c>
      <c r="L60" s="266" t="s">
        <v>242</v>
      </c>
      <c r="M60" s="267">
        <f>'[4]DS HB'!L17</f>
        <v>609000</v>
      </c>
      <c r="N60" s="268">
        <f>'[4]DS HB'!M17</f>
        <v>0</v>
      </c>
      <c r="O60" s="267">
        <f>'[4]DS HB'!N17</f>
        <v>0</v>
      </c>
      <c r="P60" s="269">
        <f>'[4]DS HB'!O17</f>
        <v>0</v>
      </c>
      <c r="Q60" s="270">
        <f>'[4]DS HB'!P17</f>
        <v>0</v>
      </c>
      <c r="R60" s="271">
        <f t="shared" si="2"/>
        <v>609000</v>
      </c>
      <c r="S60" s="261">
        <v>0</v>
      </c>
      <c r="T60" s="271">
        <f t="shared" si="1"/>
        <v>609000</v>
      </c>
      <c r="U60" s="261"/>
      <c r="V60" s="261" t="str">
        <f>'[4]DS HB'!T17</f>
        <v>hủy chuyến</v>
      </c>
    </row>
    <row r="61" spans="1:22" s="274" customFormat="1" ht="84" customHeight="1">
      <c r="A61" s="261">
        <v>48</v>
      </c>
      <c r="B61" s="262" t="str">
        <f>'[4]DS HB'!U18</f>
        <v>LG2512/5171</v>
      </c>
      <c r="C61" s="263" t="s">
        <v>240</v>
      </c>
      <c r="D61" s="264">
        <f>'[4]DS HB'!A18</f>
        <v>46204</v>
      </c>
      <c r="E61" s="265" t="str">
        <f>'[4]DS HB'!C18</f>
        <v>DOOSUNG HB</v>
      </c>
      <c r="F61" s="264" t="str">
        <f>'[4]DS HB'!F18</f>
        <v>260107DST-F07
260106DST-P03</v>
      </c>
      <c r="G61" s="262" t="str">
        <f>'[4]DS HB'!S18</f>
        <v>29E 26078</v>
      </c>
      <c r="H61" s="262" t="str">
        <f>'[4]DS HB'!D18</f>
        <v>KCN Thạch Thất, Hanoi- KCN Lương Sơn, Phú Thọ</v>
      </c>
      <c r="I61" s="262" t="s">
        <v>243</v>
      </c>
      <c r="J61" s="262" t="str">
        <f>'[4]DS HB'!G18</f>
        <v>1.25T</v>
      </c>
      <c r="K61" s="264" t="str">
        <f>'[4]DS HB'!I18</f>
        <v>2 PALLET</v>
      </c>
      <c r="L61" s="266" t="s">
        <v>242</v>
      </c>
      <c r="M61" s="267">
        <f>'[4]DS HB'!L18</f>
        <v>870000</v>
      </c>
      <c r="N61" s="268">
        <f>'[4]DS HB'!M18</f>
        <v>200000</v>
      </c>
      <c r="O61" s="267">
        <f>'[4]DS HB'!N18</f>
        <v>100000</v>
      </c>
      <c r="P61" s="269">
        <f>'[4]DS HB'!O18</f>
        <v>0</v>
      </c>
      <c r="Q61" s="270">
        <f>'[4]DS HB'!P18</f>
        <v>0</v>
      </c>
      <c r="R61" s="271">
        <f t="shared" si="2"/>
        <v>1170000</v>
      </c>
      <c r="S61" s="261">
        <v>0</v>
      </c>
      <c r="T61" s="271">
        <f t="shared" si="1"/>
        <v>1170000</v>
      </c>
      <c r="U61" s="261"/>
      <c r="V61" s="261" t="str">
        <f>'[4]DS HB'!T18</f>
        <v>chờ giờ lấy hàng từ  19h đến 21h</v>
      </c>
    </row>
    <row r="62" spans="1:22" s="274" customFormat="1" ht="84" customHeight="1">
      <c r="A62" s="261">
        <v>49</v>
      </c>
      <c r="B62" s="262" t="str">
        <f>'[4]DS HB'!U19</f>
        <v>LG2512/5172</v>
      </c>
      <c r="C62" s="263" t="s">
        <v>240</v>
      </c>
      <c r="D62" s="264">
        <f>'[4]DS HB'!A19</f>
        <v>46235</v>
      </c>
      <c r="E62" s="265" t="str">
        <f>'[4]DS HB'!C19</f>
        <v>DOOSUNG HB</v>
      </c>
      <c r="F62" s="264" t="str">
        <f>'[4]DS HB'!F19</f>
        <v>260107DST-F09</v>
      </c>
      <c r="G62" s="262" t="str">
        <f>'[4]DS HB'!S19</f>
        <v>29H 76517.</v>
      </c>
      <c r="H62" s="262" t="str">
        <f>'[4]DS HB'!D19</f>
        <v>KCN Thạch Thất, Hanoi- KCN Lương Sơn, Phú Thọ</v>
      </c>
      <c r="I62" s="262" t="s">
        <v>243</v>
      </c>
      <c r="J62" s="262" t="str">
        <f>'[4]DS HB'!G19</f>
        <v>1.25T</v>
      </c>
      <c r="K62" s="264" t="str">
        <f>'[4]DS HB'!I19</f>
        <v>1 PALLET</v>
      </c>
      <c r="L62" s="266" t="s">
        <v>242</v>
      </c>
      <c r="M62" s="267">
        <f>'[4]DS HB'!L19</f>
        <v>870000</v>
      </c>
      <c r="N62" s="268">
        <f>'[4]DS HB'!M19</f>
        <v>200000</v>
      </c>
      <c r="O62" s="267">
        <f>'[4]DS HB'!N19</f>
        <v>0</v>
      </c>
      <c r="P62" s="269">
        <f>'[4]DS HB'!O19</f>
        <v>0</v>
      </c>
      <c r="Q62" s="270">
        <f>'[4]DS HB'!P19</f>
        <v>0</v>
      </c>
      <c r="R62" s="271">
        <f t="shared" si="2"/>
        <v>1070000</v>
      </c>
      <c r="S62" s="261">
        <v>0</v>
      </c>
      <c r="T62" s="271">
        <f t="shared" si="1"/>
        <v>1070000</v>
      </c>
      <c r="U62" s="261"/>
      <c r="V62" s="261">
        <f>'[4]DS HB'!T19</f>
        <v>0</v>
      </c>
    </row>
    <row r="63" spans="1:22" s="274" customFormat="1" ht="84" customHeight="1">
      <c r="A63" s="261">
        <v>50</v>
      </c>
      <c r="B63" s="262" t="str">
        <f>'[4]DS HB'!U20</f>
        <v>LG2512/5173</v>
      </c>
      <c r="C63" s="263" t="s">
        <v>240</v>
      </c>
      <c r="D63" s="264">
        <f>'[4]DS HB'!A20</f>
        <v>46235</v>
      </c>
      <c r="E63" s="265" t="str">
        <f>'[4]DS HB'!C20</f>
        <v>DOOSUNG HB</v>
      </c>
      <c r="F63" s="264" t="str">
        <f>'[4]DS HB'!F20</f>
        <v>260108DSV-F-04</v>
      </c>
      <c r="G63" s="262" t="str">
        <f>'[4]DS HB'!S20</f>
        <v>29H 76514</v>
      </c>
      <c r="H63" s="262" t="str">
        <f>'[4]DS HB'!D20</f>
        <v>KCN Thạch Thất, Hanoi- KCN Lương Sơn, Phú Thọ</v>
      </c>
      <c r="I63" s="262" t="s">
        <v>243</v>
      </c>
      <c r="J63" s="262" t="str">
        <f>'[4]DS HB'!G20</f>
        <v>1.25T</v>
      </c>
      <c r="K63" s="264" t="str">
        <f>'[4]DS HB'!I20</f>
        <v>7 box</v>
      </c>
      <c r="L63" s="266" t="s">
        <v>242</v>
      </c>
      <c r="M63" s="267">
        <f>'[4]DS HB'!L20</f>
        <v>609000</v>
      </c>
      <c r="N63" s="268">
        <f>'[4]DS HB'!M20</f>
        <v>0</v>
      </c>
      <c r="O63" s="267">
        <f>'[4]DS HB'!N20</f>
        <v>0</v>
      </c>
      <c r="P63" s="269">
        <f>'[4]DS HB'!O20</f>
        <v>0</v>
      </c>
      <c r="Q63" s="270">
        <f>'[4]DS HB'!P20</f>
        <v>0</v>
      </c>
      <c r="R63" s="271">
        <f t="shared" si="2"/>
        <v>609000</v>
      </c>
      <c r="S63" s="261">
        <v>0</v>
      </c>
      <c r="T63" s="271">
        <f t="shared" si="1"/>
        <v>609000</v>
      </c>
      <c r="U63" s="261"/>
      <c r="V63" s="261" t="str">
        <f>'[4]DS HB'!T20</f>
        <v>hủy chuyến</v>
      </c>
    </row>
    <row r="64" spans="1:22" s="274" customFormat="1" ht="84" customHeight="1">
      <c r="A64" s="261">
        <v>51</v>
      </c>
      <c r="B64" s="262" t="str">
        <f>'[4]DS HB'!U21</f>
        <v>LG2512/5174</v>
      </c>
      <c r="C64" s="263" t="s">
        <v>240</v>
      </c>
      <c r="D64" s="264">
        <f>'[4]DS HB'!A21</f>
        <v>46235</v>
      </c>
      <c r="E64" s="265" t="str">
        <f>'[4]DS HB'!C21</f>
        <v>DOOSUNG HB</v>
      </c>
      <c r="F64" s="264" t="str">
        <f>'[4]DS HB'!F21</f>
        <v>260108DST-F11</v>
      </c>
      <c r="G64" s="262" t="str">
        <f>'[4]DS HB'!S21</f>
        <v>29H 80353</v>
      </c>
      <c r="H64" s="262" t="str">
        <f>'[4]DS HB'!D21</f>
        <v>KCN Thạch Thất, Hanoi- KCN Lương Sơn, Phú Thọ</v>
      </c>
      <c r="I64" s="262" t="s">
        <v>243</v>
      </c>
      <c r="J64" s="262" t="str">
        <f>'[4]DS HB'!G21</f>
        <v>1.25T</v>
      </c>
      <c r="K64" s="264" t="str">
        <f>'[4]DS HB'!I21</f>
        <v>1 PALLET</v>
      </c>
      <c r="L64" s="266" t="s">
        <v>242</v>
      </c>
      <c r="M64" s="267">
        <f>'[4]DS HB'!L21</f>
        <v>870000</v>
      </c>
      <c r="N64" s="268">
        <f>'[4]DS HB'!M21</f>
        <v>200000</v>
      </c>
      <c r="O64" s="267">
        <f>'[4]DS HB'!N21</f>
        <v>0</v>
      </c>
      <c r="P64" s="269">
        <f>'[4]DS HB'!O21</f>
        <v>0</v>
      </c>
      <c r="Q64" s="270">
        <f>'[4]DS HB'!P21</f>
        <v>0</v>
      </c>
      <c r="R64" s="271">
        <f t="shared" si="2"/>
        <v>1070000</v>
      </c>
      <c r="S64" s="261">
        <v>0</v>
      </c>
      <c r="T64" s="271">
        <f t="shared" si="1"/>
        <v>1070000</v>
      </c>
      <c r="U64" s="261"/>
      <c r="V64" s="261">
        <f>'[4]DS HB'!T21</f>
        <v>0</v>
      </c>
    </row>
    <row r="65" spans="1:22" s="274" customFormat="1" ht="84" customHeight="1">
      <c r="A65" s="261">
        <v>52</v>
      </c>
      <c r="B65" s="262" t="str">
        <f>'[4]DS HB'!U22</f>
        <v>LG2512/5175</v>
      </c>
      <c r="C65" s="263" t="s">
        <v>240</v>
      </c>
      <c r="D65" s="264">
        <f>'[4]DS HB'!A22</f>
        <v>46235</v>
      </c>
      <c r="E65" s="265" t="str">
        <f>'[4]DS HB'!C22</f>
        <v>DOOSUNG HB</v>
      </c>
      <c r="F65" s="264" t="str">
        <f>'[4]DS HB'!F22</f>
        <v>260108DST-F12</v>
      </c>
      <c r="G65" s="262" t="str">
        <f>'[4]DS HB'!S22</f>
        <v>29H 80353</v>
      </c>
      <c r="H65" s="262" t="str">
        <f>'[4]DS HB'!D22</f>
        <v>KCN Thạch Thất, Hanoi- KCN Lương Sơn, Phú Thọ</v>
      </c>
      <c r="I65" s="262" t="s">
        <v>243</v>
      </c>
      <c r="J65" s="262" t="str">
        <f>'[4]DS HB'!G22</f>
        <v>1.25T</v>
      </c>
      <c r="K65" s="264" t="str">
        <f>'[4]DS HB'!I22</f>
        <v>1 PALLET</v>
      </c>
      <c r="L65" s="266" t="s">
        <v>242</v>
      </c>
      <c r="M65" s="267">
        <f>'[4]DS HB'!L22</f>
        <v>870000</v>
      </c>
      <c r="N65" s="268">
        <f>'[4]DS HB'!M22</f>
        <v>200000</v>
      </c>
      <c r="O65" s="267">
        <f>'[4]DS HB'!N22</f>
        <v>200000</v>
      </c>
      <c r="P65" s="269">
        <f>'[4]DS HB'!O22</f>
        <v>0</v>
      </c>
      <c r="Q65" s="270">
        <f>'[4]DS HB'!P22</f>
        <v>0</v>
      </c>
      <c r="R65" s="271">
        <f t="shared" si="2"/>
        <v>1270000</v>
      </c>
      <c r="S65" s="261">
        <v>0</v>
      </c>
      <c r="T65" s="271">
        <f t="shared" si="1"/>
        <v>1270000</v>
      </c>
      <c r="U65" s="261"/>
      <c r="V65" s="261" t="str">
        <f>'[4]DS HB'!T22</f>
        <v>Chờ lấy hàng từ 23h đến 2h</v>
      </c>
    </row>
    <row r="66" spans="1:22" s="274" customFormat="1" ht="84" customHeight="1">
      <c r="A66" s="261">
        <v>53</v>
      </c>
      <c r="B66" s="262" t="str">
        <f>'[4]DS HB'!U23</f>
        <v>LG2512/5176</v>
      </c>
      <c r="C66" s="263" t="s">
        <v>240</v>
      </c>
      <c r="D66" s="264">
        <f>'[4]DS HB'!A23</f>
        <v>46266</v>
      </c>
      <c r="E66" s="265" t="str">
        <f>'[4]DS HB'!C23</f>
        <v>DOOSUNG HB</v>
      </c>
      <c r="F66" s="264" t="str">
        <f>'[4]DS HB'!F23</f>
        <v>260108DSV-F-04</v>
      </c>
      <c r="G66" s="262" t="str">
        <f>'[4]DS HB'!S23</f>
        <v>29H 70769</v>
      </c>
      <c r="H66" s="262" t="str">
        <f>'[4]DS HB'!D23</f>
        <v>KCN Thạch Thất, Hanoi- KCN Lương Sơn, Phú Thọ</v>
      </c>
      <c r="I66" s="262" t="s">
        <v>243</v>
      </c>
      <c r="J66" s="262" t="str">
        <f>'[4]DS HB'!G23</f>
        <v>1.25T</v>
      </c>
      <c r="K66" s="264" t="str">
        <f>'[4]DS HB'!I23</f>
        <v>7 box</v>
      </c>
      <c r="L66" s="266" t="s">
        <v>242</v>
      </c>
      <c r="M66" s="267">
        <f>'[4]DS HB'!L23</f>
        <v>870000</v>
      </c>
      <c r="N66" s="268">
        <f>'[4]DS HB'!M23</f>
        <v>200000</v>
      </c>
      <c r="O66" s="267">
        <f>'[4]DS HB'!N23</f>
        <v>200000</v>
      </c>
      <c r="P66" s="269">
        <f>'[4]DS HB'!O23</f>
        <v>0</v>
      </c>
      <c r="Q66" s="270">
        <f>'[4]DS HB'!P23</f>
        <v>0</v>
      </c>
      <c r="R66" s="271">
        <f t="shared" si="2"/>
        <v>1270000</v>
      </c>
      <c r="S66" s="261">
        <v>0</v>
      </c>
      <c r="T66" s="271">
        <f t="shared" si="1"/>
        <v>1270000</v>
      </c>
      <c r="U66" s="261"/>
      <c r="V66" s="261" t="str">
        <f>'[4]DS HB'!T23</f>
        <v>ps kiểm hóa Hòa Lạc</v>
      </c>
    </row>
    <row r="67" spans="1:22" s="274" customFormat="1" ht="84" customHeight="1">
      <c r="A67" s="261">
        <v>54</v>
      </c>
      <c r="B67" s="262" t="str">
        <f>'[4]DS HB'!U24</f>
        <v>LG2512/5177</v>
      </c>
      <c r="C67" s="263" t="s">
        <v>240</v>
      </c>
      <c r="D67" s="264">
        <f>'[4]DS HB'!A24</f>
        <v>46266</v>
      </c>
      <c r="E67" s="265" t="str">
        <f>'[4]DS HB'!C24</f>
        <v>DOOSUNG HB</v>
      </c>
      <c r="F67" s="264" t="str">
        <f>'[4]DS HB'!F24</f>
        <v>260109DS-samplePCB-01</v>
      </c>
      <c r="G67" s="262" t="str">
        <f>'[4]DS HB'!S24</f>
        <v>29H 92126</v>
      </c>
      <c r="H67" s="262" t="str">
        <f>'[4]DS HB'!D24</f>
        <v>KCN Thạch Thất, Hanoi- KCN Lương Sơn, Phú Thọ</v>
      </c>
      <c r="I67" s="262" t="s">
        <v>243</v>
      </c>
      <c r="J67" s="262" t="str">
        <f>'[4]DS HB'!G24</f>
        <v>1.25T</v>
      </c>
      <c r="K67" s="264" t="str">
        <f>'[4]DS HB'!I24</f>
        <v>2 box</v>
      </c>
      <c r="L67" s="266" t="s">
        <v>242</v>
      </c>
      <c r="M67" s="267">
        <f>'[4]DS HB'!L24</f>
        <v>870000</v>
      </c>
      <c r="N67" s="268">
        <f>'[4]DS HB'!M24</f>
        <v>200000</v>
      </c>
      <c r="O67" s="267">
        <f>'[4]DS HB'!N24</f>
        <v>0</v>
      </c>
      <c r="P67" s="269">
        <f>'[4]DS HB'!O24</f>
        <v>0</v>
      </c>
      <c r="Q67" s="270">
        <f>'[4]DS HB'!P24</f>
        <v>0</v>
      </c>
      <c r="R67" s="271">
        <f t="shared" si="2"/>
        <v>1070000</v>
      </c>
      <c r="S67" s="261">
        <v>0</v>
      </c>
      <c r="T67" s="271">
        <f t="shared" si="1"/>
        <v>1070000</v>
      </c>
      <c r="U67" s="261"/>
      <c r="V67" s="261">
        <f>'[4]DS HB'!T24</f>
        <v>0</v>
      </c>
    </row>
    <row r="68" spans="1:22" s="274" customFormat="1" ht="84" customHeight="1">
      <c r="A68" s="261">
        <v>55</v>
      </c>
      <c r="B68" s="262" t="str">
        <f>'[4]DS HB'!U25</f>
        <v>LG2512/5178</v>
      </c>
      <c r="C68" s="263" t="s">
        <v>240</v>
      </c>
      <c r="D68" s="264">
        <f>'[4]DS HB'!A25</f>
        <v>46266</v>
      </c>
      <c r="E68" s="265" t="str">
        <f>'[4]DS HB'!C25</f>
        <v>DOOSUNG HB</v>
      </c>
      <c r="F68" s="264" t="str">
        <f>'[4]DS HB'!F25</f>
        <v>260109DST-F13</v>
      </c>
      <c r="G68" s="262" t="str">
        <f>'[4]DS HB'!S25</f>
        <v>29H 70769</v>
      </c>
      <c r="H68" s="262" t="str">
        <f>'[4]DS HB'!D25</f>
        <v>KCN Thạch Thất, Hanoi- KCN Lương Sơn, Phú Thọ</v>
      </c>
      <c r="I68" s="262" t="s">
        <v>243</v>
      </c>
      <c r="J68" s="262" t="str">
        <f>'[4]DS HB'!G25</f>
        <v>1.25T</v>
      </c>
      <c r="K68" s="264" t="str">
        <f>'[4]DS HB'!I25</f>
        <v>1 PALLET</v>
      </c>
      <c r="L68" s="266" t="s">
        <v>242</v>
      </c>
      <c r="M68" s="267">
        <f>'[4]DS HB'!L25</f>
        <v>870000</v>
      </c>
      <c r="N68" s="268">
        <f>'[4]DS HB'!M25</f>
        <v>200000</v>
      </c>
      <c r="O68" s="267">
        <f>'[4]DS HB'!N25</f>
        <v>0</v>
      </c>
      <c r="P68" s="269">
        <f>'[4]DS HB'!O25</f>
        <v>0</v>
      </c>
      <c r="Q68" s="270">
        <f>'[4]DS HB'!P25</f>
        <v>0</v>
      </c>
      <c r="R68" s="271">
        <f t="shared" si="2"/>
        <v>1070000</v>
      </c>
      <c r="S68" s="261">
        <v>0</v>
      </c>
      <c r="T68" s="271">
        <f t="shared" si="1"/>
        <v>1070000</v>
      </c>
      <c r="U68" s="261"/>
      <c r="V68" s="261">
        <f>'[4]DS HB'!T25</f>
        <v>0</v>
      </c>
    </row>
    <row r="69" spans="1:22" s="274" customFormat="1" ht="84" customHeight="1">
      <c r="A69" s="261">
        <v>56</v>
      </c>
      <c r="B69" s="262" t="str">
        <f>'[4]DS HB'!U26</f>
        <v>LG2512/5179</v>
      </c>
      <c r="C69" s="263" t="s">
        <v>240</v>
      </c>
      <c r="D69" s="264">
        <f>'[4]DS HB'!A26</f>
        <v>46266</v>
      </c>
      <c r="E69" s="265" t="str">
        <f>'[4]DS HB'!C26</f>
        <v>DOOSUNG HB</v>
      </c>
      <c r="F69" s="264" t="str">
        <f>'[4]DS HB'!F26</f>
        <v>260109DST-F14</v>
      </c>
      <c r="G69" s="262" t="str">
        <f>'[4]DS HB'!S26</f>
        <v>29E 26078</v>
      </c>
      <c r="H69" s="262" t="str">
        <f>'[4]DS HB'!D26</f>
        <v>KCN Thạch Thất, Hanoi- KCN Lương Sơn, Phú Thọ</v>
      </c>
      <c r="I69" s="262" t="s">
        <v>243</v>
      </c>
      <c r="J69" s="262" t="str">
        <f>'[4]DS HB'!G26</f>
        <v>1.25T</v>
      </c>
      <c r="K69" s="264" t="str">
        <f>'[4]DS HB'!I26</f>
        <v>1 PALLET</v>
      </c>
      <c r="L69" s="266" t="s">
        <v>242</v>
      </c>
      <c r="M69" s="267">
        <f>'[4]DS HB'!L26</f>
        <v>870000</v>
      </c>
      <c r="N69" s="268">
        <f>'[4]DS HB'!M26</f>
        <v>200000</v>
      </c>
      <c r="O69" s="267">
        <f>'[4]DS HB'!N26</f>
        <v>0</v>
      </c>
      <c r="P69" s="269">
        <f>'[4]DS HB'!O26</f>
        <v>0</v>
      </c>
      <c r="Q69" s="270">
        <f>'[4]DS HB'!P26</f>
        <v>0</v>
      </c>
      <c r="R69" s="271">
        <f t="shared" si="2"/>
        <v>1070000</v>
      </c>
      <c r="S69" s="261">
        <v>0</v>
      </c>
      <c r="T69" s="271">
        <f t="shared" si="1"/>
        <v>1070000</v>
      </c>
      <c r="U69" s="261"/>
      <c r="V69" s="261">
        <f>'[4]DS HB'!T26</f>
        <v>0</v>
      </c>
    </row>
    <row r="70" spans="1:22" s="274" customFormat="1" ht="84" customHeight="1">
      <c r="A70" s="261">
        <v>57</v>
      </c>
      <c r="B70" s="262" t="str">
        <f>'[4]DS HB'!U27</f>
        <v>LG2512/5180</v>
      </c>
      <c r="C70" s="263" t="s">
        <v>240</v>
      </c>
      <c r="D70" s="264">
        <f>'[4]DS HB'!A27</f>
        <v>46296</v>
      </c>
      <c r="E70" s="265" t="str">
        <f>'[4]DS HB'!C27</f>
        <v>DOOSUNG HB</v>
      </c>
      <c r="F70" s="264" t="str">
        <f>'[4]DS HB'!F27</f>
        <v>250110DST-F15</v>
      </c>
      <c r="G70" s="262" t="str">
        <f>'[4]DS HB'!S27</f>
        <v>29E 26078</v>
      </c>
      <c r="H70" s="262" t="str">
        <f>'[4]DS HB'!D27</f>
        <v>KCN Thạch Thất, Hanoi- KCN Lương Sơn, Phú Thọ</v>
      </c>
      <c r="I70" s="262" t="s">
        <v>243</v>
      </c>
      <c r="J70" s="262" t="str">
        <f>'[4]DS HB'!G27</f>
        <v>1.25T</v>
      </c>
      <c r="K70" s="264" t="str">
        <f>'[4]DS HB'!I27</f>
        <v>1 PALLET</v>
      </c>
      <c r="L70" s="266" t="s">
        <v>242</v>
      </c>
      <c r="M70" s="267">
        <f>'[4]DS HB'!L27</f>
        <v>870000</v>
      </c>
      <c r="N70" s="268">
        <f>'[4]DS HB'!M27</f>
        <v>200000</v>
      </c>
      <c r="O70" s="267">
        <f>'[4]DS HB'!N27</f>
        <v>0</v>
      </c>
      <c r="P70" s="269">
        <f>'[4]DS HB'!O27</f>
        <v>0</v>
      </c>
      <c r="Q70" s="270">
        <f>'[4]DS HB'!P27</f>
        <v>0</v>
      </c>
      <c r="R70" s="271">
        <f t="shared" si="2"/>
        <v>1070000</v>
      </c>
      <c r="S70" s="261">
        <v>0</v>
      </c>
      <c r="T70" s="271">
        <f t="shared" si="1"/>
        <v>1070000</v>
      </c>
      <c r="U70" s="261"/>
      <c r="V70" s="261">
        <f>'[4]DS HB'!T27</f>
        <v>0</v>
      </c>
    </row>
    <row r="71" spans="1:22" s="274" customFormat="1" ht="84" customHeight="1">
      <c r="A71" s="261">
        <v>58</v>
      </c>
      <c r="B71" s="262" t="str">
        <f>'[4]DS HB'!U28</f>
        <v>LG2512/5181</v>
      </c>
      <c r="C71" s="263" t="s">
        <v>240</v>
      </c>
      <c r="D71" s="264">
        <f>'[4]DS HB'!A28</f>
        <v>46357</v>
      </c>
      <c r="E71" s="265" t="str">
        <f>'[4]DS HB'!C28</f>
        <v>DOOSUNG HB</v>
      </c>
      <c r="F71" s="264" t="str">
        <f>'[4]DS HB'!F28</f>
        <v>260112DST-F17
260112DST-F18
260112DST-P05</v>
      </c>
      <c r="G71" s="262" t="str">
        <f>'[4]DS HB'!S28</f>
        <v>29H 92126</v>
      </c>
      <c r="H71" s="262" t="str">
        <f>'[4]DS HB'!D28</f>
        <v>KCN Thạch Thất, Hanoi- KCN Lương Sơn, Phú Thọ</v>
      </c>
      <c r="I71" s="262" t="s">
        <v>243</v>
      </c>
      <c r="J71" s="262" t="str">
        <f>'[4]DS HB'!G28</f>
        <v>1.25T</v>
      </c>
      <c r="K71" s="264" t="str">
        <f>'[4]DS HB'!I28</f>
        <v>2 PALLET</v>
      </c>
      <c r="L71" s="266" t="s">
        <v>242</v>
      </c>
      <c r="M71" s="267">
        <f>'[4]DS HB'!L28</f>
        <v>870000</v>
      </c>
      <c r="N71" s="268">
        <f>'[4]DS HB'!M28</f>
        <v>200000</v>
      </c>
      <c r="O71" s="267">
        <f>'[4]DS HB'!N28</f>
        <v>0</v>
      </c>
      <c r="P71" s="269">
        <f>'[4]DS HB'!O28</f>
        <v>0</v>
      </c>
      <c r="Q71" s="270">
        <f>'[4]DS HB'!P28</f>
        <v>0</v>
      </c>
      <c r="R71" s="271">
        <f t="shared" si="2"/>
        <v>1070000</v>
      </c>
      <c r="S71" s="261">
        <v>0</v>
      </c>
      <c r="T71" s="271">
        <f t="shared" si="1"/>
        <v>1070000</v>
      </c>
      <c r="U71" s="261"/>
      <c r="V71" s="261">
        <f>'[4]DS HB'!T28</f>
        <v>0</v>
      </c>
    </row>
    <row r="72" spans="1:22" s="274" customFormat="1" ht="84" customHeight="1">
      <c r="A72" s="261">
        <v>59</v>
      </c>
      <c r="B72" s="262" t="str">
        <f>'[4]DS HB'!U29</f>
        <v>LG2512/5182</v>
      </c>
      <c r="C72" s="263" t="s">
        <v>240</v>
      </c>
      <c r="D72" s="264" t="str">
        <f>'[4]DS HB'!A29</f>
        <v>13/01/2026</v>
      </c>
      <c r="E72" s="265" t="str">
        <f>'[4]DS HB'!C29</f>
        <v>DOOSUNG HB</v>
      </c>
      <c r="F72" s="264" t="str">
        <f>'[4]DS HB'!F29</f>
        <v>260112DST-F19</v>
      </c>
      <c r="G72" s="262" t="str">
        <f>'[4]DS HB'!S29</f>
        <v>29H 92126</v>
      </c>
      <c r="H72" s="262" t="str">
        <f>'[4]DS HB'!D29</f>
        <v>KCN Thạch Thất, Hanoi- KCN Lương Sơn, Phú Thọ</v>
      </c>
      <c r="I72" s="262" t="s">
        <v>243</v>
      </c>
      <c r="J72" s="262" t="str">
        <f>'[4]DS HB'!G29</f>
        <v>1.25T</v>
      </c>
      <c r="K72" s="264" t="str">
        <f>'[4]DS HB'!I29</f>
        <v>1 PALLET</v>
      </c>
      <c r="L72" s="266" t="s">
        <v>242</v>
      </c>
      <c r="M72" s="267">
        <f>'[4]DS HB'!L29</f>
        <v>870000</v>
      </c>
      <c r="N72" s="268">
        <f>'[4]DS HB'!M29</f>
        <v>200000</v>
      </c>
      <c r="O72" s="267">
        <f>'[4]DS HB'!N29</f>
        <v>0</v>
      </c>
      <c r="P72" s="269">
        <f>'[4]DS HB'!O29</f>
        <v>0</v>
      </c>
      <c r="Q72" s="270">
        <f>'[4]DS HB'!P29</f>
        <v>0</v>
      </c>
      <c r="R72" s="271">
        <f t="shared" si="2"/>
        <v>1070000</v>
      </c>
      <c r="S72" s="261">
        <v>0</v>
      </c>
      <c r="T72" s="271">
        <f t="shared" si="1"/>
        <v>1070000</v>
      </c>
      <c r="U72" s="261"/>
      <c r="V72" s="261">
        <f>'[4]DS HB'!T29</f>
        <v>0</v>
      </c>
    </row>
    <row r="73" spans="1:22" s="274" customFormat="1" ht="84" customHeight="1">
      <c r="A73" s="261">
        <v>60</v>
      </c>
      <c r="B73" s="262" t="str">
        <f>'[4]DS HB'!U30</f>
        <v>LG2512/5183</v>
      </c>
      <c r="C73" s="263" t="s">
        <v>240</v>
      </c>
      <c r="D73" s="264" t="str">
        <f>'[4]DS HB'!A30</f>
        <v>13/01/2026</v>
      </c>
      <c r="E73" s="265" t="str">
        <f>'[4]DS HB'!C30</f>
        <v>DOOSUNG HB</v>
      </c>
      <c r="F73" s="264" t="str">
        <f>'[4]DS HB'!F30</f>
        <v>260113DST-F20
260113DST-P06</v>
      </c>
      <c r="G73" s="262" t="str">
        <f>'[4]DS HB'!S30</f>
        <v>29H 37799</v>
      </c>
      <c r="H73" s="262" t="str">
        <f>'[4]DS HB'!D30</f>
        <v>KCN Thạch Thất, Hanoi- KCN Lương Sơn, Phú Thọ</v>
      </c>
      <c r="I73" s="262" t="s">
        <v>243</v>
      </c>
      <c r="J73" s="262" t="str">
        <f>'[4]DS HB'!G30</f>
        <v>1.25T</v>
      </c>
      <c r="K73" s="264" t="str">
        <f>'[4]DS HB'!I30</f>
        <v>1 PALLET</v>
      </c>
      <c r="L73" s="266" t="s">
        <v>242</v>
      </c>
      <c r="M73" s="267">
        <f>'[4]DS HB'!L30</f>
        <v>870000</v>
      </c>
      <c r="N73" s="268">
        <f>'[4]DS HB'!M30</f>
        <v>200000</v>
      </c>
      <c r="O73" s="267">
        <f>'[4]DS HB'!N30</f>
        <v>0</v>
      </c>
      <c r="P73" s="269">
        <f>'[4]DS HB'!O30</f>
        <v>0</v>
      </c>
      <c r="Q73" s="270">
        <f>'[4]DS HB'!P30</f>
        <v>0</v>
      </c>
      <c r="R73" s="271">
        <f t="shared" si="2"/>
        <v>1070000</v>
      </c>
      <c r="S73" s="261">
        <v>0</v>
      </c>
      <c r="T73" s="271">
        <f t="shared" si="1"/>
        <v>1070000</v>
      </c>
      <c r="U73" s="261"/>
      <c r="V73" s="261">
        <f>'[4]DS HB'!T30</f>
        <v>0</v>
      </c>
    </row>
    <row r="74" spans="1:22" s="274" customFormat="1" ht="84" customHeight="1">
      <c r="A74" s="261">
        <v>61</v>
      </c>
      <c r="B74" s="262" t="str">
        <f>'[4]DS HB'!U31</f>
        <v>LG2512/5184</v>
      </c>
      <c r="C74" s="263" t="s">
        <v>240</v>
      </c>
      <c r="D74" s="264" t="str">
        <f>'[4]DS HB'!A31</f>
        <v>14/01/2026</v>
      </c>
      <c r="E74" s="265" t="str">
        <f>'[4]DS HB'!C31</f>
        <v>DOOSUNG HB</v>
      </c>
      <c r="F74" s="264" t="str">
        <f>'[4]DS HB'!F31</f>
        <v>260114DST-F22
260114DST-P07</v>
      </c>
      <c r="G74" s="262" t="str">
        <f>'[4]DS HB'!S31</f>
        <v>29H 92126</v>
      </c>
      <c r="H74" s="262" t="str">
        <f>'[4]DS HB'!D31</f>
        <v>KCN Thạch Thất, Hanoi- KCN Lương Sơn, Phú Thọ</v>
      </c>
      <c r="I74" s="262" t="s">
        <v>243</v>
      </c>
      <c r="J74" s="262" t="str">
        <f>'[4]DS HB'!G31</f>
        <v>1.25T</v>
      </c>
      <c r="K74" s="264" t="str">
        <f>'[4]DS HB'!I31</f>
        <v>1 PALLET</v>
      </c>
      <c r="L74" s="266" t="s">
        <v>242</v>
      </c>
      <c r="M74" s="267">
        <f>'[4]DS HB'!L31</f>
        <v>870000</v>
      </c>
      <c r="N74" s="268">
        <f>'[4]DS HB'!M31</f>
        <v>200000</v>
      </c>
      <c r="O74" s="267">
        <f>'[4]DS HB'!N31</f>
        <v>0</v>
      </c>
      <c r="P74" s="269">
        <f>'[4]DS HB'!O31</f>
        <v>0</v>
      </c>
      <c r="Q74" s="270">
        <f>'[4]DS HB'!P31</f>
        <v>0</v>
      </c>
      <c r="R74" s="271">
        <f t="shared" si="2"/>
        <v>1070000</v>
      </c>
      <c r="S74" s="261">
        <v>0</v>
      </c>
      <c r="T74" s="271">
        <f t="shared" si="1"/>
        <v>1070000</v>
      </c>
      <c r="U74" s="261"/>
      <c r="V74" s="261">
        <f>'[4]DS HB'!T31</f>
        <v>0</v>
      </c>
    </row>
    <row r="75" spans="1:22" s="274" customFormat="1" ht="84" customHeight="1">
      <c r="A75" s="261">
        <v>62</v>
      </c>
      <c r="B75" s="262" t="str">
        <f>'[4]DS HB'!U32</f>
        <v>LG2512/5185</v>
      </c>
      <c r="C75" s="263" t="s">
        <v>240</v>
      </c>
      <c r="D75" s="264" t="str">
        <f>'[4]DS HB'!A32</f>
        <v>15/01/2026</v>
      </c>
      <c r="E75" s="265" t="str">
        <f>'[4]DS HB'!C32</f>
        <v>DOOSUNG HB</v>
      </c>
      <c r="F75" s="264" t="str">
        <f>'[4]DS HB'!F32</f>
        <v>260115DST-F24</v>
      </c>
      <c r="G75" s="262" t="str">
        <f>'[4]DS HB'!S32</f>
        <v>29H 80353</v>
      </c>
      <c r="H75" s="262" t="str">
        <f>'[4]DS HB'!D32</f>
        <v>KCN Thạch Thất, Hanoi- KCN Lương Sơn, Phú Thọ</v>
      </c>
      <c r="I75" s="262" t="s">
        <v>243</v>
      </c>
      <c r="J75" s="262" t="str">
        <f>'[4]DS HB'!G32</f>
        <v>1.25T</v>
      </c>
      <c r="K75" s="264" t="str">
        <f>'[4]DS HB'!I32</f>
        <v>1 PALLET</v>
      </c>
      <c r="L75" s="266" t="s">
        <v>242</v>
      </c>
      <c r="M75" s="267">
        <f>'[4]DS HB'!L32</f>
        <v>870000</v>
      </c>
      <c r="N75" s="268">
        <f>'[4]DS HB'!M32</f>
        <v>200000</v>
      </c>
      <c r="O75" s="267">
        <f>'[4]DS HB'!N32</f>
        <v>0</v>
      </c>
      <c r="P75" s="269">
        <f>'[4]DS HB'!O32</f>
        <v>0</v>
      </c>
      <c r="Q75" s="270">
        <f>'[4]DS HB'!P32</f>
        <v>0</v>
      </c>
      <c r="R75" s="271">
        <f t="shared" si="2"/>
        <v>1070000</v>
      </c>
      <c r="S75" s="261">
        <v>0</v>
      </c>
      <c r="T75" s="271">
        <f t="shared" si="1"/>
        <v>1070000</v>
      </c>
      <c r="U75" s="261"/>
      <c r="V75" s="261">
        <f>'[4]DS HB'!T32</f>
        <v>0</v>
      </c>
    </row>
    <row r="76" spans="1:22" s="274" customFormat="1" ht="84" customHeight="1">
      <c r="A76" s="261">
        <v>63</v>
      </c>
      <c r="B76" s="262" t="str">
        <f>'[4]DS HB'!U33</f>
        <v>LG2512/5186</v>
      </c>
      <c r="C76" s="263" t="s">
        <v>240</v>
      </c>
      <c r="D76" s="264" t="str">
        <f>'[4]DS HB'!A33</f>
        <v>15/01/2026</v>
      </c>
      <c r="E76" s="265" t="str">
        <f>'[4]DS HB'!C33</f>
        <v>DOOSUNG HB</v>
      </c>
      <c r="F76" s="264" t="str">
        <f>'[4]DS HB'!F33</f>
        <v>260115DSV-F-07</v>
      </c>
      <c r="G76" s="262" t="str">
        <f>'[4]DS HB'!S33</f>
        <v>29H 92126</v>
      </c>
      <c r="H76" s="262" t="str">
        <f>'[4]DS HB'!D33</f>
        <v>KCN Thạch Thất, Hanoi- KCN Lương Sơn, Phú Thọ</v>
      </c>
      <c r="I76" s="262" t="s">
        <v>243</v>
      </c>
      <c r="J76" s="262" t="str">
        <f>'[4]DS HB'!G33</f>
        <v>1.25T</v>
      </c>
      <c r="K76" s="264" t="str">
        <f>'[4]DS HB'!I33</f>
        <v>7 box</v>
      </c>
      <c r="L76" s="266" t="s">
        <v>242</v>
      </c>
      <c r="M76" s="267">
        <f>'[4]DS HB'!L33</f>
        <v>870000</v>
      </c>
      <c r="N76" s="268">
        <f>'[4]DS HB'!M33</f>
        <v>200000</v>
      </c>
      <c r="O76" s="267">
        <f>'[4]DS HB'!N33</f>
        <v>0</v>
      </c>
      <c r="P76" s="269">
        <f>'[4]DS HB'!O33</f>
        <v>0</v>
      </c>
      <c r="Q76" s="270">
        <f>'[4]DS HB'!P33</f>
        <v>0</v>
      </c>
      <c r="R76" s="271">
        <f t="shared" si="2"/>
        <v>1070000</v>
      </c>
      <c r="S76" s="261">
        <v>0</v>
      </c>
      <c r="T76" s="271">
        <f t="shared" si="1"/>
        <v>1070000</v>
      </c>
      <c r="U76" s="261"/>
      <c r="V76" s="261">
        <f>'[4]DS HB'!T33</f>
        <v>0</v>
      </c>
    </row>
    <row r="77" spans="1:22" s="274" customFormat="1" ht="84" customHeight="1">
      <c r="A77" s="261">
        <v>64</v>
      </c>
      <c r="B77" s="262" t="str">
        <f>'[4]DS HB'!U34</f>
        <v>LG2512/5187</v>
      </c>
      <c r="C77" s="263" t="s">
        <v>240</v>
      </c>
      <c r="D77" s="264" t="str">
        <f>'[4]DS HB'!A34</f>
        <v>16/01/2026</v>
      </c>
      <c r="E77" s="265" t="str">
        <f>'[4]DS HB'!C34</f>
        <v>DOOSUNG HB</v>
      </c>
      <c r="F77" s="264" t="str">
        <f>'[4]DS HB'!F34</f>
        <v>260116DST-F26</v>
      </c>
      <c r="G77" s="262" t="str">
        <f>'[4]DS HB'!S34</f>
        <v>29H 88337</v>
      </c>
      <c r="H77" s="262" t="str">
        <f>'[4]DS HB'!D34</f>
        <v>KCN Thạch Thất, Hanoi- KCN Lương Sơn, Phú Thọ</v>
      </c>
      <c r="I77" s="262" t="s">
        <v>243</v>
      </c>
      <c r="J77" s="262" t="str">
        <f>'[4]DS HB'!G34</f>
        <v>1.25T</v>
      </c>
      <c r="K77" s="264" t="str">
        <f>'[4]DS HB'!I34</f>
        <v>1 PALLET</v>
      </c>
      <c r="L77" s="266" t="s">
        <v>242</v>
      </c>
      <c r="M77" s="267">
        <f>'[4]DS HB'!L34</f>
        <v>870000</v>
      </c>
      <c r="N77" s="268">
        <f>'[4]DS HB'!M34</f>
        <v>200000</v>
      </c>
      <c r="O77" s="267">
        <f>'[4]DS HB'!N34</f>
        <v>0</v>
      </c>
      <c r="P77" s="269">
        <f>'[4]DS HB'!O34</f>
        <v>0</v>
      </c>
      <c r="Q77" s="270">
        <f>'[4]DS HB'!P34</f>
        <v>0</v>
      </c>
      <c r="R77" s="271">
        <f t="shared" si="2"/>
        <v>1070000</v>
      </c>
      <c r="S77" s="261">
        <v>0</v>
      </c>
      <c r="T77" s="271">
        <f t="shared" si="1"/>
        <v>1070000</v>
      </c>
      <c r="U77" s="261"/>
      <c r="V77" s="261">
        <f>'[4]DS HB'!T34</f>
        <v>0</v>
      </c>
    </row>
    <row r="78" spans="1:22" s="274" customFormat="1" ht="84" customHeight="1">
      <c r="A78" s="261">
        <v>65</v>
      </c>
      <c r="B78" s="262" t="str">
        <f>'[4]DS HB'!U35</f>
        <v>LG2512/5188</v>
      </c>
      <c r="C78" s="263" t="s">
        <v>240</v>
      </c>
      <c r="D78" s="264" t="str">
        <f>'[4]DS HB'!A35</f>
        <v>17/01/2026</v>
      </c>
      <c r="E78" s="265" t="str">
        <f>'[4]DS HB'!C35</f>
        <v>DOOSUNG HB</v>
      </c>
      <c r="F78" s="264" t="str">
        <f>'[4]DS HB'!F35</f>
        <v>260117DST-F28</v>
      </c>
      <c r="G78" s="262" t="str">
        <f>'[4]DS HB'!S35</f>
        <v>29H 80353</v>
      </c>
      <c r="H78" s="262" t="str">
        <f>'[4]DS HB'!D35</f>
        <v>KCN Thạch Thất, Hanoi- KCN Lương Sơn, Phú Thọ</v>
      </c>
      <c r="I78" s="262" t="s">
        <v>243</v>
      </c>
      <c r="J78" s="262" t="str">
        <f>'[4]DS HB'!G35</f>
        <v>1.25T</v>
      </c>
      <c r="K78" s="264" t="str">
        <f>'[4]DS HB'!I35</f>
        <v>1 pallet</v>
      </c>
      <c r="L78" s="266" t="s">
        <v>242</v>
      </c>
      <c r="M78" s="267">
        <f>'[4]DS HB'!L35</f>
        <v>870000</v>
      </c>
      <c r="N78" s="268">
        <f>'[4]DS HB'!M35</f>
        <v>200000</v>
      </c>
      <c r="O78" s="267">
        <f>'[4]DS HB'!N35</f>
        <v>200000</v>
      </c>
      <c r="P78" s="269">
        <f>'[4]DS HB'!O35</f>
        <v>0</v>
      </c>
      <c r="Q78" s="270">
        <f>'[4]DS HB'!P35</f>
        <v>0</v>
      </c>
      <c r="R78" s="271">
        <f t="shared" si="2"/>
        <v>1270000</v>
      </c>
      <c r="S78" s="261">
        <v>0</v>
      </c>
      <c r="T78" s="271">
        <f t="shared" si="1"/>
        <v>1270000</v>
      </c>
      <c r="U78" s="261"/>
      <c r="V78" s="261" t="str">
        <f>'[4]DS HB'!T35</f>
        <v>chờ lấy hàng từ 20h30 đến 23h50</v>
      </c>
    </row>
    <row r="79" spans="1:22" s="274" customFormat="1" ht="84" customHeight="1">
      <c r="A79" s="261">
        <v>66</v>
      </c>
      <c r="B79" s="262" t="str">
        <f>'[4]DS HB'!U36</f>
        <v>LG2512/5189</v>
      </c>
      <c r="C79" s="263" t="s">
        <v>240</v>
      </c>
      <c r="D79" s="264" t="str">
        <f>'[4]DS HB'!A36</f>
        <v>19/01/2026</v>
      </c>
      <c r="E79" s="265" t="str">
        <f>'[4]DS HB'!C36</f>
        <v>DOOSUNG HB</v>
      </c>
      <c r="F79" s="264" t="str">
        <f>'[4]DS HB'!F36</f>
        <v>260119DST-P08
260119DST-F31
260119DST-F32</v>
      </c>
      <c r="G79" s="262" t="str">
        <f>'[4]DS HB'!S36</f>
        <v>29H 80353</v>
      </c>
      <c r="H79" s="262" t="str">
        <f>'[4]DS HB'!D36</f>
        <v>KCN Thạch Thất, Hanoi- KCN Lương Sơn, Phú Thọ</v>
      </c>
      <c r="I79" s="262" t="s">
        <v>243</v>
      </c>
      <c r="J79" s="262" t="str">
        <f>'[4]DS HB'!G36</f>
        <v>1.25T</v>
      </c>
      <c r="K79" s="264" t="str">
        <f>'[4]DS HB'!I36</f>
        <v>1 pallet</v>
      </c>
      <c r="L79" s="266" t="s">
        <v>242</v>
      </c>
      <c r="M79" s="267">
        <f>'[4]DS HB'!L36</f>
        <v>870000</v>
      </c>
      <c r="N79" s="268">
        <f>'[4]DS HB'!M36</f>
        <v>200000</v>
      </c>
      <c r="O79" s="267">
        <f>'[4]DS HB'!N36</f>
        <v>0</v>
      </c>
      <c r="P79" s="269">
        <f>'[4]DS HB'!O36</f>
        <v>0</v>
      </c>
      <c r="Q79" s="270">
        <f>'[4]DS HB'!P36</f>
        <v>0</v>
      </c>
      <c r="R79" s="271">
        <f t="shared" si="2"/>
        <v>1070000</v>
      </c>
      <c r="S79" s="261">
        <v>0</v>
      </c>
      <c r="T79" s="271">
        <f t="shared" ref="T79:T142" si="3">R79+S79</f>
        <v>1070000</v>
      </c>
      <c r="U79" s="261"/>
      <c r="V79" s="261">
        <f>'[4]DS HB'!T36</f>
        <v>0</v>
      </c>
    </row>
    <row r="80" spans="1:22" s="274" customFormat="1" ht="84" customHeight="1">
      <c r="A80" s="261">
        <v>67</v>
      </c>
      <c r="B80" s="262" t="str">
        <f>'[4]DS HB'!U37</f>
        <v>LG2512/5190</v>
      </c>
      <c r="C80" s="263" t="s">
        <v>240</v>
      </c>
      <c r="D80" s="264" t="str">
        <f>'[4]DS HB'!A37</f>
        <v>20/01/2026</v>
      </c>
      <c r="E80" s="265" t="str">
        <f>'[4]DS HB'!C37</f>
        <v>DOOSUNG HB</v>
      </c>
      <c r="F80" s="264" t="str">
        <f>'[4]DS HB'!F37</f>
        <v>260120DST-F34</v>
      </c>
      <c r="G80" s="262" t="str">
        <f>'[4]DS HB'!S37</f>
        <v>29H 80353</v>
      </c>
      <c r="H80" s="262" t="str">
        <f>'[4]DS HB'!D37</f>
        <v>KCN Thạch Thất, Hanoi- KCN Lương Sơn, Phú Thọ</v>
      </c>
      <c r="I80" s="262" t="s">
        <v>243</v>
      </c>
      <c r="J80" s="262" t="str">
        <f>'[4]DS HB'!G37</f>
        <v>1.25T</v>
      </c>
      <c r="K80" s="264" t="str">
        <f>'[4]DS HB'!I37</f>
        <v>1 pallet</v>
      </c>
      <c r="L80" s="266" t="s">
        <v>242</v>
      </c>
      <c r="M80" s="267">
        <f>'[4]DS HB'!L37</f>
        <v>870000</v>
      </c>
      <c r="N80" s="268">
        <f>'[4]DS HB'!M37</f>
        <v>200000</v>
      </c>
      <c r="O80" s="267">
        <f>'[4]DS HB'!N37</f>
        <v>0</v>
      </c>
      <c r="P80" s="269">
        <f>'[4]DS HB'!O37</f>
        <v>0</v>
      </c>
      <c r="Q80" s="270">
        <f>'[4]DS HB'!P37</f>
        <v>0</v>
      </c>
      <c r="R80" s="271">
        <f t="shared" si="2"/>
        <v>1070000</v>
      </c>
      <c r="S80" s="261">
        <v>0</v>
      </c>
      <c r="T80" s="271">
        <f t="shared" si="3"/>
        <v>1070000</v>
      </c>
      <c r="U80" s="261"/>
      <c r="V80" s="261">
        <f>'[4]DS HB'!T37</f>
        <v>0</v>
      </c>
    </row>
    <row r="81" spans="1:22" s="274" customFormat="1" ht="84" customHeight="1">
      <c r="A81" s="261">
        <v>68</v>
      </c>
      <c r="B81" s="262" t="str">
        <f>'[4]DS HB'!U38</f>
        <v>LG2512/5191</v>
      </c>
      <c r="C81" s="263" t="s">
        <v>240</v>
      </c>
      <c r="D81" s="264" t="str">
        <f>'[4]DS HB'!A38</f>
        <v>21/01/2026</v>
      </c>
      <c r="E81" s="265" t="str">
        <f>'[4]DS HB'!C38</f>
        <v>DOOSUNG HB</v>
      </c>
      <c r="F81" s="264" t="str">
        <f>'[4]DS HB'!F38</f>
        <v>260121DST-F35</v>
      </c>
      <c r="G81" s="262" t="str">
        <f>'[4]DS HB'!S38</f>
        <v>29H 80353</v>
      </c>
      <c r="H81" s="262" t="str">
        <f>'[4]DS HB'!D38</f>
        <v>KCN Thạch Thất, Hanoi- KCN Lương Sơn, Phú Thọ</v>
      </c>
      <c r="I81" s="262" t="s">
        <v>243</v>
      </c>
      <c r="J81" s="262" t="str">
        <f>'[4]DS HB'!G38</f>
        <v>1.25T</v>
      </c>
      <c r="K81" s="264" t="str">
        <f>'[4]DS HB'!I38</f>
        <v>1 pallet</v>
      </c>
      <c r="L81" s="266" t="s">
        <v>242</v>
      </c>
      <c r="M81" s="267">
        <f>'[4]DS HB'!L38</f>
        <v>870000</v>
      </c>
      <c r="N81" s="268">
        <f>'[4]DS HB'!M38</f>
        <v>200000</v>
      </c>
      <c r="O81" s="267">
        <f>'[4]DS HB'!N38</f>
        <v>0</v>
      </c>
      <c r="P81" s="269">
        <f>'[4]DS HB'!O38</f>
        <v>0</v>
      </c>
      <c r="Q81" s="270">
        <f>'[4]DS HB'!P38</f>
        <v>0</v>
      </c>
      <c r="R81" s="271">
        <f t="shared" si="2"/>
        <v>1070000</v>
      </c>
      <c r="S81" s="261">
        <v>0</v>
      </c>
      <c r="T81" s="271">
        <f t="shared" si="3"/>
        <v>1070000</v>
      </c>
      <c r="U81" s="261"/>
      <c r="V81" s="261">
        <f>'[4]DS HB'!T38</f>
        <v>0</v>
      </c>
    </row>
    <row r="82" spans="1:22" s="274" customFormat="1" ht="84" customHeight="1">
      <c r="A82" s="261">
        <v>69</v>
      </c>
      <c r="B82" s="262" t="str">
        <f>'[4]DS HB'!U39</f>
        <v>LG2512/5192</v>
      </c>
      <c r="C82" s="263" t="s">
        <v>240</v>
      </c>
      <c r="D82" s="264" t="str">
        <f>'[4]DS HB'!A39</f>
        <v>22/01/2026</v>
      </c>
      <c r="E82" s="265" t="str">
        <f>'[4]DS HB'!C39</f>
        <v>DOOSUNG HB</v>
      </c>
      <c r="F82" s="264" t="str">
        <f>'[4]DS HB'!F39</f>
        <v>260122DST-F37
260122DST-F39
260122DST-P10</v>
      </c>
      <c r="G82" s="262" t="str">
        <f>'[4]DS HB'!S39</f>
        <v>29E 26072</v>
      </c>
      <c r="H82" s="262" t="str">
        <f>'[4]DS HB'!D39</f>
        <v>KCN Thạch Thất, Hanoi- KCN Lương Sơn, Phú Thọ</v>
      </c>
      <c r="I82" s="262" t="s">
        <v>243</v>
      </c>
      <c r="J82" s="262" t="str">
        <f>'[4]DS HB'!G39</f>
        <v>1.25T</v>
      </c>
      <c r="K82" s="264" t="str">
        <f>'[4]DS HB'!I39</f>
        <v>2 pallet</v>
      </c>
      <c r="L82" s="266" t="s">
        <v>242</v>
      </c>
      <c r="M82" s="267">
        <f>'[4]DS HB'!L39</f>
        <v>870000</v>
      </c>
      <c r="N82" s="268">
        <f>'[4]DS HB'!M39</f>
        <v>200000</v>
      </c>
      <c r="O82" s="267">
        <f>'[4]DS HB'!N39</f>
        <v>0</v>
      </c>
      <c r="P82" s="269">
        <f>'[4]DS HB'!O39</f>
        <v>0</v>
      </c>
      <c r="Q82" s="270">
        <f>'[4]DS HB'!P39</f>
        <v>0</v>
      </c>
      <c r="R82" s="271">
        <f t="shared" si="2"/>
        <v>1070000</v>
      </c>
      <c r="S82" s="261">
        <v>0</v>
      </c>
      <c r="T82" s="271">
        <f t="shared" si="3"/>
        <v>1070000</v>
      </c>
      <c r="U82" s="261"/>
      <c r="V82" s="261">
        <f>'[4]DS HB'!T39</f>
        <v>0</v>
      </c>
    </row>
    <row r="83" spans="1:22" s="274" customFormat="1" ht="84" customHeight="1">
      <c r="A83" s="261">
        <v>70</v>
      </c>
      <c r="B83" s="262" t="str">
        <f>'[4]DS HB'!U40</f>
        <v>LG2512/5193</v>
      </c>
      <c r="C83" s="263" t="s">
        <v>240</v>
      </c>
      <c r="D83" s="264" t="str">
        <f>'[4]DS HB'!A40</f>
        <v>23/01/2026</v>
      </c>
      <c r="E83" s="265" t="str">
        <f>'[4]DS HB'!C40</f>
        <v>DOOSUNG HB</v>
      </c>
      <c r="F83" s="264" t="str">
        <f>'[4]DS HB'!F40</f>
        <v>260123DST-F40</v>
      </c>
      <c r="G83" s="262" t="str">
        <f>'[4]DS HB'!S40</f>
        <v>29H 80353</v>
      </c>
      <c r="H83" s="262" t="str">
        <f>'[4]DS HB'!D40</f>
        <v>KCN Thạch Thất, Hanoi- KCN Lương Sơn, Phú Thọ</v>
      </c>
      <c r="I83" s="262" t="s">
        <v>243</v>
      </c>
      <c r="J83" s="262" t="str">
        <f>'[4]DS HB'!G40</f>
        <v>1.25T</v>
      </c>
      <c r="K83" s="264" t="str">
        <f>'[4]DS HB'!I40</f>
        <v>1 pallet</v>
      </c>
      <c r="L83" s="266" t="s">
        <v>242</v>
      </c>
      <c r="M83" s="267">
        <f>'[4]DS HB'!L40</f>
        <v>870000</v>
      </c>
      <c r="N83" s="268">
        <f>'[4]DS HB'!M40</f>
        <v>200000</v>
      </c>
      <c r="O83" s="267">
        <f>'[4]DS HB'!N40</f>
        <v>350000</v>
      </c>
      <c r="P83" s="269">
        <f>'[4]DS HB'!O40</f>
        <v>0</v>
      </c>
      <c r="Q83" s="270">
        <f>'[4]DS HB'!P40</f>
        <v>0</v>
      </c>
      <c r="R83" s="271">
        <f t="shared" si="2"/>
        <v>1420000</v>
      </c>
      <c r="S83" s="261">
        <v>0</v>
      </c>
      <c r="T83" s="271">
        <f t="shared" si="3"/>
        <v>1420000</v>
      </c>
      <c r="U83" s="261"/>
      <c r="V83" s="261" t="str">
        <f>'[4]DS HB'!T40</f>
        <v>Chờ lấy hàng từ 21h30 đến 2h</v>
      </c>
    </row>
    <row r="84" spans="1:22" s="274" customFormat="1" ht="84" customHeight="1">
      <c r="A84" s="261">
        <v>71</v>
      </c>
      <c r="B84" s="262" t="str">
        <f>'[4]DS HB'!U41</f>
        <v>LG2512/5194</v>
      </c>
      <c r="C84" s="263" t="s">
        <v>240</v>
      </c>
      <c r="D84" s="264" t="str">
        <f>'[4]DS HB'!A41</f>
        <v>24/01/2026</v>
      </c>
      <c r="E84" s="265" t="str">
        <f>'[4]DS HB'!C41</f>
        <v>DOOSUNG HB</v>
      </c>
      <c r="F84" s="264" t="str">
        <f>'[4]DS HB'!F41</f>
        <v>260124DST-F43</v>
      </c>
      <c r="G84" s="262" t="str">
        <f>'[4]DS HB'!S41</f>
        <v>29H 40829</v>
      </c>
      <c r="H84" s="262" t="str">
        <f>'[4]DS HB'!D41</f>
        <v>KCN Thạch Thất, Hanoi- KCN Lương Sơn, Phú Thọ</v>
      </c>
      <c r="I84" s="262" t="s">
        <v>243</v>
      </c>
      <c r="J84" s="262" t="str">
        <f>'[4]DS HB'!G41</f>
        <v>1.25T</v>
      </c>
      <c r="K84" s="264" t="str">
        <f>'[4]DS HB'!I41</f>
        <v>3 thùng</v>
      </c>
      <c r="L84" s="266" t="s">
        <v>242</v>
      </c>
      <c r="M84" s="267">
        <f>'[4]DS HB'!L41</f>
        <v>870000</v>
      </c>
      <c r="N84" s="268">
        <f>'[4]DS HB'!M41</f>
        <v>200000</v>
      </c>
      <c r="O84" s="267">
        <f>'[4]DS HB'!N41</f>
        <v>100000</v>
      </c>
      <c r="P84" s="269">
        <f>'[4]DS HB'!O41</f>
        <v>0</v>
      </c>
      <c r="Q84" s="270">
        <f>'[4]DS HB'!P41</f>
        <v>0</v>
      </c>
      <c r="R84" s="271">
        <f t="shared" si="2"/>
        <v>1170000</v>
      </c>
      <c r="S84" s="261">
        <v>0</v>
      </c>
      <c r="T84" s="271">
        <f t="shared" si="3"/>
        <v>1170000</v>
      </c>
      <c r="U84" s="261"/>
      <c r="V84" s="261" t="str">
        <f>'[4]DS HB'!T41</f>
        <v>Chờ lấy hàng từ 20h30-22h30</v>
      </c>
    </row>
    <row r="85" spans="1:22" s="274" customFormat="1" ht="84" customHeight="1">
      <c r="A85" s="261">
        <v>72</v>
      </c>
      <c r="B85" s="262" t="str">
        <f>'[4]DS HB'!U42</f>
        <v>LG2512/5195</v>
      </c>
      <c r="C85" s="263" t="s">
        <v>240</v>
      </c>
      <c r="D85" s="264" t="str">
        <f>'[4]DS HB'!A42</f>
        <v>25/01/2026</v>
      </c>
      <c r="E85" s="265" t="str">
        <f>'[4]DS HB'!C42</f>
        <v>DOOSUNG HB</v>
      </c>
      <c r="F85" s="264" t="str">
        <f>'[4]DS HB'!F42</f>
        <v>260124DST-F45</v>
      </c>
      <c r="G85" s="262" t="str">
        <f>'[4]DS HB'!S42</f>
        <v>29H 80353</v>
      </c>
      <c r="H85" s="262" t="str">
        <f>'[4]DS HB'!D42</f>
        <v>KCN Thạch Thất, Hanoi- KCN Lương Sơn, Phú Thọ</v>
      </c>
      <c r="I85" s="262" t="s">
        <v>243</v>
      </c>
      <c r="J85" s="262" t="str">
        <f>'[4]DS HB'!G42</f>
        <v>1.25T</v>
      </c>
      <c r="K85" s="264" t="str">
        <f>'[4]DS HB'!I42</f>
        <v>1 pallet</v>
      </c>
      <c r="L85" s="266" t="s">
        <v>242</v>
      </c>
      <c r="M85" s="267">
        <f>'[4]DS HB'!L42</f>
        <v>870000</v>
      </c>
      <c r="N85" s="268">
        <f>'[4]DS HB'!M42</f>
        <v>200000</v>
      </c>
      <c r="O85" s="267">
        <f>'[4]DS HB'!N42</f>
        <v>0</v>
      </c>
      <c r="P85" s="269">
        <f>'[4]DS HB'!O42</f>
        <v>0</v>
      </c>
      <c r="Q85" s="270">
        <f>'[4]DS HB'!P42</f>
        <v>0</v>
      </c>
      <c r="R85" s="271">
        <f t="shared" si="2"/>
        <v>1070000</v>
      </c>
      <c r="S85" s="261">
        <v>0</v>
      </c>
      <c r="T85" s="271">
        <f t="shared" si="3"/>
        <v>1070000</v>
      </c>
      <c r="U85" s="261"/>
      <c r="V85" s="261">
        <f>'[4]DS HB'!T42</f>
        <v>0</v>
      </c>
    </row>
    <row r="86" spans="1:22" s="273" customFormat="1" ht="84" customHeight="1">
      <c r="A86" s="261">
        <v>73</v>
      </c>
      <c r="B86" s="262" t="str">
        <f>'[4]DS BN'!U14</f>
        <v>LG2512/5224</v>
      </c>
      <c r="C86" s="263" t="s">
        <v>240</v>
      </c>
      <c r="D86" s="264">
        <f>'[4]DS BN'!A14</f>
        <v>45717</v>
      </c>
      <c r="E86" s="265" t="str">
        <f>'[4]DS BN'!C14</f>
        <v>DOOSUNG BN</v>
      </c>
      <c r="F86" s="264" t="str">
        <f>'[4]DS BN'!F14</f>
        <v>260103DST-F02</v>
      </c>
      <c r="G86" s="262" t="str">
        <f>'[4]DS BN'!S14</f>
        <v>29K-059.76</v>
      </c>
      <c r="H86" s="262" t="str">
        <f>'[4]DS BN'!D14</f>
        <v>KCN Thạch Thất, Hanoi- Quế Võ, Bắc Ninh</v>
      </c>
      <c r="I86" s="262" t="s">
        <v>241</v>
      </c>
      <c r="J86" s="262" t="str">
        <f>'[4]DS BN'!G14</f>
        <v>1.25T</v>
      </c>
      <c r="K86" s="264" t="str">
        <f>'[4]DS BN'!I14</f>
        <v>5 thùng</v>
      </c>
      <c r="L86" s="266" t="s">
        <v>242</v>
      </c>
      <c r="M86" s="267">
        <f>'[4]DS BN'!L14</f>
        <v>1200000</v>
      </c>
      <c r="N86" s="268">
        <f>'[4]DS BN'!M14</f>
        <v>200000</v>
      </c>
      <c r="O86" s="269">
        <f>'[4]DS BN'!N14</f>
        <v>0</v>
      </c>
      <c r="P86" s="269">
        <f>'[4]DS BN'!O14</f>
        <v>0</v>
      </c>
      <c r="Q86" s="270">
        <f>'[4]DS BN'!P14</f>
        <v>0</v>
      </c>
      <c r="R86" s="271">
        <f>SUM(M86:Q86)</f>
        <v>1400000</v>
      </c>
      <c r="S86" s="261">
        <v>0</v>
      </c>
      <c r="T86" s="271">
        <f t="shared" si="3"/>
        <v>1400000</v>
      </c>
      <c r="U86" s="261"/>
      <c r="V86" s="261" t="e">
        <f>'[4]DS BN'!#REF!</f>
        <v>#REF!</v>
      </c>
    </row>
    <row r="87" spans="1:22" s="273" customFormat="1" ht="84" customHeight="1">
      <c r="A87" s="261">
        <v>74</v>
      </c>
      <c r="B87" s="262" t="str">
        <f>'[4]DS BN'!U15</f>
        <v>LG2512/5225</v>
      </c>
      <c r="C87" s="263" t="s">
        <v>240</v>
      </c>
      <c r="D87" s="264">
        <f>'[4]DS BN'!A15</f>
        <v>45778</v>
      </c>
      <c r="E87" s="265" t="str">
        <f>'[4]DS BN'!C15</f>
        <v>DOOSUNG BN</v>
      </c>
      <c r="F87" s="264" t="str">
        <f>'[4]DS BN'!F15</f>
        <v>260105DST-P02</v>
      </c>
      <c r="G87" s="262" t="str">
        <f>'[4]DS BN'!S15</f>
        <v>29H 88337</v>
      </c>
      <c r="H87" s="262" t="str">
        <f>'[4]DS BN'!D15</f>
        <v>KCN Thạch Thất, Hanoi- Quế Võ, Bắc Ninh</v>
      </c>
      <c r="I87" s="262" t="s">
        <v>241</v>
      </c>
      <c r="J87" s="262" t="str">
        <f>'[4]DS BN'!G15</f>
        <v>1.25T</v>
      </c>
      <c r="K87" s="264" t="str">
        <f>'[4]DS BN'!I15</f>
        <v>1 pallet</v>
      </c>
      <c r="L87" s="266" t="s">
        <v>242</v>
      </c>
      <c r="M87" s="267">
        <f>'[4]DS BN'!L15</f>
        <v>1200000</v>
      </c>
      <c r="N87" s="268">
        <f>'[4]DS BN'!M15</f>
        <v>200000</v>
      </c>
      <c r="O87" s="269">
        <f>'[4]DS BN'!N15</f>
        <v>0</v>
      </c>
      <c r="P87" s="269">
        <f>'[4]DS BN'!O15</f>
        <v>0</v>
      </c>
      <c r="Q87" s="270">
        <f>'[4]DS BN'!P15</f>
        <v>0</v>
      </c>
      <c r="R87" s="271">
        <f t="shared" ref="R87:R103" si="4">SUM(M87:Q87)</f>
        <v>1400000</v>
      </c>
      <c r="S87" s="261">
        <v>0</v>
      </c>
      <c r="T87" s="271">
        <f t="shared" si="3"/>
        <v>1400000</v>
      </c>
      <c r="U87" s="261"/>
      <c r="V87" s="261" t="e">
        <f>'[4]DS BN'!#REF!</f>
        <v>#REF!</v>
      </c>
    </row>
    <row r="88" spans="1:22" s="273" customFormat="1" ht="84" customHeight="1">
      <c r="A88" s="261">
        <v>75</v>
      </c>
      <c r="B88" s="262" t="str">
        <f>'[4]DS BN'!U16</f>
        <v>LG2512/5226</v>
      </c>
      <c r="C88" s="263" t="s">
        <v>240</v>
      </c>
      <c r="D88" s="264">
        <f>'[4]DS BN'!A16</f>
        <v>45839</v>
      </c>
      <c r="E88" s="265" t="str">
        <f>'[4]DS BN'!C16</f>
        <v>DOOSUNG BN</v>
      </c>
      <c r="F88" s="264" t="str">
        <f>'[4]DS BN'!F16</f>
        <v>260107DST-F08
260106DST-P04</v>
      </c>
      <c r="G88" s="262" t="str">
        <f>'[4]DS BN'!S16</f>
        <v>29H 88371</v>
      </c>
      <c r="H88" s="262" t="str">
        <f>'[4]DS BN'!D16</f>
        <v>KCN Thạch Thất, Hanoi- Quế Võ, Bắc Ninh</v>
      </c>
      <c r="I88" s="262" t="s">
        <v>241</v>
      </c>
      <c r="J88" s="262" t="str">
        <f>'[4]DS BN'!G16</f>
        <v>1.25T</v>
      </c>
      <c r="K88" s="264" t="str">
        <f>'[4]DS BN'!I16</f>
        <v>6 thùng</v>
      </c>
      <c r="L88" s="266" t="s">
        <v>242</v>
      </c>
      <c r="M88" s="267">
        <f>'[4]DS BN'!L16</f>
        <v>1200000</v>
      </c>
      <c r="N88" s="268">
        <f>'[4]DS BN'!M16</f>
        <v>200000</v>
      </c>
      <c r="O88" s="269">
        <f>'[4]DS BN'!N16</f>
        <v>0</v>
      </c>
      <c r="P88" s="269">
        <f>'[4]DS BN'!O16</f>
        <v>0</v>
      </c>
      <c r="Q88" s="270">
        <f>'[4]DS BN'!P16</f>
        <v>0</v>
      </c>
      <c r="R88" s="271">
        <f t="shared" si="4"/>
        <v>1400000</v>
      </c>
      <c r="S88" s="261">
        <v>0</v>
      </c>
      <c r="T88" s="271">
        <f t="shared" si="3"/>
        <v>1400000</v>
      </c>
      <c r="U88" s="261"/>
      <c r="V88" s="261" t="e">
        <f>'[4]DS BN'!#REF!</f>
        <v>#REF!</v>
      </c>
    </row>
    <row r="89" spans="1:22" s="273" customFormat="1" ht="84" customHeight="1">
      <c r="A89" s="261">
        <v>76</v>
      </c>
      <c r="B89" s="262" t="str">
        <f>'[4]DS BN'!U17</f>
        <v>LG2512/5227</v>
      </c>
      <c r="C89" s="263" t="s">
        <v>240</v>
      </c>
      <c r="D89" s="264">
        <f>'[4]DS BN'!A17</f>
        <v>45870</v>
      </c>
      <c r="E89" s="265" t="str">
        <f>'[4]DS BN'!C17</f>
        <v>DOOSUNG BN</v>
      </c>
      <c r="F89" s="264" t="str">
        <f>'[4]DS BN'!F17</f>
        <v>260108DST-F10</v>
      </c>
      <c r="G89" s="262" t="str">
        <f>'[4]DS BN'!S17</f>
        <v>29C 99732</v>
      </c>
      <c r="H89" s="262" t="str">
        <f>'[4]DS BN'!D17</f>
        <v>KCN Thạch Thất, Hanoi- Quế Võ, Bắc Ninh</v>
      </c>
      <c r="I89" s="262" t="s">
        <v>241</v>
      </c>
      <c r="J89" s="262" t="str">
        <f>'[4]DS BN'!G17</f>
        <v>1.25T</v>
      </c>
      <c r="K89" s="264" t="str">
        <f>'[4]DS BN'!I17</f>
        <v>4 thùng</v>
      </c>
      <c r="L89" s="266" t="s">
        <v>242</v>
      </c>
      <c r="M89" s="267">
        <f>'[4]DS BN'!L17</f>
        <v>1200000</v>
      </c>
      <c r="N89" s="268">
        <f>'[4]DS BN'!M17</f>
        <v>200000</v>
      </c>
      <c r="O89" s="269">
        <f>'[4]DS BN'!N17</f>
        <v>0</v>
      </c>
      <c r="P89" s="269">
        <f>'[4]DS BN'!O17</f>
        <v>0</v>
      </c>
      <c r="Q89" s="270">
        <f>'[4]DS BN'!P17</f>
        <v>0</v>
      </c>
      <c r="R89" s="271">
        <f t="shared" si="4"/>
        <v>1400000</v>
      </c>
      <c r="S89" s="261">
        <v>0</v>
      </c>
      <c r="T89" s="271">
        <f t="shared" si="3"/>
        <v>1400000</v>
      </c>
      <c r="U89" s="261"/>
      <c r="V89" s="261" t="str">
        <f>'[4]DS BN'!T32</f>
        <v>Remark</v>
      </c>
    </row>
    <row r="90" spans="1:22" s="273" customFormat="1" ht="84" customHeight="1">
      <c r="A90" s="261">
        <v>77</v>
      </c>
      <c r="B90" s="262" t="str">
        <f>'[4]DS BN'!U18</f>
        <v>LG2512/5228</v>
      </c>
      <c r="C90" s="263" t="s">
        <v>240</v>
      </c>
      <c r="D90" s="264">
        <f>'[4]DS BN'!A18</f>
        <v>45992</v>
      </c>
      <c r="E90" s="265" t="str">
        <f>'[4]DS BN'!C18</f>
        <v>DOOSUNG BN</v>
      </c>
      <c r="F90" s="264" t="str">
        <f>'[4]DS BN'!F18</f>
        <v>260112DST-F16</v>
      </c>
      <c r="G90" s="262" t="str">
        <f>'[4]DS BN'!S18</f>
        <v>29H 70663</v>
      </c>
      <c r="H90" s="262" t="str">
        <f>'[4]DS BN'!D18</f>
        <v>KCN Thạch Thất, Hanoi- Quế Võ, Bắc Ninh</v>
      </c>
      <c r="I90" s="262" t="s">
        <v>241</v>
      </c>
      <c r="J90" s="262" t="str">
        <f>'[4]DS BN'!G18</f>
        <v>1.25T</v>
      </c>
      <c r="K90" s="264" t="str">
        <f>'[4]DS BN'!I18</f>
        <v>1 PALLET</v>
      </c>
      <c r="L90" s="266" t="s">
        <v>242</v>
      </c>
      <c r="M90" s="267">
        <f>'[4]DS BN'!L18</f>
        <v>1200000</v>
      </c>
      <c r="N90" s="268">
        <f>'[4]DS BN'!M18</f>
        <v>200000</v>
      </c>
      <c r="O90" s="269">
        <f>'[4]DS BN'!N18</f>
        <v>200000</v>
      </c>
      <c r="P90" s="269">
        <f>'[4]DS BN'!O18</f>
        <v>0</v>
      </c>
      <c r="Q90" s="270">
        <f>'[4]DS BN'!P18</f>
        <v>0</v>
      </c>
      <c r="R90" s="271">
        <f t="shared" si="4"/>
        <v>1600000</v>
      </c>
      <c r="S90" s="261">
        <v>0</v>
      </c>
      <c r="T90" s="271">
        <f t="shared" si="3"/>
        <v>1600000</v>
      </c>
      <c r="U90" s="261"/>
      <c r="V90" s="261">
        <f>'[4]DS BN'!T33</f>
        <v>0</v>
      </c>
    </row>
    <row r="91" spans="1:22" s="273" customFormat="1" ht="84" customHeight="1">
      <c r="A91" s="261">
        <v>78</v>
      </c>
      <c r="B91" s="262" t="str">
        <f>'[4]DS BN'!U19</f>
        <v>LG2512/5229</v>
      </c>
      <c r="C91" s="263" t="s">
        <v>240</v>
      </c>
      <c r="D91" s="264" t="str">
        <f>'[4]DS BN'!A19</f>
        <v>13/01/2025</v>
      </c>
      <c r="E91" s="265" t="str">
        <f>'[4]DS BN'!C19</f>
        <v>DOOSUNG BN</v>
      </c>
      <c r="F91" s="264" t="str">
        <f>'[4]DS BN'!F19</f>
        <v>260113DST-F21</v>
      </c>
      <c r="G91" s="262" t="str">
        <f>'[4]DS BN'!S19</f>
        <v>29H 27727</v>
      </c>
      <c r="H91" s="262" t="str">
        <f>'[4]DS BN'!D19</f>
        <v>KCN Thạch Thất, Hanoi- Quế Võ, Bắc Ninh</v>
      </c>
      <c r="I91" s="262" t="s">
        <v>241</v>
      </c>
      <c r="J91" s="262" t="str">
        <f>'[4]DS BN'!G19</f>
        <v>1.25T</v>
      </c>
      <c r="K91" s="264" t="str">
        <f>'[4]DS BN'!I19</f>
        <v>1 PALLET</v>
      </c>
      <c r="L91" s="266" t="s">
        <v>242</v>
      </c>
      <c r="M91" s="267">
        <f>'[4]DS BN'!L19</f>
        <v>1200000</v>
      </c>
      <c r="N91" s="268">
        <f>'[4]DS BN'!M19</f>
        <v>200000</v>
      </c>
      <c r="O91" s="269">
        <f>'[4]DS BN'!N19</f>
        <v>0</v>
      </c>
      <c r="P91" s="269">
        <f>'[4]DS BN'!O19</f>
        <v>0</v>
      </c>
      <c r="Q91" s="270">
        <f>'[4]DS BN'!P19</f>
        <v>0</v>
      </c>
      <c r="R91" s="271">
        <f t="shared" si="4"/>
        <v>1400000</v>
      </c>
      <c r="S91" s="261">
        <v>0</v>
      </c>
      <c r="T91" s="271">
        <f t="shared" si="3"/>
        <v>1400000</v>
      </c>
      <c r="U91" s="261"/>
      <c r="V91" s="261">
        <f>'[4]DS BN'!T34</f>
        <v>0</v>
      </c>
    </row>
    <row r="92" spans="1:22" s="273" customFormat="1" ht="84" customHeight="1">
      <c r="A92" s="261">
        <v>79</v>
      </c>
      <c r="B92" s="262" t="str">
        <f>'[4]DS BN'!U20</f>
        <v>LG2512/5230</v>
      </c>
      <c r="C92" s="263" t="s">
        <v>240</v>
      </c>
      <c r="D92" s="264" t="str">
        <f>'[4]DS BN'!A20</f>
        <v>14/01/2025</v>
      </c>
      <c r="E92" s="265" t="str">
        <f>'[4]DS BN'!C20</f>
        <v>DOOSUNG BN</v>
      </c>
      <c r="F92" s="264" t="str">
        <f>'[4]DS BN'!F20</f>
        <v>260114DST-F23</v>
      </c>
      <c r="G92" s="262" t="str">
        <f>'[4]DS BN'!S20</f>
        <v>29H-406.14</v>
      </c>
      <c r="H92" s="262" t="str">
        <f>'[4]DS BN'!D20</f>
        <v>KCN Thạch Thất, Hanoi- Quế Võ, Bắc Ninh</v>
      </c>
      <c r="I92" s="262" t="s">
        <v>241</v>
      </c>
      <c r="J92" s="262" t="str">
        <f>'[4]DS BN'!G20</f>
        <v>1.25T</v>
      </c>
      <c r="K92" s="264" t="str">
        <f>'[4]DS BN'!I20</f>
        <v>1 PALLET</v>
      </c>
      <c r="L92" s="266" t="s">
        <v>242</v>
      </c>
      <c r="M92" s="267">
        <f>'[4]DS BN'!L20</f>
        <v>1200000</v>
      </c>
      <c r="N92" s="268">
        <f>'[4]DS BN'!M20</f>
        <v>200000</v>
      </c>
      <c r="O92" s="269">
        <f>'[4]DS BN'!N20</f>
        <v>0</v>
      </c>
      <c r="P92" s="269">
        <f>'[4]DS BN'!O20</f>
        <v>0</v>
      </c>
      <c r="Q92" s="270">
        <f>'[4]DS BN'!P20</f>
        <v>0</v>
      </c>
      <c r="R92" s="271">
        <f t="shared" si="4"/>
        <v>1400000</v>
      </c>
      <c r="S92" s="261">
        <v>0</v>
      </c>
      <c r="T92" s="271">
        <f t="shared" si="3"/>
        <v>1400000</v>
      </c>
      <c r="U92" s="261"/>
      <c r="V92" s="261">
        <f>'[4]DS BN'!T35</f>
        <v>0</v>
      </c>
    </row>
    <row r="93" spans="1:22" s="273" customFormat="1" ht="84" customHeight="1">
      <c r="A93" s="261">
        <v>80</v>
      </c>
      <c r="B93" s="262" t="str">
        <f>'[4]DS BN'!U21</f>
        <v>LG2512/5231</v>
      </c>
      <c r="C93" s="263" t="s">
        <v>240</v>
      </c>
      <c r="D93" s="264" t="str">
        <f>'[4]DS BN'!A21</f>
        <v>15/01/2025</v>
      </c>
      <c r="E93" s="265" t="str">
        <f>'[4]DS BN'!C21</f>
        <v>DOOSUNG BN</v>
      </c>
      <c r="F93" s="264" t="str">
        <f>'[4]DS BN'!F21</f>
        <v>260115DST-F25</v>
      </c>
      <c r="G93" s="262" t="str">
        <f>'[4]DS BN'!S21</f>
        <v>29H 88330</v>
      </c>
      <c r="H93" s="262" t="str">
        <f>'[4]DS BN'!D21</f>
        <v>KCN Thạch Thất, Hanoi- Quế Võ, Bắc Ninh</v>
      </c>
      <c r="I93" s="262" t="s">
        <v>241</v>
      </c>
      <c r="J93" s="262" t="str">
        <f>'[4]DS BN'!G21</f>
        <v>1.25T</v>
      </c>
      <c r="K93" s="264" t="str">
        <f>'[4]DS BN'!I21</f>
        <v>1 PALLET</v>
      </c>
      <c r="L93" s="266" t="s">
        <v>242</v>
      </c>
      <c r="M93" s="267">
        <f>'[4]DS BN'!L21</f>
        <v>1200000</v>
      </c>
      <c r="N93" s="268">
        <f>'[4]DS BN'!M21</f>
        <v>200000</v>
      </c>
      <c r="O93" s="269">
        <f>'[4]DS BN'!N21</f>
        <v>0</v>
      </c>
      <c r="P93" s="269">
        <f>'[4]DS BN'!O21</f>
        <v>0</v>
      </c>
      <c r="Q93" s="270">
        <f>'[4]DS BN'!P21</f>
        <v>0</v>
      </c>
      <c r="R93" s="271">
        <f t="shared" si="4"/>
        <v>1400000</v>
      </c>
      <c r="S93" s="261">
        <v>0</v>
      </c>
      <c r="T93" s="271">
        <f t="shared" si="3"/>
        <v>1400000</v>
      </c>
      <c r="U93" s="261"/>
      <c r="V93" s="261">
        <f>'[4]DS BN'!T36</f>
        <v>0</v>
      </c>
    </row>
    <row r="94" spans="1:22" s="273" customFormat="1" ht="84" customHeight="1">
      <c r="A94" s="261">
        <v>81</v>
      </c>
      <c r="B94" s="262" t="str">
        <f>'[4]DS BN'!U22</f>
        <v>LG2512/5232</v>
      </c>
      <c r="C94" s="263" t="s">
        <v>240</v>
      </c>
      <c r="D94" s="264" t="str">
        <f>'[4]DS BN'!A22</f>
        <v>16/01/2025</v>
      </c>
      <c r="E94" s="265" t="str">
        <f>'[4]DS BN'!C22</f>
        <v>DOOSUNG BN</v>
      </c>
      <c r="F94" s="264" t="str">
        <f>'[4]DS BN'!F22</f>
        <v>260116DST-F27</v>
      </c>
      <c r="G94" s="262" t="str">
        <f>'[4]DS BN'!S22</f>
        <v>29H 81154</v>
      </c>
      <c r="H94" s="262" t="str">
        <f>'[4]DS BN'!D22</f>
        <v>KCN Thạch Thất, Hanoi- Quế Võ, Bắc Ninh</v>
      </c>
      <c r="I94" s="262" t="s">
        <v>241</v>
      </c>
      <c r="J94" s="262" t="str">
        <f>'[4]DS BN'!G22</f>
        <v>1.25T</v>
      </c>
      <c r="K94" s="264" t="str">
        <f>'[4]DS BN'!I22</f>
        <v>1 PALLET</v>
      </c>
      <c r="L94" s="266" t="s">
        <v>242</v>
      </c>
      <c r="M94" s="267">
        <f>'[4]DS BN'!L22</f>
        <v>1200000</v>
      </c>
      <c r="N94" s="268">
        <f>'[4]DS BN'!M22</f>
        <v>200000</v>
      </c>
      <c r="O94" s="269">
        <f>'[4]DS BN'!N22</f>
        <v>0</v>
      </c>
      <c r="P94" s="269">
        <f>'[4]DS BN'!O22</f>
        <v>0</v>
      </c>
      <c r="Q94" s="270">
        <f>'[4]DS BN'!P22</f>
        <v>0</v>
      </c>
      <c r="R94" s="271">
        <f t="shared" si="4"/>
        <v>1400000</v>
      </c>
      <c r="S94" s="261">
        <v>0</v>
      </c>
      <c r="T94" s="271">
        <f t="shared" si="3"/>
        <v>1400000</v>
      </c>
      <c r="U94" s="261"/>
      <c r="V94" s="261">
        <f>'[4]DS BN'!T37</f>
        <v>0</v>
      </c>
    </row>
    <row r="95" spans="1:22" s="273" customFormat="1" ht="84" customHeight="1">
      <c r="A95" s="275">
        <v>82</v>
      </c>
      <c r="B95" s="276" t="str">
        <f>'[4]DS BN'!U23</f>
        <v>LG2512/5233</v>
      </c>
      <c r="C95" s="277" t="s">
        <v>240</v>
      </c>
      <c r="D95" s="278" t="str">
        <f>'[4]DS BN'!A23</f>
        <v>17/01/2025</v>
      </c>
      <c r="E95" s="279" t="str">
        <f>'[4]DS BN'!C23</f>
        <v>DOOSUNG BN</v>
      </c>
      <c r="F95" s="278" t="str">
        <f>'[4]DS BN'!F23</f>
        <v>260117DST-F29</v>
      </c>
      <c r="G95" s="276" t="str">
        <f>'[4]DS BN'!S23</f>
        <v>29H 81482</v>
      </c>
      <c r="H95" s="276" t="str">
        <f>'[4]DS BN'!D23</f>
        <v>KCN Thạch Thất, Hanoi- Quế Võ, Bắc Ninh</v>
      </c>
      <c r="I95" s="276" t="s">
        <v>241</v>
      </c>
      <c r="J95" s="276" t="str">
        <f>'[4]DS BN'!G23</f>
        <v>1.25T</v>
      </c>
      <c r="K95" s="278" t="str">
        <f>'[4]DS BN'!I23</f>
        <v>1 pallet</v>
      </c>
      <c r="L95" s="280" t="s">
        <v>242</v>
      </c>
      <c r="M95" s="281">
        <f>'[4]DS BN'!L23</f>
        <v>1200000</v>
      </c>
      <c r="N95" s="282">
        <f>'[4]DS BN'!M23</f>
        <v>200000</v>
      </c>
      <c r="O95" s="283">
        <f>'[4]DS BN'!N23</f>
        <v>0</v>
      </c>
      <c r="P95" s="283">
        <f>'[4]DS BN'!O23</f>
        <v>0</v>
      </c>
      <c r="Q95" s="284">
        <f>'[4]DS BN'!P23</f>
        <v>0</v>
      </c>
      <c r="R95" s="285">
        <f t="shared" si="4"/>
        <v>1400000</v>
      </c>
      <c r="S95" s="275">
        <v>0</v>
      </c>
      <c r="T95" s="285">
        <f t="shared" si="3"/>
        <v>1400000</v>
      </c>
      <c r="U95" s="275"/>
      <c r="V95" s="275">
        <f>'[4]DS BN'!T38</f>
        <v>0</v>
      </c>
    </row>
    <row r="96" spans="1:22" s="273" customFormat="1" ht="84" customHeight="1">
      <c r="A96" s="275">
        <v>83</v>
      </c>
      <c r="B96" s="276" t="str">
        <f>'[4]DS BN'!U24</f>
        <v>LG2512/5234</v>
      </c>
      <c r="C96" s="277" t="s">
        <v>240</v>
      </c>
      <c r="D96" s="278" t="str">
        <f>'[4]DS BN'!A24</f>
        <v>19/01/2025</v>
      </c>
      <c r="E96" s="279" t="str">
        <f>'[4]DS BN'!C24</f>
        <v>DOOSUNG BN</v>
      </c>
      <c r="F96" s="278" t="str">
        <f>'[4]DS BN'!F24</f>
        <v>260119DST-P09
260119DST-F30</v>
      </c>
      <c r="G96" s="276" t="str">
        <f>'[4]DS BN'!S24</f>
        <v>29F 05985</v>
      </c>
      <c r="H96" s="276" t="str">
        <f>'[4]DS BN'!D24</f>
        <v>KCN Thạch Thất, Hanoi- Quế Võ, Bắc Ninh</v>
      </c>
      <c r="I96" s="276" t="s">
        <v>241</v>
      </c>
      <c r="J96" s="276" t="str">
        <f>'[4]DS BN'!G24</f>
        <v>1.25T</v>
      </c>
      <c r="K96" s="278" t="str">
        <f>'[4]DS BN'!I24</f>
        <v>2 pallet</v>
      </c>
      <c r="L96" s="280" t="s">
        <v>242</v>
      </c>
      <c r="M96" s="281">
        <f>'[4]DS BN'!L24</f>
        <v>1200000</v>
      </c>
      <c r="N96" s="282">
        <f>'[4]DS BN'!M24</f>
        <v>200000</v>
      </c>
      <c r="O96" s="283">
        <f>'[4]DS BN'!N24</f>
        <v>0</v>
      </c>
      <c r="P96" s="283">
        <f>'[4]DS BN'!O24</f>
        <v>0</v>
      </c>
      <c r="Q96" s="284">
        <f>'[4]DS BN'!P24</f>
        <v>0</v>
      </c>
      <c r="R96" s="285">
        <f t="shared" si="4"/>
        <v>1400000</v>
      </c>
      <c r="S96" s="275">
        <v>0</v>
      </c>
      <c r="T96" s="285">
        <f t="shared" si="3"/>
        <v>1400000</v>
      </c>
      <c r="U96" s="275"/>
      <c r="V96" s="275">
        <f>'[4]DS BN'!T39</f>
        <v>0</v>
      </c>
    </row>
    <row r="97" spans="1:22" s="273" customFormat="1" ht="84" customHeight="1">
      <c r="A97" s="275">
        <v>84</v>
      </c>
      <c r="B97" s="276" t="str">
        <f>'[4]DS BN'!U25</f>
        <v>LG2512/5235</v>
      </c>
      <c r="C97" s="277" t="s">
        <v>240</v>
      </c>
      <c r="D97" s="278" t="str">
        <f>'[4]DS BN'!A25</f>
        <v>20/01/2025</v>
      </c>
      <c r="E97" s="279" t="str">
        <f>'[4]DS BN'!C25</f>
        <v>DOOSUNG BN</v>
      </c>
      <c r="F97" s="278" t="str">
        <f>'[4]DS BN'!F25</f>
        <v>260120DST-F33</v>
      </c>
      <c r="G97" s="276" t="str">
        <f>'[4]DS BN'!S25</f>
        <v>29H 88337</v>
      </c>
      <c r="H97" s="276" t="str">
        <f>'[4]DS BN'!D25</f>
        <v>KCN Thạch Thất, Hanoi- Quế Võ, Bắc Ninh</v>
      </c>
      <c r="I97" s="276" t="s">
        <v>241</v>
      </c>
      <c r="J97" s="276" t="str">
        <f>'[4]DS BN'!G25</f>
        <v>1.25T</v>
      </c>
      <c r="K97" s="278" t="str">
        <f>'[4]DS BN'!I25</f>
        <v>1 pallet</v>
      </c>
      <c r="L97" s="280" t="s">
        <v>242</v>
      </c>
      <c r="M97" s="281">
        <f>'[4]DS BN'!L25</f>
        <v>1200000</v>
      </c>
      <c r="N97" s="282">
        <f>'[4]DS BN'!M25</f>
        <v>200000</v>
      </c>
      <c r="O97" s="283">
        <f>'[4]DS BN'!N25</f>
        <v>0</v>
      </c>
      <c r="P97" s="283">
        <f>'[4]DS BN'!O25</f>
        <v>0</v>
      </c>
      <c r="Q97" s="284">
        <f>'[4]DS BN'!P25</f>
        <v>0</v>
      </c>
      <c r="R97" s="285">
        <f t="shared" si="4"/>
        <v>1400000</v>
      </c>
      <c r="S97" s="275">
        <v>0</v>
      </c>
      <c r="T97" s="285">
        <f t="shared" si="3"/>
        <v>1400000</v>
      </c>
      <c r="U97" s="275"/>
      <c r="V97" s="275">
        <f>'[4]DS BN'!T40</f>
        <v>0</v>
      </c>
    </row>
    <row r="98" spans="1:22" s="273" customFormat="1" ht="84" customHeight="1">
      <c r="A98" s="275">
        <v>85</v>
      </c>
      <c r="B98" s="276" t="str">
        <f>'[4]DS BN'!U26</f>
        <v>LG2512/5236</v>
      </c>
      <c r="C98" s="277" t="s">
        <v>240</v>
      </c>
      <c r="D98" s="278" t="str">
        <f>'[4]DS BN'!A26</f>
        <v>21/01/2025</v>
      </c>
      <c r="E98" s="279" t="str">
        <f>'[4]DS BN'!C26</f>
        <v>DOOSUNG BN</v>
      </c>
      <c r="F98" s="278" t="str">
        <f>'[4]DS BN'!F26</f>
        <v>260121DST-F36</v>
      </c>
      <c r="G98" s="276" t="str">
        <f>'[4]DS BN'!S26</f>
        <v>29E 26078</v>
      </c>
      <c r="H98" s="276" t="str">
        <f>'[4]DS BN'!D26</f>
        <v>KCN Thạch Thất, Hanoi- Quế Võ, Bắc Ninh</v>
      </c>
      <c r="I98" s="276" t="s">
        <v>241</v>
      </c>
      <c r="J98" s="276" t="str">
        <f>'[4]DS BN'!G26</f>
        <v>1.25T</v>
      </c>
      <c r="K98" s="278" t="str">
        <f>'[4]DS BN'!I26</f>
        <v>1 pallet</v>
      </c>
      <c r="L98" s="280" t="s">
        <v>242</v>
      </c>
      <c r="M98" s="281">
        <f>'[4]DS BN'!L26</f>
        <v>1200000</v>
      </c>
      <c r="N98" s="282">
        <f>'[4]DS BN'!M26</f>
        <v>200000</v>
      </c>
      <c r="O98" s="283">
        <f>'[4]DS BN'!N26</f>
        <v>0</v>
      </c>
      <c r="P98" s="283">
        <f>'[4]DS BN'!O26</f>
        <v>0</v>
      </c>
      <c r="Q98" s="284">
        <f>'[4]DS BN'!P26</f>
        <v>0</v>
      </c>
      <c r="R98" s="285">
        <f t="shared" si="4"/>
        <v>1400000</v>
      </c>
      <c r="S98" s="275">
        <v>0</v>
      </c>
      <c r="T98" s="285">
        <f t="shared" si="3"/>
        <v>1400000</v>
      </c>
      <c r="U98" s="275"/>
      <c r="V98" s="275">
        <f>'[4]DS BN'!T41</f>
        <v>0</v>
      </c>
    </row>
    <row r="99" spans="1:22" s="273" customFormat="1" ht="84" customHeight="1">
      <c r="A99" s="275">
        <v>86</v>
      </c>
      <c r="B99" s="276" t="str">
        <f>'[4]DS BN'!U27</f>
        <v>LG2512/5237</v>
      </c>
      <c r="C99" s="277" t="s">
        <v>240</v>
      </c>
      <c r="D99" s="278" t="str">
        <f>'[4]DS BN'!A27</f>
        <v>22/01/2025</v>
      </c>
      <c r="E99" s="279" t="str">
        <f>'[4]DS BN'!C27</f>
        <v>DOOSUNG BN</v>
      </c>
      <c r="F99" s="278" t="str">
        <f>'[4]DS BN'!F27</f>
        <v>260122DST-F38
260122DST-P11</v>
      </c>
      <c r="G99" s="276" t="str">
        <f>'[4]DS BN'!S27</f>
        <v>29H 88330</v>
      </c>
      <c r="H99" s="276" t="str">
        <f>'[4]DS BN'!D27</f>
        <v>KCN Thạch Thất, Hanoi- Quế Võ, Bắc Ninh</v>
      </c>
      <c r="I99" s="276" t="s">
        <v>241</v>
      </c>
      <c r="J99" s="276" t="str">
        <f>'[4]DS BN'!G27</f>
        <v>1.25T</v>
      </c>
      <c r="K99" s="278" t="str">
        <f>'[4]DS BN'!I27</f>
        <v>2 pallet</v>
      </c>
      <c r="L99" s="280" t="s">
        <v>242</v>
      </c>
      <c r="M99" s="281">
        <f>'[4]DS BN'!L27</f>
        <v>1200000</v>
      </c>
      <c r="N99" s="282">
        <f>'[4]DS BN'!M27</f>
        <v>200000</v>
      </c>
      <c r="O99" s="283">
        <f>'[4]DS BN'!N27</f>
        <v>0</v>
      </c>
      <c r="P99" s="283">
        <f>'[4]DS BN'!O27</f>
        <v>0</v>
      </c>
      <c r="Q99" s="284">
        <f>'[4]DS BN'!P27</f>
        <v>0</v>
      </c>
      <c r="R99" s="285">
        <f t="shared" si="4"/>
        <v>1400000</v>
      </c>
      <c r="S99" s="275">
        <v>0</v>
      </c>
      <c r="T99" s="285">
        <f t="shared" si="3"/>
        <v>1400000</v>
      </c>
      <c r="U99" s="275"/>
      <c r="V99" s="275">
        <f>'[4]DS BN'!T42</f>
        <v>0</v>
      </c>
    </row>
    <row r="100" spans="1:22" s="273" customFormat="1" ht="84" customHeight="1">
      <c r="A100" s="275">
        <v>87</v>
      </c>
      <c r="B100" s="276" t="str">
        <f>'[4]DS BN'!U28</f>
        <v>LG2512/5238</v>
      </c>
      <c r="C100" s="277" t="s">
        <v>240</v>
      </c>
      <c r="D100" s="278" t="str">
        <f>'[4]DS BN'!A28</f>
        <v>23/01/2025</v>
      </c>
      <c r="E100" s="279" t="str">
        <f>'[4]DS BN'!C28</f>
        <v>DOOSUNG BN</v>
      </c>
      <c r="F100" s="278" t="str">
        <f>'[4]DS BN'!F28</f>
        <v>260123DST-F41</v>
      </c>
      <c r="G100" s="276" t="str">
        <f>'[4]DS BN'!S28</f>
        <v>29H 40829</v>
      </c>
      <c r="H100" s="276" t="str">
        <f>'[4]DS BN'!D28</f>
        <v>KCN Thạch Thất, Hanoi- Quế Võ, Bắc Ninh</v>
      </c>
      <c r="I100" s="276" t="s">
        <v>241</v>
      </c>
      <c r="J100" s="276" t="str">
        <f>'[4]DS BN'!G28</f>
        <v>1.25T</v>
      </c>
      <c r="K100" s="278" t="str">
        <f>'[4]DS BN'!I28</f>
        <v>1 PALLET</v>
      </c>
      <c r="L100" s="280" t="s">
        <v>242</v>
      </c>
      <c r="M100" s="281">
        <f>'[4]DS BN'!L28</f>
        <v>1200000</v>
      </c>
      <c r="N100" s="282">
        <f>'[4]DS BN'!M28</f>
        <v>200000</v>
      </c>
      <c r="O100" s="283">
        <f>'[4]DS BN'!N28</f>
        <v>0</v>
      </c>
      <c r="P100" s="283">
        <f>'[4]DS BN'!O28</f>
        <v>0</v>
      </c>
      <c r="Q100" s="284">
        <f>'[4]DS BN'!P28</f>
        <v>0</v>
      </c>
      <c r="R100" s="285">
        <f t="shared" si="4"/>
        <v>1400000</v>
      </c>
      <c r="S100" s="275">
        <v>0</v>
      </c>
      <c r="T100" s="285">
        <f t="shared" si="3"/>
        <v>1400000</v>
      </c>
      <c r="U100" s="275"/>
      <c r="V100" s="275">
        <f>'[4]DS BN'!T43</f>
        <v>0</v>
      </c>
    </row>
    <row r="101" spans="1:22" s="273" customFormat="1" ht="84" customHeight="1">
      <c r="A101" s="275">
        <v>88</v>
      </c>
      <c r="B101" s="276" t="str">
        <f>'[4]DS BN'!U29</f>
        <v>LG2512/5239</v>
      </c>
      <c r="C101" s="277" t="s">
        <v>240</v>
      </c>
      <c r="D101" s="278" t="str">
        <f>'[4]DS BN'!A29</f>
        <v>24/01/2025</v>
      </c>
      <c r="E101" s="279" t="str">
        <f>'[4]DS BN'!C29</f>
        <v>DOOSUNG BN</v>
      </c>
      <c r="F101" s="278" t="str">
        <f>'[4]DS BN'!F29</f>
        <v>260123DST-F42</v>
      </c>
      <c r="G101" s="276" t="str">
        <f>'[4]DS BN'!S29</f>
        <v>29H 27651</v>
      </c>
      <c r="H101" s="276" t="str">
        <f>'[4]DS BN'!D29</f>
        <v>KCN Thạch Thất, Hanoi- Quế Võ, Bắc Ninh</v>
      </c>
      <c r="I101" s="276" t="s">
        <v>241</v>
      </c>
      <c r="J101" s="276" t="str">
        <f>'[4]DS BN'!G29</f>
        <v>1.25T</v>
      </c>
      <c r="K101" s="278" t="str">
        <f>'[4]DS BN'!I29</f>
        <v>1 PALLET</v>
      </c>
      <c r="L101" s="280" t="s">
        <v>242</v>
      </c>
      <c r="M101" s="281">
        <f>'[4]DS BN'!L29</f>
        <v>1200000</v>
      </c>
      <c r="N101" s="282">
        <f>'[4]DS BN'!M29</f>
        <v>200000</v>
      </c>
      <c r="O101" s="283">
        <f>'[4]DS BN'!N29</f>
        <v>400000</v>
      </c>
      <c r="P101" s="283">
        <f>'[4]DS BN'!O29</f>
        <v>0</v>
      </c>
      <c r="Q101" s="284">
        <f>'[4]DS BN'!P29</f>
        <v>0</v>
      </c>
      <c r="R101" s="285">
        <f t="shared" si="4"/>
        <v>1800000</v>
      </c>
      <c r="S101" s="275">
        <v>0</v>
      </c>
      <c r="T101" s="285">
        <f t="shared" si="3"/>
        <v>1800000</v>
      </c>
      <c r="U101" s="275"/>
      <c r="V101" s="275">
        <f>'[4]DS BN'!T44</f>
        <v>0</v>
      </c>
    </row>
    <row r="102" spans="1:22" s="273" customFormat="1" ht="84" customHeight="1">
      <c r="A102" s="275">
        <v>89</v>
      </c>
      <c r="B102" s="276" t="str">
        <f>'[4]DS BN'!U30</f>
        <v>LG2512/5240</v>
      </c>
      <c r="C102" s="277" t="s">
        <v>240</v>
      </c>
      <c r="D102" s="278" t="str">
        <f>'[4]DS BN'!A30</f>
        <v>24/01/2025</v>
      </c>
      <c r="E102" s="279" t="str">
        <f>'[4]DS BN'!C30</f>
        <v>DOOSUNG BN</v>
      </c>
      <c r="F102" s="278" t="str">
        <f>'[4]DS BN'!F30</f>
        <v>260124DST-F44</v>
      </c>
      <c r="G102" s="276" t="str">
        <f>'[4]DS BN'!S30</f>
        <v>29H 70663</v>
      </c>
      <c r="H102" s="276" t="str">
        <f>'[4]DS BN'!D30</f>
        <v>KCN Thạch Thất, Hanoi- Quế Võ, Bắc Ninh</v>
      </c>
      <c r="I102" s="276" t="s">
        <v>241</v>
      </c>
      <c r="J102" s="276" t="str">
        <f>'[4]DS BN'!G30</f>
        <v>1.25T</v>
      </c>
      <c r="K102" s="278" t="str">
        <f>'[4]DS BN'!I30</f>
        <v>1 PALLET</v>
      </c>
      <c r="L102" s="280" t="s">
        <v>242</v>
      </c>
      <c r="M102" s="281">
        <f>'[4]DS BN'!L30</f>
        <v>1200000</v>
      </c>
      <c r="N102" s="282">
        <f>'[4]DS BN'!M30</f>
        <v>200000</v>
      </c>
      <c r="O102" s="283">
        <f>'[4]DS BN'!N30</f>
        <v>300000</v>
      </c>
      <c r="P102" s="283">
        <f>'[4]DS BN'!O30</f>
        <v>0</v>
      </c>
      <c r="Q102" s="284">
        <f>'[4]DS BN'!P30</f>
        <v>0</v>
      </c>
      <c r="R102" s="285">
        <f t="shared" si="4"/>
        <v>1700000</v>
      </c>
      <c r="S102" s="275">
        <v>0</v>
      </c>
      <c r="T102" s="285">
        <f t="shared" si="3"/>
        <v>1700000</v>
      </c>
      <c r="U102" s="275"/>
      <c r="V102" s="275">
        <f>'[4]DS BN'!T45</f>
        <v>0</v>
      </c>
    </row>
    <row r="103" spans="1:22" s="273" customFormat="1" ht="84" customHeight="1">
      <c r="A103" s="275">
        <v>90</v>
      </c>
      <c r="B103" s="276" t="str">
        <f>'[4]DS BN'!U31</f>
        <v>LG2512/5241</v>
      </c>
      <c r="C103" s="277" t="s">
        <v>240</v>
      </c>
      <c r="D103" s="278" t="str">
        <f>'[4]DS BN'!A31</f>
        <v>25/01/2025</v>
      </c>
      <c r="E103" s="279" t="str">
        <f>'[4]DS BN'!C31</f>
        <v>DOOSUNG BN</v>
      </c>
      <c r="F103" s="278" t="str">
        <f>'[4]DS BN'!F31</f>
        <v>260125DST-F46</v>
      </c>
      <c r="G103" s="276" t="str">
        <f>'[4]DS BN'!S31</f>
        <v>29H-406.14</v>
      </c>
      <c r="H103" s="276" t="str">
        <f>'[4]DS BN'!D31</f>
        <v>KCN Thạch Thất, Hanoi- Quế Võ, Bắc Ninh</v>
      </c>
      <c r="I103" s="276" t="s">
        <v>241</v>
      </c>
      <c r="J103" s="276" t="str">
        <f>'[4]DS BN'!G31</f>
        <v>1.25T</v>
      </c>
      <c r="K103" s="278" t="str">
        <f>'[4]DS BN'!I31</f>
        <v>3 thùng</v>
      </c>
      <c r="L103" s="280" t="s">
        <v>242</v>
      </c>
      <c r="M103" s="281">
        <f>'[4]DS BN'!L31</f>
        <v>1200000</v>
      </c>
      <c r="N103" s="282">
        <f>'[4]DS BN'!M31</f>
        <v>200000</v>
      </c>
      <c r="O103" s="283">
        <f>'[4]DS BN'!N31</f>
        <v>0</v>
      </c>
      <c r="P103" s="283">
        <f>'[4]DS BN'!O31</f>
        <v>0</v>
      </c>
      <c r="Q103" s="284">
        <f>'[4]DS BN'!P31</f>
        <v>0</v>
      </c>
      <c r="R103" s="285">
        <f t="shared" si="4"/>
        <v>1400000</v>
      </c>
      <c r="S103" s="275">
        <v>0</v>
      </c>
      <c r="T103" s="285">
        <f t="shared" si="3"/>
        <v>1400000</v>
      </c>
      <c r="U103" s="275"/>
      <c r="V103" s="275">
        <f>'[4]DS BN'!T46</f>
        <v>0</v>
      </c>
    </row>
    <row r="104" spans="1:22" s="287" customFormat="1" ht="84" customHeight="1">
      <c r="A104" s="275">
        <v>91</v>
      </c>
      <c r="B104" s="276" t="str">
        <f>[4]DRT!U14</f>
        <v>LG2512/5123</v>
      </c>
      <c r="C104" s="277" t="s">
        <v>240</v>
      </c>
      <c r="D104" s="278">
        <f>[4]DRT!A14</f>
        <v>46082</v>
      </c>
      <c r="E104" s="279" t="str">
        <f>[4]DRT!C14</f>
        <v>DREAMTECH</v>
      </c>
      <c r="F104" s="278" t="str">
        <f>[4]DRT!F14</f>
        <v>260103DRT-Fsample-01</v>
      </c>
      <c r="G104" s="276" t="str">
        <f>[4]DRT!S14</f>
        <v>29H-407.56</v>
      </c>
      <c r="H104" s="276" t="str">
        <f>[4]DRT!D14</f>
        <v>KCN Thạch Thất, Hanoi- KCN VSIP, Bac Ninh</v>
      </c>
      <c r="I104" s="276" t="s">
        <v>241</v>
      </c>
      <c r="J104" s="276" t="str">
        <f>[4]DRT!G14</f>
        <v>1.25T</v>
      </c>
      <c r="K104" s="278" t="str">
        <f>[4]DRT!I14</f>
        <v>4 box</v>
      </c>
      <c r="L104" s="280" t="s">
        <v>242</v>
      </c>
      <c r="M104" s="281">
        <f>[4]DRT!L14</f>
        <v>900000</v>
      </c>
      <c r="N104" s="282">
        <f>[4]DRT!M14</f>
        <v>200000</v>
      </c>
      <c r="O104" s="283">
        <f>[4]DRT!N14</f>
        <v>0</v>
      </c>
      <c r="P104" s="283">
        <f>[4]DRT!P14</f>
        <v>0</v>
      </c>
      <c r="Q104" s="283">
        <f>[4]DRT!P14</f>
        <v>0</v>
      </c>
      <c r="R104" s="285">
        <f>SUM(M104:Q104)</f>
        <v>1100000</v>
      </c>
      <c r="S104" s="275">
        <v>0</v>
      </c>
      <c r="T104" s="285">
        <f t="shared" si="3"/>
        <v>1100000</v>
      </c>
      <c r="U104" s="275"/>
      <c r="V104" s="286">
        <f>[4]DRT!T14</f>
        <v>0</v>
      </c>
    </row>
    <row r="105" spans="1:22" s="287" customFormat="1" ht="84" customHeight="1">
      <c r="A105" s="275">
        <v>92</v>
      </c>
      <c r="B105" s="276" t="str">
        <f>[4]DRT!U15</f>
        <v>LG2512/5124</v>
      </c>
      <c r="C105" s="277" t="s">
        <v>240</v>
      </c>
      <c r="D105" s="278">
        <f>[4]DRT!A15</f>
        <v>46082</v>
      </c>
      <c r="E105" s="279" t="str">
        <f>[4]DRT!C15</f>
        <v>DREAMTECH</v>
      </c>
      <c r="F105" s="278" t="str">
        <f>[4]DRT!F15</f>
        <v>260103DRT-F01</v>
      </c>
      <c r="G105" s="276" t="str">
        <f>[4]DRT!S15</f>
        <v>29H-803.53</v>
      </c>
      <c r="H105" s="276" t="str">
        <f>[4]DRT!D15</f>
        <v>KCN Thạch Thất, Hanoi- KCN VSIP, Bac Ninh</v>
      </c>
      <c r="I105" s="276" t="s">
        <v>241</v>
      </c>
      <c r="J105" s="276" t="str">
        <f>[4]DRT!G15</f>
        <v>1.25T</v>
      </c>
      <c r="K105" s="278" t="str">
        <f>[4]DRT!I15</f>
        <v>5 box</v>
      </c>
      <c r="L105" s="280" t="s">
        <v>242</v>
      </c>
      <c r="M105" s="281">
        <f>[4]DRT!L15</f>
        <v>900000</v>
      </c>
      <c r="N105" s="282">
        <f>[4]DRT!M15</f>
        <v>200000</v>
      </c>
      <c r="O105" s="283">
        <f>[4]DRT!N15</f>
        <v>0</v>
      </c>
      <c r="P105" s="283">
        <f>[4]DRT!P15</f>
        <v>0</v>
      </c>
      <c r="Q105" s="283">
        <f>[4]DRT!P15</f>
        <v>0</v>
      </c>
      <c r="R105" s="285">
        <f t="shared" ref="R105:R146" si="5">SUM(M105:Q105)</f>
        <v>1100000</v>
      </c>
      <c r="S105" s="275">
        <v>0</v>
      </c>
      <c r="T105" s="285">
        <f t="shared" si="3"/>
        <v>1100000</v>
      </c>
      <c r="U105" s="275"/>
      <c r="V105" s="286">
        <f>[4]DRT!T15</f>
        <v>0</v>
      </c>
    </row>
    <row r="106" spans="1:22" s="287" customFormat="1" ht="105.5" customHeight="1">
      <c r="A106" s="275">
        <v>93</v>
      </c>
      <c r="B106" s="276" t="str">
        <f>[4]DRT!U16</f>
        <v>LG2512/5125</v>
      </c>
      <c r="C106" s="277" t="s">
        <v>240</v>
      </c>
      <c r="D106" s="278">
        <f>[4]DRT!A16</f>
        <v>46143</v>
      </c>
      <c r="E106" s="279" t="str">
        <f>[4]DRT!C16</f>
        <v>DREAMTECH</v>
      </c>
      <c r="F106" s="278" t="str">
        <f>[4]DRT!F16</f>
        <v>260105DRT-F03 (DRT1)
260105DRTV-01 (DRT2) 
260105DRT-F02 (DRT2)</v>
      </c>
      <c r="G106" s="276" t="str">
        <f>[4]DRT!S16</f>
        <v>29H 92126</v>
      </c>
      <c r="H106" s="276" t="str">
        <f>[4]DRT!D16</f>
        <v>KCN Thạch Thất, Hanoi- KCN VSIP, Bac Ninh</v>
      </c>
      <c r="I106" s="276" t="s">
        <v>241</v>
      </c>
      <c r="J106" s="276" t="str">
        <f>[4]DRT!G16</f>
        <v>1.25T</v>
      </c>
      <c r="K106" s="278" t="str">
        <f>[4]DRT!I16</f>
        <v>2 pallet &amp; 1 box</v>
      </c>
      <c r="L106" s="280" t="s">
        <v>242</v>
      </c>
      <c r="M106" s="281">
        <f>[4]DRT!L16</f>
        <v>900000</v>
      </c>
      <c r="N106" s="282">
        <f>[4]DRT!M16</f>
        <v>200000</v>
      </c>
      <c r="O106" s="283">
        <f>[4]DRT!N16</f>
        <v>0</v>
      </c>
      <c r="P106" s="283">
        <v>0</v>
      </c>
      <c r="Q106" s="283">
        <f>[4]DRT!P16</f>
        <v>100000</v>
      </c>
      <c r="R106" s="285">
        <f t="shared" si="5"/>
        <v>1200000</v>
      </c>
      <c r="S106" s="275">
        <v>0</v>
      </c>
      <c r="T106" s="285">
        <f t="shared" si="3"/>
        <v>1200000</v>
      </c>
      <c r="U106" s="275"/>
      <c r="V106" s="286">
        <f>[4]DRT!T16</f>
        <v>0</v>
      </c>
    </row>
    <row r="107" spans="1:22" s="287" customFormat="1" ht="84" customHeight="1">
      <c r="A107" s="275">
        <v>94</v>
      </c>
      <c r="B107" s="276" t="str">
        <f>[4]DRT!U17</f>
        <v>LG2512/5126</v>
      </c>
      <c r="C107" s="277" t="s">
        <v>240</v>
      </c>
      <c r="D107" s="278">
        <f>[4]DRT!A17</f>
        <v>46174</v>
      </c>
      <c r="E107" s="279" t="str">
        <f>[4]DRT!C17</f>
        <v>DREAMTECH</v>
      </c>
      <c r="F107" s="278" t="str">
        <f>[4]DRT!F17</f>
        <v>260106DRTV-02
260106DRT-F04</v>
      </c>
      <c r="G107" s="276" t="str">
        <f>[4]DRT!S17</f>
        <v>29H 80353</v>
      </c>
      <c r="H107" s="276" t="str">
        <f>[4]DRT!D17</f>
        <v>KCN Thạch Thất, Hanoi- KCN VSIP, Bac Ninh</v>
      </c>
      <c r="I107" s="276" t="s">
        <v>241</v>
      </c>
      <c r="J107" s="276" t="str">
        <f>[4]DRT!G17</f>
        <v>2.5T</v>
      </c>
      <c r="K107" s="278" t="str">
        <f>[4]DRT!I17</f>
        <v>3 pallet</v>
      </c>
      <c r="L107" s="280" t="s">
        <v>242</v>
      </c>
      <c r="M107" s="281">
        <f>[4]DRT!L17</f>
        <v>1400000</v>
      </c>
      <c r="N107" s="282">
        <f>[4]DRT!M17</f>
        <v>300000</v>
      </c>
      <c r="O107" s="283">
        <f>[4]DRT!N17</f>
        <v>100000</v>
      </c>
      <c r="P107" s="283">
        <f>[4]DRT!P17</f>
        <v>0</v>
      </c>
      <c r="Q107" s="283">
        <f>[4]DRT!P17</f>
        <v>0</v>
      </c>
      <c r="R107" s="285">
        <f t="shared" si="5"/>
        <v>1800000</v>
      </c>
      <c r="S107" s="275">
        <v>0</v>
      </c>
      <c r="T107" s="285">
        <f t="shared" si="3"/>
        <v>1800000</v>
      </c>
      <c r="U107" s="275"/>
      <c r="V107" s="286" t="str">
        <f>[4]DRT!T17</f>
        <v>Chờ lấy hàng từ 19h đến 21h</v>
      </c>
    </row>
    <row r="108" spans="1:22" s="287" customFormat="1" ht="84" customHeight="1">
      <c r="A108" s="275">
        <v>95</v>
      </c>
      <c r="B108" s="276" t="str">
        <f>[4]DRT!U18</f>
        <v>LG2512/5127</v>
      </c>
      <c r="C108" s="277" t="s">
        <v>240</v>
      </c>
      <c r="D108" s="278">
        <f>[4]DRT!A18</f>
        <v>46174</v>
      </c>
      <c r="E108" s="279" t="str">
        <f>[4]DRT!C18</f>
        <v>DREAMTECH</v>
      </c>
      <c r="F108" s="278" t="str">
        <f>[4]DRT!F18</f>
        <v>260106DRT-Fsample-01FOC</v>
      </c>
      <c r="G108" s="276" t="str">
        <f>[4]DRT!S18</f>
        <v>29H 76819</v>
      </c>
      <c r="H108" s="276" t="str">
        <f>[4]DRT!D18</f>
        <v>KCN Thạch Thất, Hanoi- KCN VSIP, Bac Ninh</v>
      </c>
      <c r="I108" s="276" t="s">
        <v>241</v>
      </c>
      <c r="J108" s="276" t="str">
        <f>[4]DRT!G18</f>
        <v>1.25T</v>
      </c>
      <c r="K108" s="278" t="str">
        <f>[4]DRT!I18</f>
        <v>1 box</v>
      </c>
      <c r="L108" s="280" t="s">
        <v>242</v>
      </c>
      <c r="M108" s="281">
        <f>[4]DRT!L18</f>
        <v>900000</v>
      </c>
      <c r="N108" s="282">
        <f>[4]DRT!M18</f>
        <v>200000</v>
      </c>
      <c r="O108" s="283">
        <f>[4]DRT!N18</f>
        <v>0</v>
      </c>
      <c r="P108" s="283">
        <v>0</v>
      </c>
      <c r="Q108" s="283">
        <f>[4]DRT!P18</f>
        <v>630000</v>
      </c>
      <c r="R108" s="285">
        <f t="shared" si="5"/>
        <v>1730000</v>
      </c>
      <c r="S108" s="275">
        <v>0</v>
      </c>
      <c r="T108" s="285">
        <f t="shared" si="3"/>
        <v>1730000</v>
      </c>
      <c r="U108" s="275"/>
      <c r="V108" s="286" t="str">
        <f>[4]DRT!T18</f>
        <v>2 chiều</v>
      </c>
    </row>
    <row r="109" spans="1:22" s="287" customFormat="1" ht="84" customHeight="1">
      <c r="A109" s="275">
        <v>96</v>
      </c>
      <c r="B109" s="276" t="str">
        <f>[4]DRT!U19</f>
        <v>LG2512/5128</v>
      </c>
      <c r="C109" s="277" t="s">
        <v>240</v>
      </c>
      <c r="D109" s="278">
        <f>[4]DRT!A19</f>
        <v>46204</v>
      </c>
      <c r="E109" s="279" t="str">
        <f>[4]DRT!C19</f>
        <v>DREAMTECH</v>
      </c>
      <c r="F109" s="278" t="str">
        <f>[4]DRT!F19</f>
        <v>Lấy hàng từ kho DRT2 giao Meiko</v>
      </c>
      <c r="G109" s="276" t="str">
        <f>[4]DRT!S19</f>
        <v>29H 40829</v>
      </c>
      <c r="H109" s="276" t="str">
        <f>[4]DRT!D19</f>
        <v>KCN VSIP, Bac Ninh- KCN Thạch Thất, Hanoi</v>
      </c>
      <c r="I109" s="276" t="s">
        <v>241</v>
      </c>
      <c r="J109" s="276" t="str">
        <f>[4]DRT!G19</f>
        <v>1.25T</v>
      </c>
      <c r="K109" s="278" t="str">
        <f>[4]DRT!I19</f>
        <v>1 box</v>
      </c>
      <c r="L109" s="280" t="s">
        <v>242</v>
      </c>
      <c r="M109" s="281">
        <f>[4]DRT!L19</f>
        <v>900000</v>
      </c>
      <c r="N109" s="282">
        <f>[4]DRT!M19</f>
        <v>200000</v>
      </c>
      <c r="O109" s="283">
        <f>[4]DRT!N19</f>
        <v>0</v>
      </c>
      <c r="P109" s="283">
        <f>[4]DRT!P19</f>
        <v>0</v>
      </c>
      <c r="Q109" s="283">
        <f>[4]DRT!P19</f>
        <v>0</v>
      </c>
      <c r="R109" s="285">
        <f t="shared" si="5"/>
        <v>1100000</v>
      </c>
      <c r="S109" s="275">
        <v>0</v>
      </c>
      <c r="T109" s="285">
        <f t="shared" si="3"/>
        <v>1100000</v>
      </c>
      <c r="U109" s="275"/>
      <c r="V109" s="286">
        <f>[4]DRT!T19</f>
        <v>0</v>
      </c>
    </row>
    <row r="110" spans="1:22" s="287" customFormat="1" ht="84" customHeight="1">
      <c r="A110" s="275">
        <v>97</v>
      </c>
      <c r="B110" s="276" t="str">
        <f>[4]DRT!U20</f>
        <v>LG2512/5129</v>
      </c>
      <c r="C110" s="277" t="s">
        <v>240</v>
      </c>
      <c r="D110" s="278">
        <f>[4]DRT!A20</f>
        <v>46235</v>
      </c>
      <c r="E110" s="279" t="str">
        <f>[4]DRT!C20</f>
        <v>DREAMTECH</v>
      </c>
      <c r="F110" s="278" t="str">
        <f>[4]DRT!F20</f>
        <v>260108DRT-Fsample-02FOC</v>
      </c>
      <c r="G110" s="276" t="str">
        <f>[4]DRT!S20</f>
        <v>29H 76517.</v>
      </c>
      <c r="H110" s="276" t="str">
        <f>[4]DRT!D20</f>
        <v>KCN Thạch Thất, Hanoi- KCN VSIP, Bac Ninh</v>
      </c>
      <c r="I110" s="276" t="s">
        <v>241</v>
      </c>
      <c r="J110" s="276" t="str">
        <f>[4]DRT!G20</f>
        <v>1.25T</v>
      </c>
      <c r="K110" s="278" t="str">
        <f>[4]DRT!I20</f>
        <v>1 box</v>
      </c>
      <c r="L110" s="280" t="s">
        <v>242</v>
      </c>
      <c r="M110" s="281">
        <f>[4]DRT!L20</f>
        <v>900000</v>
      </c>
      <c r="N110" s="282">
        <f>[4]DRT!M20</f>
        <v>200000</v>
      </c>
      <c r="O110" s="283">
        <f>[4]DRT!N20</f>
        <v>0</v>
      </c>
      <c r="P110" s="283">
        <v>0</v>
      </c>
      <c r="Q110" s="283">
        <f>[4]DRT!P20</f>
        <v>630000</v>
      </c>
      <c r="R110" s="285">
        <f t="shared" si="5"/>
        <v>1730000</v>
      </c>
      <c r="S110" s="275">
        <v>0</v>
      </c>
      <c r="T110" s="285">
        <f t="shared" si="3"/>
        <v>1730000</v>
      </c>
      <c r="U110" s="275"/>
      <c r="V110" s="286" t="str">
        <f>[4]DRT!T20</f>
        <v>2 chiều</v>
      </c>
    </row>
    <row r="111" spans="1:22" s="287" customFormat="1" ht="84" customHeight="1">
      <c r="A111" s="275">
        <v>98</v>
      </c>
      <c r="B111" s="276" t="str">
        <f>[4]DRT!U21</f>
        <v>LG2512/5130</v>
      </c>
      <c r="C111" s="277" t="s">
        <v>240</v>
      </c>
      <c r="D111" s="278">
        <f>[4]DRT!A21</f>
        <v>46235</v>
      </c>
      <c r="E111" s="279" t="str">
        <f>[4]DRT!C21</f>
        <v>DREAMTECH</v>
      </c>
      <c r="F111" s="278" t="str">
        <f>[4]DRT!F21</f>
        <v>260108DRTV-03</v>
      </c>
      <c r="G111" s="276" t="str">
        <f>[4]DRT!S21</f>
        <v>29H 88371</v>
      </c>
      <c r="H111" s="276" t="str">
        <f>[4]DRT!D21</f>
        <v>KCN Thạch Thất, Hanoi- KCN VSIP, Bac Ninh</v>
      </c>
      <c r="I111" s="276" t="s">
        <v>241</v>
      </c>
      <c r="J111" s="276" t="str">
        <f>[4]DRT!G21</f>
        <v>1.25T</v>
      </c>
      <c r="K111" s="278" t="str">
        <f>[4]DRT!I21</f>
        <v>1 pallet</v>
      </c>
      <c r="L111" s="280" t="s">
        <v>242</v>
      </c>
      <c r="M111" s="281">
        <f>[4]DRT!L21</f>
        <v>900000</v>
      </c>
      <c r="N111" s="282">
        <f>[4]DRT!M21</f>
        <v>200000</v>
      </c>
      <c r="O111" s="283">
        <f>[4]DRT!N21</f>
        <v>0</v>
      </c>
      <c r="P111" s="283">
        <f>[4]DRT!P21</f>
        <v>0</v>
      </c>
      <c r="Q111" s="283">
        <f>[4]DRT!P21</f>
        <v>0</v>
      </c>
      <c r="R111" s="285">
        <f t="shared" si="5"/>
        <v>1100000</v>
      </c>
      <c r="S111" s="275">
        <v>0</v>
      </c>
      <c r="T111" s="285">
        <f t="shared" si="3"/>
        <v>1100000</v>
      </c>
      <c r="U111" s="275"/>
      <c r="V111" s="286">
        <f>[4]DRT!T21</f>
        <v>0</v>
      </c>
    </row>
    <row r="112" spans="1:22" s="287" customFormat="1" ht="103" customHeight="1">
      <c r="A112" s="275">
        <v>99</v>
      </c>
      <c r="B112" s="276" t="str">
        <f>[4]DRT!U22</f>
        <v>LG2512/5131</v>
      </c>
      <c r="C112" s="277" t="s">
        <v>240</v>
      </c>
      <c r="D112" s="278">
        <f>[4]DRT!A22</f>
        <v>46266</v>
      </c>
      <c r="E112" s="279" t="str">
        <f>[4]DRT!C22</f>
        <v>DREAMTECH</v>
      </c>
      <c r="F112" s="278" t="str">
        <f>[4]DRT!F22</f>
        <v>260109DRT-F06 (DRT1)
260109DRTV-04 (DRT2) 
260109DRT-F05 (DRT2)</v>
      </c>
      <c r="G112" s="276" t="str">
        <f>[4]DRT!S22</f>
        <v>29E 26072</v>
      </c>
      <c r="H112" s="276" t="str">
        <f>[4]DRT!D22</f>
        <v>KCN Thạch Thất, Hanoi- KCN VSIP, Bac Ninh</v>
      </c>
      <c r="I112" s="276" t="s">
        <v>241</v>
      </c>
      <c r="J112" s="276" t="str">
        <f>[4]DRT!G22</f>
        <v>3.5T</v>
      </c>
      <c r="K112" s="278" t="str">
        <f>[4]DRT!I22</f>
        <v>4 pâllet</v>
      </c>
      <c r="L112" s="280" t="s">
        <v>242</v>
      </c>
      <c r="M112" s="281">
        <f>[4]DRT!L22</f>
        <v>1650000</v>
      </c>
      <c r="N112" s="282">
        <f>[4]DRT!M22</f>
        <v>400000</v>
      </c>
      <c r="O112" s="283">
        <f>[4]DRT!N22</f>
        <v>0</v>
      </c>
      <c r="P112" s="283">
        <v>0</v>
      </c>
      <c r="Q112" s="283">
        <f>[4]DRT!P22</f>
        <v>1155000</v>
      </c>
      <c r="R112" s="285">
        <f t="shared" si="5"/>
        <v>3205000</v>
      </c>
      <c r="S112" s="275">
        <v>0</v>
      </c>
      <c r="T112" s="285">
        <f t="shared" si="3"/>
        <v>3205000</v>
      </c>
      <c r="U112" s="275"/>
      <c r="V112" s="286" t="str">
        <f>[4]DRT!T22</f>
        <v>2 chiều</v>
      </c>
    </row>
    <row r="113" spans="1:22" s="287" customFormat="1" ht="84" customHeight="1">
      <c r="A113" s="275">
        <v>100</v>
      </c>
      <c r="B113" s="276" t="str">
        <f>[4]DRT!U23</f>
        <v>LG2512/5132</v>
      </c>
      <c r="C113" s="277" t="s">
        <v>240</v>
      </c>
      <c r="D113" s="278">
        <f>[4]DRT!A23</f>
        <v>46266</v>
      </c>
      <c r="E113" s="279" t="str">
        <f>[4]DRT!C23</f>
        <v>DREAMTECH</v>
      </c>
      <c r="F113" s="278" t="str">
        <f>[4]DRT!F23</f>
        <v>260109DRT-F06 (DRT1)</v>
      </c>
      <c r="G113" s="276" t="str">
        <f>[4]DRT!S23</f>
        <v>29E 26078</v>
      </c>
      <c r="H113" s="276" t="str">
        <f>[4]DRT!D23</f>
        <v>KCN Thạch Thất, Hanoi- KCN VSIP, Bac Ninh</v>
      </c>
      <c r="I113" s="276" t="s">
        <v>241</v>
      </c>
      <c r="J113" s="276" t="str">
        <f>[4]DRT!G23</f>
        <v>1.25T</v>
      </c>
      <c r="K113" s="278" t="str">
        <f>[4]DRT!I23</f>
        <v>1 pâllet</v>
      </c>
      <c r="L113" s="280" t="s">
        <v>242</v>
      </c>
      <c r="M113" s="281">
        <f>[4]DRT!L23</f>
        <v>900000</v>
      </c>
      <c r="N113" s="282">
        <f>[4]DRT!M23</f>
        <v>200000</v>
      </c>
      <c r="O113" s="283">
        <f>[4]DRT!N23</f>
        <v>0</v>
      </c>
      <c r="P113" s="283">
        <f>[4]DRT!P23</f>
        <v>0</v>
      </c>
      <c r="Q113" s="283">
        <f>[4]DRT!P23</f>
        <v>0</v>
      </c>
      <c r="R113" s="285">
        <f t="shared" si="5"/>
        <v>1100000</v>
      </c>
      <c r="S113" s="275">
        <v>0</v>
      </c>
      <c r="T113" s="285">
        <f t="shared" si="3"/>
        <v>1100000</v>
      </c>
      <c r="U113" s="275"/>
      <c r="V113" s="286">
        <f>[4]DRT!T23</f>
        <v>0</v>
      </c>
    </row>
    <row r="114" spans="1:22" s="287" customFormat="1" ht="84" customHeight="1">
      <c r="A114" s="275">
        <v>101</v>
      </c>
      <c r="B114" s="276" t="str">
        <f>[4]DRT!U24</f>
        <v>LG2512/5133</v>
      </c>
      <c r="C114" s="277" t="s">
        <v>240</v>
      </c>
      <c r="D114" s="278">
        <f>[4]DRT!A24</f>
        <v>46296</v>
      </c>
      <c r="E114" s="279" t="str">
        <f>[4]DRT!C24</f>
        <v>DREAMTECH</v>
      </c>
      <c r="F114" s="278" t="str">
        <f>[4]DRT!F24</f>
        <v>260110DRT-F07 (DRT1)
260110DRTV-05 (DRT2)</v>
      </c>
      <c r="G114" s="276" t="str">
        <f>[4]DRT!S24</f>
        <v>29E 26078</v>
      </c>
      <c r="H114" s="276" t="str">
        <f>[4]DRT!D24</f>
        <v>KCN Thạch Thất, Hanoi- KCN VSIP, Bac Ninh</v>
      </c>
      <c r="I114" s="276" t="s">
        <v>241</v>
      </c>
      <c r="J114" s="276" t="str">
        <f>[4]DRT!G24</f>
        <v>1.25T</v>
      </c>
      <c r="K114" s="278" t="str">
        <f>[4]DRT!I24</f>
        <v>9 box</v>
      </c>
      <c r="L114" s="280" t="s">
        <v>242</v>
      </c>
      <c r="M114" s="281">
        <f>[4]DRT!L24</f>
        <v>900000</v>
      </c>
      <c r="N114" s="282">
        <f>[4]DRT!M24</f>
        <v>200000</v>
      </c>
      <c r="O114" s="283">
        <f>[4]DRT!N24</f>
        <v>0</v>
      </c>
      <c r="P114" s="283">
        <v>0</v>
      </c>
      <c r="Q114" s="283">
        <f>[4]DRT!P24</f>
        <v>100000</v>
      </c>
      <c r="R114" s="285">
        <f t="shared" si="5"/>
        <v>1200000</v>
      </c>
      <c r="S114" s="275">
        <v>0</v>
      </c>
      <c r="T114" s="285">
        <f t="shared" si="3"/>
        <v>1200000</v>
      </c>
      <c r="U114" s="275"/>
      <c r="V114" s="286" t="str">
        <f>[4]DRT!T24</f>
        <v>trả 2 điểm KCn vsip</v>
      </c>
    </row>
    <row r="115" spans="1:22" s="287" customFormat="1" ht="84" customHeight="1">
      <c r="A115" s="275">
        <v>102</v>
      </c>
      <c r="B115" s="276" t="str">
        <f>[4]DRT!U25</f>
        <v>LG2512/5134</v>
      </c>
      <c r="C115" s="277" t="s">
        <v>240</v>
      </c>
      <c r="D115" s="278">
        <f>[4]DRT!A25</f>
        <v>46357</v>
      </c>
      <c r="E115" s="279" t="str">
        <f>[4]DRT!C25</f>
        <v>DREAMTECH</v>
      </c>
      <c r="F115" s="278" t="str">
        <f>[4]DRT!F25</f>
        <v>260112DRT-F08 (DRT1)
260112DRTV-06 (DRT2)
260112DRT-F09 (DRT2)</v>
      </c>
      <c r="G115" s="276" t="str">
        <f>[4]DRT!S25</f>
        <v>29K 05590</v>
      </c>
      <c r="H115" s="276" t="str">
        <f>[4]DRT!D25</f>
        <v>KCN Thạch Thất, Hanoi- KCN VSIP, Bac Ninh</v>
      </c>
      <c r="I115" s="276" t="s">
        <v>241</v>
      </c>
      <c r="J115" s="276" t="str">
        <f>[4]DRT!G25</f>
        <v>1.25T</v>
      </c>
      <c r="K115" s="278" t="str">
        <f>[4]DRT!I25</f>
        <v>1 pallet
10 box</v>
      </c>
      <c r="L115" s="280" t="s">
        <v>242</v>
      </c>
      <c r="M115" s="281">
        <f>[4]DRT!L25</f>
        <v>900000</v>
      </c>
      <c r="N115" s="282">
        <f>[4]DRT!M25</f>
        <v>200000</v>
      </c>
      <c r="O115" s="283">
        <f>[4]DRT!N25</f>
        <v>150000</v>
      </c>
      <c r="P115" s="283">
        <v>0</v>
      </c>
      <c r="Q115" s="283">
        <f>[4]DRT!P25</f>
        <v>100000</v>
      </c>
      <c r="R115" s="285">
        <f t="shared" si="5"/>
        <v>1350000</v>
      </c>
      <c r="S115" s="275">
        <v>0</v>
      </c>
      <c r="T115" s="285">
        <f t="shared" si="3"/>
        <v>1350000</v>
      </c>
      <c r="U115" s="275"/>
      <c r="V115" s="286" t="str">
        <f>[4]DRT!T25</f>
        <v xml:space="preserve"> trả 2 nhà máy , chờ lấy hàng từ  19h00 - 21h30</v>
      </c>
    </row>
    <row r="116" spans="1:22" s="287" customFormat="1" ht="84" customHeight="1">
      <c r="A116" s="261">
        <v>103</v>
      </c>
      <c r="B116" s="262" t="str">
        <f>[4]DRT!U26</f>
        <v>LG2512/5135</v>
      </c>
      <c r="C116" s="263" t="s">
        <v>240</v>
      </c>
      <c r="D116" s="264" t="str">
        <f>[4]DRT!A26</f>
        <v>13/01/2026</v>
      </c>
      <c r="E116" s="265" t="str">
        <f>[4]DRT!C26</f>
        <v>DREAMTECH</v>
      </c>
      <c r="F116" s="264" t="str">
        <f>[4]DRT!F26</f>
        <v>260112DRT-F10/260112DRTV-07</v>
      </c>
      <c r="G116" s="262" t="str">
        <f>[4]DRT!S26</f>
        <v>29H 92126</v>
      </c>
      <c r="H116" s="262" t="str">
        <f>[4]DRT!D26</f>
        <v>KCN Thạch Thất, Hanoi- KCN VSIP, Bac Ninh</v>
      </c>
      <c r="I116" s="262" t="s">
        <v>241</v>
      </c>
      <c r="J116" s="262" t="str">
        <f>[4]DRT!G26</f>
        <v>1.25T</v>
      </c>
      <c r="K116" s="264" t="str">
        <f>[4]DRT!I26</f>
        <v>8 box</v>
      </c>
      <c r="L116" s="266" t="s">
        <v>242</v>
      </c>
      <c r="M116" s="267">
        <f>[4]DRT!L26</f>
        <v>900000</v>
      </c>
      <c r="N116" s="268">
        <f>[4]DRT!M26</f>
        <v>200000</v>
      </c>
      <c r="O116" s="269">
        <f>[4]DRT!N26</f>
        <v>0</v>
      </c>
      <c r="P116" s="269">
        <f>[4]DRT!P26</f>
        <v>0</v>
      </c>
      <c r="Q116" s="269">
        <f>[4]DRT!P26</f>
        <v>0</v>
      </c>
      <c r="R116" s="271">
        <f t="shared" si="5"/>
        <v>1100000</v>
      </c>
      <c r="S116" s="261">
        <v>0</v>
      </c>
      <c r="T116" s="271">
        <f t="shared" si="3"/>
        <v>1100000</v>
      </c>
      <c r="U116" s="261"/>
      <c r="V116" s="288">
        <f>[4]DRT!T26</f>
        <v>0</v>
      </c>
    </row>
    <row r="117" spans="1:22" s="287" customFormat="1" ht="84" customHeight="1">
      <c r="A117" s="261">
        <v>104</v>
      </c>
      <c r="B117" s="262" t="str">
        <f>[4]DRT!U27</f>
        <v>LG2512/5136</v>
      </c>
      <c r="C117" s="263" t="s">
        <v>240</v>
      </c>
      <c r="D117" s="264" t="str">
        <f>[4]DRT!A27</f>
        <v>13/01/2026</v>
      </c>
      <c r="E117" s="265" t="str">
        <f>[4]DRT!C27</f>
        <v>DREAMTECH</v>
      </c>
      <c r="F117" s="264" t="str">
        <f>[4]DRT!F27</f>
        <v>260113DRTV-08</v>
      </c>
      <c r="G117" s="262" t="str">
        <f>[4]DRT!S27</f>
        <v>29H 88330</v>
      </c>
      <c r="H117" s="262" t="str">
        <f>[4]DRT!D27</f>
        <v>KCN Thạch Thất, Hanoi- KCN VSIP, Bac Ninh</v>
      </c>
      <c r="I117" s="262" t="s">
        <v>241</v>
      </c>
      <c r="J117" s="262" t="str">
        <f>[4]DRT!G27</f>
        <v>1.25T</v>
      </c>
      <c r="K117" s="264" t="str">
        <f>[4]DRT!I27</f>
        <v>1 PALLET</v>
      </c>
      <c r="L117" s="266" t="s">
        <v>242</v>
      </c>
      <c r="M117" s="267">
        <f>[4]DRT!L27</f>
        <v>900000</v>
      </c>
      <c r="N117" s="268">
        <f>[4]DRT!M27</f>
        <v>200000</v>
      </c>
      <c r="O117" s="269">
        <f>[4]DRT!N27</f>
        <v>0</v>
      </c>
      <c r="P117" s="269">
        <f>[4]DRT!P27</f>
        <v>0</v>
      </c>
      <c r="Q117" s="269">
        <f>[4]DRT!P27</f>
        <v>0</v>
      </c>
      <c r="R117" s="271">
        <f t="shared" si="5"/>
        <v>1100000</v>
      </c>
      <c r="S117" s="261">
        <v>0</v>
      </c>
      <c r="T117" s="271">
        <f t="shared" si="3"/>
        <v>1100000</v>
      </c>
      <c r="U117" s="261"/>
      <c r="V117" s="288">
        <f>[4]DRT!T27</f>
        <v>0</v>
      </c>
    </row>
    <row r="118" spans="1:22" s="287" customFormat="1" ht="84" customHeight="1">
      <c r="A118" s="275">
        <v>105</v>
      </c>
      <c r="B118" s="276" t="str">
        <f>[4]DRT!U28</f>
        <v>LG2512/5137</v>
      </c>
      <c r="C118" s="277" t="s">
        <v>240</v>
      </c>
      <c r="D118" s="278" t="str">
        <f>[4]DRT!A28</f>
        <v>13/01/2026</v>
      </c>
      <c r="E118" s="279" t="str">
        <f>[4]DRT!C28</f>
        <v>DREAMTECH</v>
      </c>
      <c r="F118" s="278" t="str">
        <f>[4]DRT!F28</f>
        <v>260113DRT-Fsample-03FOC</v>
      </c>
      <c r="G118" s="276" t="str">
        <f>[4]DRT!S28</f>
        <v>29H 37799</v>
      </c>
      <c r="H118" s="276" t="str">
        <f>[4]DRT!D28</f>
        <v>KCN Thạch Thất, Hanoi- KCN VSIP, Bac Ninh</v>
      </c>
      <c r="I118" s="276" t="s">
        <v>241</v>
      </c>
      <c r="J118" s="276" t="str">
        <f>[4]DRT!G28</f>
        <v>1.25T</v>
      </c>
      <c r="K118" s="278" t="str">
        <f>[4]DRT!I28</f>
        <v>1 box</v>
      </c>
      <c r="L118" s="280" t="s">
        <v>242</v>
      </c>
      <c r="M118" s="281">
        <f>[4]DRT!L28</f>
        <v>900000</v>
      </c>
      <c r="N118" s="282">
        <f>[4]DRT!M28</f>
        <v>200000</v>
      </c>
      <c r="O118" s="283">
        <f>[4]DRT!N28</f>
        <v>400000</v>
      </c>
      <c r="P118" s="283">
        <f>[4]DRT!P28</f>
        <v>0</v>
      </c>
      <c r="Q118" s="283">
        <f>[4]DRT!P28</f>
        <v>0</v>
      </c>
      <c r="R118" s="285">
        <f t="shared" si="5"/>
        <v>1500000</v>
      </c>
      <c r="S118" s="275">
        <v>0</v>
      </c>
      <c r="T118" s="285">
        <f t="shared" si="3"/>
        <v>1500000</v>
      </c>
      <c r="U118" s="275"/>
      <c r="V118" s="286" t="str">
        <f>[4]DRT!T28</f>
        <v xml:space="preserve"> chờ lấy hàng từ 23h đến 4h ngày 14/01</v>
      </c>
    </row>
    <row r="119" spans="1:22" s="287" customFormat="1" ht="84" customHeight="1">
      <c r="A119" s="275">
        <v>106</v>
      </c>
      <c r="B119" s="276" t="str">
        <f>[4]DRT!U29</f>
        <v>LG2512/5138</v>
      </c>
      <c r="C119" s="277" t="s">
        <v>240</v>
      </c>
      <c r="D119" s="278" t="str">
        <f>[4]DRT!A29</f>
        <v>13/01/2026</v>
      </c>
      <c r="E119" s="279" t="str">
        <f>[4]DRT!C29</f>
        <v>DREAMTECH</v>
      </c>
      <c r="F119" s="278" t="str">
        <f>[4]DRT!F29</f>
        <v>260113DRT-F12 (DRT1)
260113DRT-F11 (DRT2) 
260113DRTV-09 (DRT2)</v>
      </c>
      <c r="G119" s="276" t="str">
        <f>[4]DRT!S29</f>
        <v>29H 20200</v>
      </c>
      <c r="H119" s="276" t="str">
        <f>[4]DRT!D29</f>
        <v>KCN Thạch Thất, Hanoi- KCN VSIP, Bac Ninh</v>
      </c>
      <c r="I119" s="276" t="s">
        <v>241</v>
      </c>
      <c r="J119" s="276" t="str">
        <f>[4]DRT!G29</f>
        <v>1.25T</v>
      </c>
      <c r="K119" s="278" t="str">
        <f>[4]DRT!I29</f>
        <v>22 box</v>
      </c>
      <c r="L119" s="280" t="s">
        <v>242</v>
      </c>
      <c r="M119" s="281">
        <f>[4]DRT!L29</f>
        <v>900000</v>
      </c>
      <c r="N119" s="282">
        <f>[4]DRT!M29</f>
        <v>200000</v>
      </c>
      <c r="O119" s="283">
        <f>[4]DRT!N29</f>
        <v>0</v>
      </c>
      <c r="P119" s="283">
        <v>0</v>
      </c>
      <c r="Q119" s="283">
        <f>[4]DRT!P29</f>
        <v>100000</v>
      </c>
      <c r="R119" s="285">
        <f t="shared" si="5"/>
        <v>1200000</v>
      </c>
      <c r="S119" s="275">
        <v>0</v>
      </c>
      <c r="T119" s="285">
        <f t="shared" si="3"/>
        <v>1200000</v>
      </c>
      <c r="U119" s="275"/>
      <c r="V119" s="286" t="str">
        <f>[4]DRT!T29</f>
        <v xml:space="preserve">trả 2 điểm KCN Vsip </v>
      </c>
    </row>
    <row r="120" spans="1:22" s="287" customFormat="1" ht="84" customHeight="1">
      <c r="A120" s="275">
        <v>107</v>
      </c>
      <c r="B120" s="276" t="str">
        <f>[4]DRT!U30</f>
        <v>LG2512/5139</v>
      </c>
      <c r="C120" s="277" t="s">
        <v>240</v>
      </c>
      <c r="D120" s="278" t="str">
        <f>[4]DRT!A30</f>
        <v>14/01/2026</v>
      </c>
      <c r="E120" s="279" t="str">
        <f>[4]DRT!C30</f>
        <v>DREAMTECH</v>
      </c>
      <c r="F120" s="278" t="str">
        <f>[4]DRT!F30</f>
        <v>260114DRT-Fsample-04</v>
      </c>
      <c r="G120" s="276" t="str">
        <f>[4]DRT!S30</f>
        <v>29E 26078</v>
      </c>
      <c r="H120" s="276" t="str">
        <f>[4]DRT!D30</f>
        <v>KCN Thạch Thất, Hanoi- KCN VSIP, Bac Ninh</v>
      </c>
      <c r="I120" s="276" t="s">
        <v>241</v>
      </c>
      <c r="J120" s="276" t="str">
        <f>[4]DRT!G30</f>
        <v>1.25T</v>
      </c>
      <c r="K120" s="278" t="str">
        <f>[4]DRT!I30</f>
        <v>3 box</v>
      </c>
      <c r="L120" s="280" t="s">
        <v>242</v>
      </c>
      <c r="M120" s="281">
        <f>[4]DRT!L30</f>
        <v>630000</v>
      </c>
      <c r="N120" s="282">
        <f>[4]DRT!M30</f>
        <v>0</v>
      </c>
      <c r="O120" s="283">
        <f>[4]DRT!N30</f>
        <v>0</v>
      </c>
      <c r="P120" s="283">
        <f>[4]DRT!P30</f>
        <v>0</v>
      </c>
      <c r="Q120" s="283">
        <f>[4]DRT!P30</f>
        <v>0</v>
      </c>
      <c r="R120" s="285">
        <f t="shared" si="5"/>
        <v>630000</v>
      </c>
      <c r="S120" s="275">
        <v>0</v>
      </c>
      <c r="T120" s="285">
        <f t="shared" si="3"/>
        <v>630000</v>
      </c>
      <c r="U120" s="275"/>
      <c r="V120" s="286" t="str">
        <f>[4]DRT!T30</f>
        <v>HỦY</v>
      </c>
    </row>
    <row r="121" spans="1:22" s="287" customFormat="1" ht="84" customHeight="1">
      <c r="A121" s="275">
        <v>108</v>
      </c>
      <c r="B121" s="276" t="str">
        <f>[4]DRT!U31</f>
        <v>LG2512/5140</v>
      </c>
      <c r="C121" s="277" t="s">
        <v>240</v>
      </c>
      <c r="D121" s="278" t="str">
        <f>[4]DRT!A31</f>
        <v>14/01/2026</v>
      </c>
      <c r="E121" s="279" t="str">
        <f>[4]DRT!C31</f>
        <v>DREAMTECH</v>
      </c>
      <c r="F121" s="278" t="str">
        <f>[4]DRT!F31</f>
        <v>260114DRT-Fsample-05FOC</v>
      </c>
      <c r="G121" s="276" t="str">
        <f>[4]DRT!S31</f>
        <v>29E 26078</v>
      </c>
      <c r="H121" s="276" t="str">
        <f>[4]DRT!D31</f>
        <v>KCN Thạch Thất, Hanoi- KCN VSIP, Bac Ninh</v>
      </c>
      <c r="I121" s="276" t="s">
        <v>241</v>
      </c>
      <c r="J121" s="276" t="str">
        <f>[4]DRT!G31</f>
        <v>1.25T</v>
      </c>
      <c r="K121" s="278" t="str">
        <f>[4]DRT!I31</f>
        <v>1 box</v>
      </c>
      <c r="L121" s="280" t="s">
        <v>242</v>
      </c>
      <c r="M121" s="281">
        <f>[4]DRT!L31</f>
        <v>300000</v>
      </c>
      <c r="N121" s="282">
        <f>[4]DRT!M31</f>
        <v>200000</v>
      </c>
      <c r="O121" s="283">
        <f>[4]DRT!N31</f>
        <v>0</v>
      </c>
      <c r="P121" s="283">
        <f>[4]DRT!P31</f>
        <v>0</v>
      </c>
      <c r="Q121" s="283">
        <f>[4]DRT!P31</f>
        <v>0</v>
      </c>
      <c r="R121" s="285">
        <f t="shared" si="5"/>
        <v>500000</v>
      </c>
      <c r="S121" s="275">
        <v>0</v>
      </c>
      <c r="T121" s="285">
        <f t="shared" si="3"/>
        <v>500000</v>
      </c>
      <c r="U121" s="275"/>
      <c r="V121" s="286" t="str">
        <f>[4]DRT!T31</f>
        <v>đi cùng xe Quang Châu, tính ps 2 điểm</v>
      </c>
    </row>
    <row r="122" spans="1:22" s="287" customFormat="1" ht="84" customHeight="1">
      <c r="A122" s="275">
        <v>109</v>
      </c>
      <c r="B122" s="276" t="str">
        <f>[4]DRT!U32</f>
        <v>LG2512/5141</v>
      </c>
      <c r="C122" s="277" t="s">
        <v>240</v>
      </c>
      <c r="D122" s="278" t="str">
        <f>[4]DRT!A32</f>
        <v>14/01/2026</v>
      </c>
      <c r="E122" s="279" t="str">
        <f>[4]DRT!C32</f>
        <v>DREAMTECH</v>
      </c>
      <c r="F122" s="278" t="str">
        <f>[4]DRT!F32</f>
        <v>260114DRT-Fsample-04</v>
      </c>
      <c r="G122" s="276" t="str">
        <f>[4]DRT!S32</f>
        <v>29H 76514</v>
      </c>
      <c r="H122" s="276" t="str">
        <f>[4]DRT!D32</f>
        <v>KCN Thạch Thất, Hanoi- KCN VSIP, Bac Ninh</v>
      </c>
      <c r="I122" s="276" t="s">
        <v>241</v>
      </c>
      <c r="J122" s="276" t="str">
        <f>[4]DRT!G32</f>
        <v>1.25T</v>
      </c>
      <c r="K122" s="278" t="str">
        <f>[4]DRT!I32</f>
        <v>3 box</v>
      </c>
      <c r="L122" s="280" t="s">
        <v>242</v>
      </c>
      <c r="M122" s="281">
        <f>[4]DRT!L32</f>
        <v>900000</v>
      </c>
      <c r="N122" s="282">
        <f>[4]DRT!M32</f>
        <v>200000</v>
      </c>
      <c r="O122" s="283">
        <f>[4]DRT!N32</f>
        <v>0</v>
      </c>
      <c r="P122" s="283">
        <f>[4]DRT!P32</f>
        <v>0</v>
      </c>
      <c r="Q122" s="283">
        <f>[4]DRT!P32</f>
        <v>0</v>
      </c>
      <c r="R122" s="285">
        <f t="shared" si="5"/>
        <v>1100000</v>
      </c>
      <c r="S122" s="275">
        <v>0</v>
      </c>
      <c r="T122" s="285">
        <f t="shared" si="3"/>
        <v>1100000</v>
      </c>
      <c r="U122" s="275"/>
      <c r="V122" s="286">
        <f>[4]DRT!T32</f>
        <v>0</v>
      </c>
    </row>
    <row r="123" spans="1:22" s="287" customFormat="1" ht="84" customHeight="1">
      <c r="A123" s="275">
        <v>110</v>
      </c>
      <c r="B123" s="276" t="str">
        <f>[4]DRT!U33</f>
        <v>LG2512/5142</v>
      </c>
      <c r="C123" s="277" t="s">
        <v>240</v>
      </c>
      <c r="D123" s="278" t="str">
        <f>[4]DRT!A33</f>
        <v>14/01/2026</v>
      </c>
      <c r="E123" s="279" t="str">
        <f>[4]DRT!C33</f>
        <v>DREAMTECH</v>
      </c>
      <c r="F123" s="278" t="str">
        <f>[4]DRT!F33</f>
        <v>260114DRT-F14 (DRT1)
260114DRTV-10 (DRT2) 
260114DRT-F13 (DRT2)</v>
      </c>
      <c r="G123" s="276" t="str">
        <f>[4]DRT!S33</f>
        <v>29H 88330</v>
      </c>
      <c r="H123" s="276" t="str">
        <f>[4]DRT!D33</f>
        <v>KCN Thạch Thất, Hanoi- KCN VSIP, Bac Ninh</v>
      </c>
      <c r="I123" s="276" t="s">
        <v>241</v>
      </c>
      <c r="J123" s="276" t="str">
        <f>[4]DRT!G33</f>
        <v>1.25T</v>
      </c>
      <c r="K123" s="278" t="str">
        <f>[4]DRT!I33</f>
        <v>1 pallet , 13 box</v>
      </c>
      <c r="L123" s="280" t="s">
        <v>242</v>
      </c>
      <c r="M123" s="281">
        <f>[4]DRT!L33</f>
        <v>900000</v>
      </c>
      <c r="N123" s="282">
        <f>[4]DRT!M33</f>
        <v>200000</v>
      </c>
      <c r="O123" s="283">
        <f>[4]DRT!N33</f>
        <v>150000</v>
      </c>
      <c r="P123" s="283">
        <v>0</v>
      </c>
      <c r="Q123" s="283">
        <f>[4]DRT!P33</f>
        <v>100000</v>
      </c>
      <c r="R123" s="285">
        <f t="shared" si="5"/>
        <v>1350000</v>
      </c>
      <c r="S123" s="275">
        <v>0</v>
      </c>
      <c r="T123" s="285">
        <f t="shared" si="3"/>
        <v>1350000</v>
      </c>
      <c r="U123" s="275"/>
      <c r="V123" s="286" t="str">
        <f>[4]DRT!T33</f>
        <v>trả 2 điểm KCN Vsip ,  chờ hạ 23h30 đến 2h00</v>
      </c>
    </row>
    <row r="124" spans="1:22" s="287" customFormat="1" ht="84" customHeight="1">
      <c r="A124" s="275">
        <v>111</v>
      </c>
      <c r="B124" s="276" t="str">
        <f>[4]DRT!U34</f>
        <v>LG2512/5143</v>
      </c>
      <c r="C124" s="277" t="s">
        <v>240</v>
      </c>
      <c r="D124" s="278" t="str">
        <f>[4]DRT!A34</f>
        <v>15/01/2026</v>
      </c>
      <c r="E124" s="279" t="str">
        <f>[4]DRT!C34</f>
        <v>DREAMTECH</v>
      </c>
      <c r="F124" s="278" t="str">
        <f>[4]DRT!F34</f>
        <v>260115DRT-Fsample-06</v>
      </c>
      <c r="G124" s="276" t="str">
        <f>[4]DRT!S34</f>
        <v>29H 37799</v>
      </c>
      <c r="H124" s="276" t="str">
        <f>[4]DRT!D34</f>
        <v>KCN Thạch Thất, Hanoi- KCN VSIP, Bac Ninh</v>
      </c>
      <c r="I124" s="276" t="s">
        <v>241</v>
      </c>
      <c r="J124" s="276" t="str">
        <f>[4]DRT!G34</f>
        <v>1.25T</v>
      </c>
      <c r="K124" s="278" t="str">
        <f>[4]DRT!I34</f>
        <v>1box</v>
      </c>
      <c r="L124" s="280" t="s">
        <v>242</v>
      </c>
      <c r="M124" s="281">
        <f>[4]DRT!L34</f>
        <v>900000</v>
      </c>
      <c r="N124" s="282">
        <f>[4]DRT!M34</f>
        <v>200000</v>
      </c>
      <c r="O124" s="283">
        <f>[4]DRT!N34</f>
        <v>0</v>
      </c>
      <c r="P124" s="283">
        <f>[4]DRT!P34</f>
        <v>0</v>
      </c>
      <c r="Q124" s="283">
        <f>[4]DRT!P34</f>
        <v>0</v>
      </c>
      <c r="R124" s="285">
        <f t="shared" si="5"/>
        <v>1100000</v>
      </c>
      <c r="S124" s="275">
        <v>0</v>
      </c>
      <c r="T124" s="285">
        <f t="shared" si="3"/>
        <v>1100000</v>
      </c>
      <c r="U124" s="275"/>
      <c r="V124" s="286">
        <f>[4]DRT!T34</f>
        <v>0</v>
      </c>
    </row>
    <row r="125" spans="1:22" s="287" customFormat="1" ht="84" customHeight="1">
      <c r="A125" s="275">
        <v>112</v>
      </c>
      <c r="B125" s="276" t="str">
        <f>[4]DRT!U35</f>
        <v>LG2512/5144</v>
      </c>
      <c r="C125" s="277" t="s">
        <v>240</v>
      </c>
      <c r="D125" s="278" t="str">
        <f>[4]DRT!A35</f>
        <v>15/01/2026</v>
      </c>
      <c r="E125" s="279" t="str">
        <f>[4]DRT!C35</f>
        <v>DREAMTECH</v>
      </c>
      <c r="F125" s="278" t="str">
        <f>[4]DRT!F35</f>
        <v>260115DRT-F16 (DRT 1)
260115DRT-F15 (DRT 2)
260115DRTV-11 (DRT 2)</v>
      </c>
      <c r="G125" s="276" t="str">
        <f>[4]DRT!S35</f>
        <v>29H 88337</v>
      </c>
      <c r="H125" s="276" t="str">
        <f>[4]DRT!D35</f>
        <v>KCN Thạch Thất, Hanoi- KCN VSIP, Bac Ninh</v>
      </c>
      <c r="I125" s="276" t="s">
        <v>241</v>
      </c>
      <c r="J125" s="276" t="str">
        <f>[4]DRT!G35</f>
        <v>1.25T</v>
      </c>
      <c r="K125" s="278" t="str">
        <f>[4]DRT!I35</f>
        <v>3box; 
1 pallet 3 box</v>
      </c>
      <c r="L125" s="280" t="s">
        <v>242</v>
      </c>
      <c r="M125" s="281">
        <f>[4]DRT!L35</f>
        <v>900000</v>
      </c>
      <c r="N125" s="282">
        <f>[4]DRT!M35</f>
        <v>200000</v>
      </c>
      <c r="O125" s="283">
        <f>[4]DRT!N35</f>
        <v>150000</v>
      </c>
      <c r="P125" s="283">
        <v>0</v>
      </c>
      <c r="Q125" s="283">
        <f>[4]DRT!P35</f>
        <v>100000</v>
      </c>
      <c r="R125" s="285">
        <f t="shared" si="5"/>
        <v>1350000</v>
      </c>
      <c r="S125" s="275">
        <v>0</v>
      </c>
      <c r="T125" s="285">
        <f t="shared" si="3"/>
        <v>1350000</v>
      </c>
      <c r="U125" s="275"/>
      <c r="V125" s="286" t="str">
        <f>[4]DRT!T35</f>
        <v xml:space="preserve">lx bốc xếp . trả 2 điểm KCN Vsip BN, chờ lấy từ 19h đến 21h30 </v>
      </c>
    </row>
    <row r="126" spans="1:22" s="287" customFormat="1" ht="84" customHeight="1">
      <c r="A126" s="275">
        <v>113</v>
      </c>
      <c r="B126" s="276" t="str">
        <f>[4]DRT!U36</f>
        <v>LG2512/5145</v>
      </c>
      <c r="C126" s="277" t="s">
        <v>240</v>
      </c>
      <c r="D126" s="278" t="str">
        <f>[4]DRT!A36</f>
        <v>16/01/2026</v>
      </c>
      <c r="E126" s="279" t="str">
        <f>[4]DRT!C36</f>
        <v>DREAMTECH</v>
      </c>
      <c r="F126" s="278" t="str">
        <f>[4]DRT!F36</f>
        <v>260116DRT-F17 (DRT 1)
260116DRTV-12 (DRT 2)
260116DRT-F18 (DRT 2)</v>
      </c>
      <c r="G126" s="276" t="str">
        <f>[4]DRT!S36</f>
        <v>29H 81482</v>
      </c>
      <c r="H126" s="276" t="str">
        <f>[4]DRT!D36</f>
        <v>KCN Thạch Thất, Hanoi- KCN VSIP, Bac Ninh</v>
      </c>
      <c r="I126" s="276" t="s">
        <v>241</v>
      </c>
      <c r="J126" s="276" t="str">
        <f>[4]DRT!G36</f>
        <v>1.25T</v>
      </c>
      <c r="K126" s="278" t="str">
        <f>[4]DRT!I36</f>
        <v>1 pallet ;
1 pallet 2 box</v>
      </c>
      <c r="L126" s="280" t="s">
        <v>242</v>
      </c>
      <c r="M126" s="281">
        <f>[4]DRT!L36</f>
        <v>900000</v>
      </c>
      <c r="N126" s="282">
        <f>[4]DRT!M36</f>
        <v>200000</v>
      </c>
      <c r="O126" s="283">
        <f>[4]DRT!N36</f>
        <v>0</v>
      </c>
      <c r="P126" s="283">
        <v>0</v>
      </c>
      <c r="Q126" s="283">
        <f>[4]DRT!P36</f>
        <v>100000</v>
      </c>
      <c r="R126" s="285">
        <f t="shared" si="5"/>
        <v>1200000</v>
      </c>
      <c r="S126" s="275">
        <v>0</v>
      </c>
      <c r="T126" s="285">
        <f t="shared" si="3"/>
        <v>1200000</v>
      </c>
      <c r="U126" s="275"/>
      <c r="V126" s="286" t="str">
        <f>[4]DRT!T36</f>
        <v xml:space="preserve">trả 2 điểm KCN Vsip </v>
      </c>
    </row>
    <row r="127" spans="1:22" s="287" customFormat="1" ht="84" customHeight="1">
      <c r="A127" s="275">
        <v>114</v>
      </c>
      <c r="B127" s="276" t="str">
        <f>[4]DRT!U37</f>
        <v>LG2512/5146</v>
      </c>
      <c r="C127" s="277" t="s">
        <v>240</v>
      </c>
      <c r="D127" s="278" t="str">
        <f>[4]DRT!A37</f>
        <v>17/01/2026</v>
      </c>
      <c r="E127" s="279" t="str">
        <f>[4]DRT!C37</f>
        <v>DREAMTECH</v>
      </c>
      <c r="F127" s="278" t="str">
        <f>[4]DRT!F37</f>
        <v>260117DRTV-13/ 260117DRT-F19</v>
      </c>
      <c r="G127" s="276" t="str">
        <f>[4]DRT!S37</f>
        <v>29H 80353</v>
      </c>
      <c r="H127" s="276" t="str">
        <f>[4]DRT!D37</f>
        <v>KCN Thạch Thất, Hanoi- KCN VSIP, Bac Ninh</v>
      </c>
      <c r="I127" s="276" t="s">
        <v>241</v>
      </c>
      <c r="J127" s="276" t="str">
        <f>[4]DRT!G37</f>
        <v>1.25T</v>
      </c>
      <c r="K127" s="278" t="str">
        <f>[4]DRT!I37</f>
        <v>1 pallet</v>
      </c>
      <c r="L127" s="280" t="s">
        <v>242</v>
      </c>
      <c r="M127" s="281">
        <f>[4]DRT!L37</f>
        <v>900000</v>
      </c>
      <c r="N127" s="282">
        <f>[4]DRT!M37</f>
        <v>200000</v>
      </c>
      <c r="O127" s="283">
        <f>[4]DRT!N37</f>
        <v>0</v>
      </c>
      <c r="P127" s="283">
        <f>[4]DRT!P37</f>
        <v>0</v>
      </c>
      <c r="Q127" s="283">
        <f>[4]DRT!P37</f>
        <v>0</v>
      </c>
      <c r="R127" s="285">
        <f t="shared" si="5"/>
        <v>1100000</v>
      </c>
      <c r="S127" s="275">
        <v>0</v>
      </c>
      <c r="T127" s="285">
        <f t="shared" si="3"/>
        <v>1100000</v>
      </c>
      <c r="U127" s="275"/>
      <c r="V127" s="286">
        <f>[4]DRT!T37</f>
        <v>0</v>
      </c>
    </row>
    <row r="128" spans="1:22" s="287" customFormat="1" ht="84" customHeight="1">
      <c r="A128" s="275">
        <v>115</v>
      </c>
      <c r="B128" s="276" t="str">
        <f>[4]DRT!U38</f>
        <v>LG2512/5147</v>
      </c>
      <c r="C128" s="277" t="s">
        <v>240</v>
      </c>
      <c r="D128" s="278" t="str">
        <f>[4]DRT!A38</f>
        <v>19/01/2026</v>
      </c>
      <c r="E128" s="279" t="str">
        <f>[4]DRT!C38</f>
        <v>DREAMTECH</v>
      </c>
      <c r="F128" s="278" t="str">
        <f>[4]DRT!F38</f>
        <v>260118DRT-F20</v>
      </c>
      <c r="G128" s="276" t="str">
        <f>[4]DRT!S38</f>
        <v>29H 80353</v>
      </c>
      <c r="H128" s="276" t="str">
        <f>[4]DRT!D38</f>
        <v>KCN Thạch Thất, Hanoi- KCN VSIP, Bac Ninh</v>
      </c>
      <c r="I128" s="276" t="s">
        <v>241</v>
      </c>
      <c r="J128" s="276" t="str">
        <f>[4]DRT!G38</f>
        <v>1.25T</v>
      </c>
      <c r="K128" s="278" t="str">
        <f>[4]DRT!I38</f>
        <v>2 thùng</v>
      </c>
      <c r="L128" s="280" t="s">
        <v>242</v>
      </c>
      <c r="M128" s="281">
        <f>[4]DRT!L38</f>
        <v>900000</v>
      </c>
      <c r="N128" s="282">
        <f>[4]DRT!M38</f>
        <v>200000</v>
      </c>
      <c r="O128" s="283">
        <f>[4]DRT!N38</f>
        <v>200000</v>
      </c>
      <c r="P128" s="283">
        <f>[4]DRT!P38</f>
        <v>0</v>
      </c>
      <c r="Q128" s="283">
        <f>[4]DRT!P38</f>
        <v>0</v>
      </c>
      <c r="R128" s="285">
        <f t="shared" si="5"/>
        <v>1300000</v>
      </c>
      <c r="S128" s="275">
        <v>0</v>
      </c>
      <c r="T128" s="285">
        <f t="shared" si="3"/>
        <v>1300000</v>
      </c>
      <c r="U128" s="275"/>
      <c r="V128" s="286" t="str">
        <f>[4]DRT!T38</f>
        <v>Chờ lấy hàng từ 5h  đến 8h</v>
      </c>
    </row>
    <row r="129" spans="1:22" s="287" customFormat="1" ht="84" customHeight="1">
      <c r="A129" s="275">
        <v>116</v>
      </c>
      <c r="B129" s="276" t="str">
        <f>[4]DRT!U39</f>
        <v>LG2512/5148</v>
      </c>
      <c r="C129" s="277" t="s">
        <v>240</v>
      </c>
      <c r="D129" s="278" t="str">
        <f>[4]DRT!A39</f>
        <v>19/01/2026</v>
      </c>
      <c r="E129" s="279" t="str">
        <f>[4]DRT!C39</f>
        <v>DREAMTECH</v>
      </c>
      <c r="F129" s="278" t="str">
        <f>[4]DRT!F39</f>
        <v>260119DRT-F21 (DRT1)
260119DRTV-14 (DRT2) 
260119DRT-F22 (DRT2)</v>
      </c>
      <c r="G129" s="276" t="str">
        <f>[4]DRT!S39</f>
        <v>29E 26074</v>
      </c>
      <c r="H129" s="276" t="str">
        <f>[4]DRT!D39</f>
        <v>KCN Thạch Thất, Hanoi- KCN VSIP, Bac Ninh</v>
      </c>
      <c r="I129" s="276" t="s">
        <v>241</v>
      </c>
      <c r="J129" s="276" t="str">
        <f>[4]DRT!G39</f>
        <v>2.5T</v>
      </c>
      <c r="K129" s="278" t="str">
        <f>[4]DRT!I39</f>
        <v>3 pallet 9 thùng</v>
      </c>
      <c r="L129" s="280" t="s">
        <v>242</v>
      </c>
      <c r="M129" s="281">
        <f>[4]DRT!L39</f>
        <v>1400000</v>
      </c>
      <c r="N129" s="282">
        <f>[4]DRT!M39</f>
        <v>300000</v>
      </c>
      <c r="O129" s="283">
        <f>[4]DRT!N39</f>
        <v>0</v>
      </c>
      <c r="P129" s="283">
        <f>[4]DRT!P39</f>
        <v>0</v>
      </c>
      <c r="Q129" s="283">
        <f>[4]DRT!P39</f>
        <v>0</v>
      </c>
      <c r="R129" s="285">
        <f t="shared" si="5"/>
        <v>1700000</v>
      </c>
      <c r="S129" s="275">
        <v>0</v>
      </c>
      <c r="T129" s="285">
        <f t="shared" si="3"/>
        <v>1700000</v>
      </c>
      <c r="U129" s="275"/>
      <c r="V129" s="286">
        <f>[4]DRT!T39</f>
        <v>0</v>
      </c>
    </row>
    <row r="130" spans="1:22" s="287" customFormat="1" ht="84" customHeight="1">
      <c r="A130" s="275">
        <v>117</v>
      </c>
      <c r="B130" s="276" t="str">
        <f>[4]DRT!U40</f>
        <v>LG2512/5149</v>
      </c>
      <c r="C130" s="277" t="s">
        <v>240</v>
      </c>
      <c r="D130" s="278" t="str">
        <f>[4]DRT!A40</f>
        <v>19/01/2026</v>
      </c>
      <c r="E130" s="279" t="str">
        <f>[4]DRT!C40</f>
        <v>DREAMTECH</v>
      </c>
      <c r="F130" s="278" t="str">
        <f>[4]DRT!F40</f>
        <v>26019DRT-F23</v>
      </c>
      <c r="G130" s="276" t="str">
        <f>[4]DRT!S40</f>
        <v>29H 37799</v>
      </c>
      <c r="H130" s="276" t="str">
        <f>[4]DRT!D40</f>
        <v>KCN Thạch Thất, Hanoi- KCN VSIP, Bac Ninh</v>
      </c>
      <c r="I130" s="276" t="s">
        <v>241</v>
      </c>
      <c r="J130" s="276" t="str">
        <f>[4]DRT!G40</f>
        <v>1.25T</v>
      </c>
      <c r="K130" s="278" t="str">
        <f>[4]DRT!I40</f>
        <v>2 thùng</v>
      </c>
      <c r="L130" s="280" t="s">
        <v>242</v>
      </c>
      <c r="M130" s="281">
        <f>[4]DRT!L40</f>
        <v>900000</v>
      </c>
      <c r="N130" s="282">
        <f>[4]DRT!M40</f>
        <v>200000</v>
      </c>
      <c r="O130" s="283">
        <f>[4]DRT!N40</f>
        <v>250000</v>
      </c>
      <c r="P130" s="283">
        <f>[4]DRT!P40</f>
        <v>0</v>
      </c>
      <c r="Q130" s="283">
        <f>[4]DRT!P40</f>
        <v>0</v>
      </c>
      <c r="R130" s="285">
        <f t="shared" si="5"/>
        <v>1350000</v>
      </c>
      <c r="S130" s="275">
        <v>0</v>
      </c>
      <c r="T130" s="285">
        <f t="shared" si="3"/>
        <v>1350000</v>
      </c>
      <c r="U130" s="275"/>
      <c r="V130" s="286" t="str">
        <f>[4]DRT!T40</f>
        <v>Chờ lấy hàng 22h-&gt;01h30</v>
      </c>
    </row>
    <row r="131" spans="1:22" s="287" customFormat="1" ht="84" customHeight="1">
      <c r="A131" s="275">
        <v>118</v>
      </c>
      <c r="B131" s="276" t="str">
        <f>[4]DRT!U41</f>
        <v>LG2512/5150</v>
      </c>
      <c r="C131" s="277" t="s">
        <v>240</v>
      </c>
      <c r="D131" s="278" t="str">
        <f>[4]DRT!A41</f>
        <v>20/01/2026</v>
      </c>
      <c r="E131" s="279" t="str">
        <f>[4]DRT!C41</f>
        <v>DREAMTECH</v>
      </c>
      <c r="F131" s="278" t="str">
        <f>[4]DRT!F41</f>
        <v>26019DRT-F24</v>
      </c>
      <c r="G131" s="276" t="str">
        <f>[4]DRT!S41</f>
        <v>29H 92126</v>
      </c>
      <c r="H131" s="276" t="str">
        <f>[4]DRT!D41</f>
        <v>KCN Thạch Thất, Hanoi- KCN VSIP, Bac Ninh</v>
      </c>
      <c r="I131" s="276" t="s">
        <v>241</v>
      </c>
      <c r="J131" s="276" t="str">
        <f>[4]DRT!G41</f>
        <v>1.25T</v>
      </c>
      <c r="K131" s="278" t="str">
        <f>[4]DRT!I41</f>
        <v>1 thùng</v>
      </c>
      <c r="L131" s="280" t="s">
        <v>242</v>
      </c>
      <c r="M131" s="281">
        <f>[4]DRT!L41</f>
        <v>900000</v>
      </c>
      <c r="N131" s="282">
        <f>[4]DRT!M41</f>
        <v>200000</v>
      </c>
      <c r="O131" s="283">
        <f>[4]DRT!N41</f>
        <v>250000</v>
      </c>
      <c r="P131" s="283">
        <f>[4]DRT!P41</f>
        <v>0</v>
      </c>
      <c r="Q131" s="283">
        <f>[4]DRT!P41</f>
        <v>0</v>
      </c>
      <c r="R131" s="285">
        <f t="shared" si="5"/>
        <v>1350000</v>
      </c>
      <c r="S131" s="275">
        <v>0</v>
      </c>
      <c r="T131" s="285">
        <f t="shared" si="3"/>
        <v>1350000</v>
      </c>
      <c r="U131" s="275"/>
      <c r="V131" s="286" t="str">
        <f>[4]DRT!T41</f>
        <v>chờ lấy hàng từ 3h đến 6h40</v>
      </c>
    </row>
    <row r="132" spans="1:22" s="287" customFormat="1" ht="84" customHeight="1">
      <c r="A132" s="275">
        <v>119</v>
      </c>
      <c r="B132" s="276" t="str">
        <f>[4]DRT!U42</f>
        <v>LG2512/5151</v>
      </c>
      <c r="C132" s="277" t="s">
        <v>240</v>
      </c>
      <c r="D132" s="278" t="str">
        <f>[4]DRT!A42</f>
        <v>20/01/2026</v>
      </c>
      <c r="E132" s="279" t="str">
        <f>[4]DRT!C42</f>
        <v>DREAMTECH</v>
      </c>
      <c r="F132" s="278" t="str">
        <f>[4]DRT!F42</f>
        <v>260120DRTV-16</v>
      </c>
      <c r="G132" s="276" t="str">
        <f>[4]DRT!S42</f>
        <v>29H 88371</v>
      </c>
      <c r="H132" s="276" t="str">
        <f>[4]DRT!D42</f>
        <v>KCN VSIP, Bac Ninh- KCN Thạch Thất, Hanoi</v>
      </c>
      <c r="I132" s="276" t="s">
        <v>241</v>
      </c>
      <c r="J132" s="276" t="str">
        <f>[4]DRT!G42</f>
        <v>1.25T</v>
      </c>
      <c r="K132" s="278" t="str">
        <f>[4]DRT!I42</f>
        <v>1 pallet</v>
      </c>
      <c r="L132" s="280" t="s">
        <v>242</v>
      </c>
      <c r="M132" s="281">
        <f>[4]DRT!L42</f>
        <v>900000</v>
      </c>
      <c r="N132" s="282">
        <f>[4]DRT!M42</f>
        <v>200000</v>
      </c>
      <c r="O132" s="283">
        <f>[4]DRT!N42</f>
        <v>0</v>
      </c>
      <c r="P132" s="283">
        <v>0</v>
      </c>
      <c r="Q132" s="283">
        <f>[4]DRT!P42</f>
        <v>630000</v>
      </c>
      <c r="R132" s="285">
        <f t="shared" si="5"/>
        <v>1730000</v>
      </c>
      <c r="S132" s="275">
        <v>0</v>
      </c>
      <c r="T132" s="285">
        <f t="shared" si="3"/>
        <v>1730000</v>
      </c>
      <c r="U132" s="275"/>
      <c r="V132" s="286" t="str">
        <f>[4]DRT!T42</f>
        <v>2 chiều</v>
      </c>
    </row>
    <row r="133" spans="1:22" s="287" customFormat="1" ht="84" customHeight="1">
      <c r="A133" s="275">
        <v>120</v>
      </c>
      <c r="B133" s="276" t="str">
        <f>[4]DRT!U43</f>
        <v>LG2512/5152</v>
      </c>
      <c r="C133" s="277" t="s">
        <v>240</v>
      </c>
      <c r="D133" s="278" t="str">
        <f>[4]DRT!A43</f>
        <v>20/01/2026</v>
      </c>
      <c r="E133" s="279" t="str">
        <f>[4]DRT!C43</f>
        <v>DREAMTECH</v>
      </c>
      <c r="F133" s="278" t="str">
        <f>[4]DRT!F43</f>
        <v>260119DRTV-15</v>
      </c>
      <c r="G133" s="276" t="str">
        <f>[4]DRT!S43</f>
        <v>29K 05976</v>
      </c>
      <c r="H133" s="276" t="str">
        <f>[4]DRT!D43</f>
        <v>KCN Thạch Thất, Hanoi- KCN VSIP, Bac Ninh</v>
      </c>
      <c r="I133" s="276" t="s">
        <v>241</v>
      </c>
      <c r="J133" s="276" t="str">
        <f>[4]DRT!G43</f>
        <v>1.25T</v>
      </c>
      <c r="K133" s="278" t="str">
        <f>[4]DRT!I43</f>
        <v>1 thùng</v>
      </c>
      <c r="L133" s="280" t="s">
        <v>242</v>
      </c>
      <c r="M133" s="281">
        <f>[4]DRT!L43</f>
        <v>900000</v>
      </c>
      <c r="N133" s="282">
        <f>[4]DRT!M43</f>
        <v>200000</v>
      </c>
      <c r="O133" s="283">
        <f>[4]DRT!N43</f>
        <v>200000</v>
      </c>
      <c r="P133" s="283">
        <f>[4]DRT!P43</f>
        <v>0</v>
      </c>
      <c r="Q133" s="283">
        <f>[4]DRT!P43</f>
        <v>0</v>
      </c>
      <c r="R133" s="285">
        <f t="shared" si="5"/>
        <v>1300000</v>
      </c>
      <c r="S133" s="275">
        <v>0</v>
      </c>
      <c r="T133" s="285">
        <f t="shared" si="3"/>
        <v>1300000</v>
      </c>
      <c r="U133" s="275"/>
      <c r="V133" s="286" t="str">
        <f>[4]DRT!T43</f>
        <v>chờ lấy hàng từ 21h đến 00h ngày 21/01</v>
      </c>
    </row>
    <row r="134" spans="1:22" s="287" customFormat="1" ht="84" customHeight="1">
      <c r="A134" s="275">
        <v>121</v>
      </c>
      <c r="B134" s="276" t="str">
        <f>[4]DRT!U44</f>
        <v>LG2512/5153</v>
      </c>
      <c r="C134" s="277" t="s">
        <v>240</v>
      </c>
      <c r="D134" s="278" t="str">
        <f>[4]DRT!A44</f>
        <v>20/01/2026</v>
      </c>
      <c r="E134" s="279" t="str">
        <f>[4]DRT!C44</f>
        <v>DREAMTECH</v>
      </c>
      <c r="F134" s="278" t="str">
        <f>[4]DRT!F44</f>
        <v>26020DRT-F25</v>
      </c>
      <c r="G134" s="276" t="str">
        <f>[4]DRT!S44</f>
        <v>29H 76819</v>
      </c>
      <c r="H134" s="276" t="str">
        <f>[4]DRT!D44</f>
        <v>KCN Thạch Thất, Hanoi- KCN VSIP, Bac Ninh</v>
      </c>
      <c r="I134" s="276" t="s">
        <v>241</v>
      </c>
      <c r="J134" s="276" t="str">
        <f>[4]DRT!G44</f>
        <v>1.25T</v>
      </c>
      <c r="K134" s="278" t="str">
        <f>[4]DRT!I44</f>
        <v>7 thùng</v>
      </c>
      <c r="L134" s="280" t="s">
        <v>242</v>
      </c>
      <c r="M134" s="281">
        <f>[4]DRT!L44</f>
        <v>900000</v>
      </c>
      <c r="N134" s="282">
        <f>[4]DRT!M44</f>
        <v>200000</v>
      </c>
      <c r="O134" s="283">
        <f>[4]DRT!N44</f>
        <v>150000</v>
      </c>
      <c r="P134" s="283">
        <v>0</v>
      </c>
      <c r="Q134" s="283">
        <f>[4]DRT!P44</f>
        <v>630000</v>
      </c>
      <c r="R134" s="285">
        <f t="shared" si="5"/>
        <v>1880000</v>
      </c>
      <c r="S134" s="275">
        <v>0</v>
      </c>
      <c r="T134" s="285">
        <f t="shared" si="3"/>
        <v>1880000</v>
      </c>
      <c r="U134" s="275"/>
      <c r="V134" s="286" t="str">
        <f>[4]DRT!T44</f>
        <v>đợi lấy hàng từ 23h tới 01h30 , hàng 2 chiều</v>
      </c>
    </row>
    <row r="135" spans="1:22" s="287" customFormat="1" ht="84" customHeight="1">
      <c r="A135" s="275">
        <v>122</v>
      </c>
      <c r="B135" s="276" t="str">
        <f>[4]DRT!U45</f>
        <v>LG2512/5154</v>
      </c>
      <c r="C135" s="277" t="s">
        <v>240</v>
      </c>
      <c r="D135" s="278" t="str">
        <f>[4]DRT!A45</f>
        <v>21/01/2026</v>
      </c>
      <c r="E135" s="279" t="str">
        <f>[4]DRT!C45</f>
        <v>DREAMTECH</v>
      </c>
      <c r="F135" s="278" t="str">
        <f>[4]DRT!F45</f>
        <v>26020DRT-F26</v>
      </c>
      <c r="G135" s="276" t="str">
        <f>[4]DRT!S45</f>
        <v>29H 27651</v>
      </c>
      <c r="H135" s="276" t="str">
        <f>[4]DRT!D45</f>
        <v>KCN Thạch Thất, Hanoi- KCN VSIP, Bac Ninh</v>
      </c>
      <c r="I135" s="276" t="s">
        <v>241</v>
      </c>
      <c r="J135" s="276" t="str">
        <f>[4]DRT!G45</f>
        <v>1.25T</v>
      </c>
      <c r="K135" s="278" t="str">
        <f>[4]DRT!I45</f>
        <v>5 thùng</v>
      </c>
      <c r="L135" s="280" t="s">
        <v>242</v>
      </c>
      <c r="M135" s="281">
        <f>[4]DRT!L45</f>
        <v>900000</v>
      </c>
      <c r="N135" s="282">
        <f>[4]DRT!M45</f>
        <v>200000</v>
      </c>
      <c r="O135" s="283">
        <f>[4]DRT!N45</f>
        <v>0</v>
      </c>
      <c r="P135" s="283">
        <f>[4]DRT!P45</f>
        <v>0</v>
      </c>
      <c r="Q135" s="283">
        <f>[4]DRT!P45</f>
        <v>0</v>
      </c>
      <c r="R135" s="285">
        <f t="shared" si="5"/>
        <v>1100000</v>
      </c>
      <c r="S135" s="275">
        <v>0</v>
      </c>
      <c r="T135" s="285">
        <f t="shared" si="3"/>
        <v>1100000</v>
      </c>
      <c r="U135" s="275"/>
      <c r="V135" s="286">
        <f>[4]DRT!T45</f>
        <v>0</v>
      </c>
    </row>
    <row r="136" spans="1:22" s="287" customFormat="1" ht="84" customHeight="1">
      <c r="A136" s="275">
        <v>123</v>
      </c>
      <c r="B136" s="276" t="str">
        <f>[4]DRT!U46</f>
        <v>LG2512/5155</v>
      </c>
      <c r="C136" s="277" t="s">
        <v>240</v>
      </c>
      <c r="D136" s="278" t="str">
        <f>[4]DRT!A46</f>
        <v>21/01/2026</v>
      </c>
      <c r="E136" s="279" t="str">
        <f>[4]DRT!C46</f>
        <v>DREAMTECH</v>
      </c>
      <c r="F136" s="278" t="str">
        <f>[4]DRT!F46</f>
        <v>260121DRTV-17
260120DRT-F27</v>
      </c>
      <c r="G136" s="276" t="str">
        <f>[4]DRT!S46</f>
        <v>29H 40756</v>
      </c>
      <c r="H136" s="276" t="str">
        <f>[4]DRT!D46</f>
        <v>KCN Thạch Thất, Hanoi- KCN VSIP, Bac Ninh</v>
      </c>
      <c r="I136" s="276" t="s">
        <v>241</v>
      </c>
      <c r="J136" s="276" t="str">
        <f>[4]DRT!G46</f>
        <v>1.25T</v>
      </c>
      <c r="K136" s="278" t="str">
        <f>[4]DRT!I46</f>
        <v>1 pallet, 3 thùng</v>
      </c>
      <c r="L136" s="280" t="s">
        <v>242</v>
      </c>
      <c r="M136" s="281">
        <f>[4]DRT!L46</f>
        <v>900000</v>
      </c>
      <c r="N136" s="282">
        <f>[4]DRT!M46</f>
        <v>200000</v>
      </c>
      <c r="O136" s="283">
        <f>[4]DRT!N46</f>
        <v>0</v>
      </c>
      <c r="P136" s="283">
        <f>[4]DRT!P46</f>
        <v>0</v>
      </c>
      <c r="Q136" s="283">
        <f>[4]DRT!P46</f>
        <v>0</v>
      </c>
      <c r="R136" s="285">
        <f t="shared" si="5"/>
        <v>1100000</v>
      </c>
      <c r="S136" s="275">
        <v>0</v>
      </c>
      <c r="T136" s="285">
        <f t="shared" si="3"/>
        <v>1100000</v>
      </c>
      <c r="U136" s="275"/>
      <c r="V136" s="286">
        <f>[4]DRT!T46</f>
        <v>0</v>
      </c>
    </row>
    <row r="137" spans="1:22" s="287" customFormat="1" ht="84" customHeight="1">
      <c r="A137" s="275">
        <v>124</v>
      </c>
      <c r="B137" s="276" t="str">
        <f>[4]DRT!U47</f>
        <v>LG2512/5156</v>
      </c>
      <c r="C137" s="277" t="s">
        <v>240</v>
      </c>
      <c r="D137" s="278" t="str">
        <f>[4]DRT!A47</f>
        <v>21/01/2026</v>
      </c>
      <c r="E137" s="279" t="str">
        <f>[4]DRT!C47</f>
        <v>DREAMTECH</v>
      </c>
      <c r="F137" s="278" t="str">
        <f>[4]DRT!F47</f>
        <v>260121DRT-F28 
260121DRT-F29</v>
      </c>
      <c r="G137" s="276" t="str">
        <f>[4]DRT!S47</f>
        <v>29H 37799</v>
      </c>
      <c r="H137" s="276" t="str">
        <f>[4]DRT!D47</f>
        <v>KCN Thạch Thất, Hanoi- KCN VSIP, Bac Ninh</v>
      </c>
      <c r="I137" s="276" t="s">
        <v>241</v>
      </c>
      <c r="J137" s="276" t="str">
        <f>[4]DRT!G47</f>
        <v>1.25T</v>
      </c>
      <c r="K137" s="278" t="str">
        <f>[4]DRT!I47</f>
        <v>13 thùng</v>
      </c>
      <c r="L137" s="280" t="s">
        <v>242</v>
      </c>
      <c r="M137" s="281">
        <f>[4]DRT!L47</f>
        <v>900000</v>
      </c>
      <c r="N137" s="282">
        <f>[4]DRT!M47</f>
        <v>200000</v>
      </c>
      <c r="O137" s="283">
        <f>[4]DRT!N47</f>
        <v>0</v>
      </c>
      <c r="P137" s="283">
        <f>[4]DRT!P47</f>
        <v>0</v>
      </c>
      <c r="Q137" s="283">
        <f>[4]DRT!P47</f>
        <v>0</v>
      </c>
      <c r="R137" s="285">
        <f t="shared" si="5"/>
        <v>1100000</v>
      </c>
      <c r="S137" s="275">
        <v>0</v>
      </c>
      <c r="T137" s="285">
        <f t="shared" si="3"/>
        <v>1100000</v>
      </c>
      <c r="U137" s="275"/>
      <c r="V137" s="286">
        <f>[4]DRT!T47</f>
        <v>0</v>
      </c>
    </row>
    <row r="138" spans="1:22" s="287" customFormat="1" ht="84" customHeight="1">
      <c r="A138" s="275">
        <v>125</v>
      </c>
      <c r="B138" s="276" t="str">
        <f>[4]DRT!U48</f>
        <v>LG2512/5157</v>
      </c>
      <c r="C138" s="277" t="s">
        <v>240</v>
      </c>
      <c r="D138" s="278" t="str">
        <f>[4]DRT!A48</f>
        <v>22/01/2026</v>
      </c>
      <c r="E138" s="279" t="str">
        <f>[4]DRT!C48</f>
        <v>DREAMTECH</v>
      </c>
      <c r="F138" s="278" t="str">
        <f>[4]DRT!F48</f>
        <v>260121DRT-F30</v>
      </c>
      <c r="G138" s="276" t="str">
        <f>[4]DRT!S48</f>
        <v>29C 99471</v>
      </c>
      <c r="H138" s="276" t="str">
        <f>[4]DRT!D48</f>
        <v>KCN Thạch Thất, Hanoi- KCN VSIP, Bac Ninh</v>
      </c>
      <c r="I138" s="276" t="s">
        <v>241</v>
      </c>
      <c r="J138" s="276" t="str">
        <f>[4]DRT!G48</f>
        <v>1.25T</v>
      </c>
      <c r="K138" s="278" t="str">
        <f>[4]DRT!I48</f>
        <v>6 thùng</v>
      </c>
      <c r="L138" s="280" t="s">
        <v>242</v>
      </c>
      <c r="M138" s="281">
        <f>[4]DRT!L48</f>
        <v>900000</v>
      </c>
      <c r="N138" s="282">
        <f>[4]DRT!M48</f>
        <v>200000</v>
      </c>
      <c r="O138" s="283">
        <f>[4]DRT!N48</f>
        <v>200000</v>
      </c>
      <c r="P138" s="283">
        <f>[4]DRT!P48</f>
        <v>0</v>
      </c>
      <c r="Q138" s="283">
        <f>[4]DRT!P48</f>
        <v>0</v>
      </c>
      <c r="R138" s="285">
        <f t="shared" si="5"/>
        <v>1300000</v>
      </c>
      <c r="S138" s="275">
        <v>0</v>
      </c>
      <c r="T138" s="285">
        <f t="shared" si="3"/>
        <v>1300000</v>
      </c>
      <c r="U138" s="275"/>
      <c r="V138" s="286" t="str">
        <f>[4]DRT!T48</f>
        <v>chờ lấy hàng từ 6h đến 9h10</v>
      </c>
    </row>
    <row r="139" spans="1:22" s="287" customFormat="1" ht="84" customHeight="1">
      <c r="A139" s="275">
        <v>126</v>
      </c>
      <c r="B139" s="276" t="str">
        <f>[4]DRT!U49</f>
        <v>LG2512/5158</v>
      </c>
      <c r="C139" s="277" t="s">
        <v>240</v>
      </c>
      <c r="D139" s="278" t="str">
        <f>[4]DRT!A49</f>
        <v>22/01/2026</v>
      </c>
      <c r="E139" s="279" t="str">
        <f>[4]DRT!C49</f>
        <v>DREAMTECH</v>
      </c>
      <c r="F139" s="278" t="str">
        <f>[4]DRT!F49</f>
        <v>260122DRT-F31 (DRT1)
260122DRT-F32 (DRT2)</v>
      </c>
      <c r="G139" s="276" t="str">
        <f>[4]DRT!S49</f>
        <v>29H 70769</v>
      </c>
      <c r="H139" s="276" t="str">
        <f>[4]DRT!D49</f>
        <v>KCN Thạch Thất, Hanoi- KCN VSIP, Bac Ninh</v>
      </c>
      <c r="I139" s="276" t="s">
        <v>241</v>
      </c>
      <c r="J139" s="276" t="str">
        <f>[4]DRT!G49</f>
        <v>1.25T</v>
      </c>
      <c r="K139" s="278" t="str">
        <f>[4]DRT!I49</f>
        <v>9 thùng</v>
      </c>
      <c r="L139" s="280" t="s">
        <v>242</v>
      </c>
      <c r="M139" s="281">
        <f>[4]DRT!L49</f>
        <v>900000</v>
      </c>
      <c r="N139" s="282">
        <f>[4]DRT!M49</f>
        <v>200000</v>
      </c>
      <c r="O139" s="283">
        <f>[4]DRT!N49</f>
        <v>0</v>
      </c>
      <c r="P139" s="283">
        <v>0</v>
      </c>
      <c r="Q139" s="283">
        <f>[4]DRT!P49</f>
        <v>100000</v>
      </c>
      <c r="R139" s="285">
        <f t="shared" si="5"/>
        <v>1200000</v>
      </c>
      <c r="S139" s="275">
        <v>0</v>
      </c>
      <c r="T139" s="285">
        <f t="shared" si="3"/>
        <v>1200000</v>
      </c>
      <c r="U139" s="275"/>
      <c r="V139" s="286" t="str">
        <f>[4]DRT!T49</f>
        <v xml:space="preserve">trả 2 điểm KCN Vsip </v>
      </c>
    </row>
    <row r="140" spans="1:22" s="287" customFormat="1" ht="84" customHeight="1">
      <c r="A140" s="261">
        <v>127</v>
      </c>
      <c r="B140" s="262" t="str">
        <f>[4]DRT!U50</f>
        <v>LG2512/5159</v>
      </c>
      <c r="C140" s="263" t="s">
        <v>240</v>
      </c>
      <c r="D140" s="264" t="str">
        <f>[4]DRT!A50</f>
        <v>22/01/2026</v>
      </c>
      <c r="E140" s="265" t="str">
        <f>[4]DRT!C50</f>
        <v>DREAMTECH</v>
      </c>
      <c r="F140" s="264" t="str">
        <f>[4]DRT!F50</f>
        <v>260122DRTV-18 
260122DRT-F33</v>
      </c>
      <c r="G140" s="262" t="str">
        <f>[4]DRT!S50</f>
        <v>29H 16885</v>
      </c>
      <c r="H140" s="262" t="str">
        <f>[4]DRT!D50</f>
        <v>KCN Thạch Thất, Hanoi- KCN VSIP, Bac Ninh</v>
      </c>
      <c r="I140" s="262" t="s">
        <v>241</v>
      </c>
      <c r="J140" s="262" t="str">
        <f>[4]DRT!G50</f>
        <v>1.25T</v>
      </c>
      <c r="K140" s="264" t="str">
        <f>[4]DRT!I50</f>
        <v>1 pallet 2 thùng</v>
      </c>
      <c r="L140" s="266" t="s">
        <v>242</v>
      </c>
      <c r="M140" s="267">
        <f>[4]DRT!L50</f>
        <v>900000</v>
      </c>
      <c r="N140" s="268">
        <f>[4]DRT!M50</f>
        <v>200000</v>
      </c>
      <c r="O140" s="269">
        <f>[4]DRT!N50</f>
        <v>150000</v>
      </c>
      <c r="P140" s="269">
        <f>[4]DRT!P50</f>
        <v>0</v>
      </c>
      <c r="Q140" s="269">
        <f>[4]DRT!P50</f>
        <v>0</v>
      </c>
      <c r="R140" s="271">
        <f t="shared" si="5"/>
        <v>1250000</v>
      </c>
      <c r="S140" s="261">
        <v>0</v>
      </c>
      <c r="T140" s="271">
        <f t="shared" si="3"/>
        <v>1250000</v>
      </c>
      <c r="U140" s="261"/>
      <c r="V140" s="288" t="str">
        <f>[4]DRT!T50</f>
        <v xml:space="preserve">Chờ lấy hàng 15:00----&gt;17:30 </v>
      </c>
    </row>
    <row r="141" spans="1:22" s="287" customFormat="1" ht="84" customHeight="1">
      <c r="A141" s="261">
        <v>128</v>
      </c>
      <c r="B141" s="262" t="str">
        <f>[4]DRT!U51</f>
        <v>LG2512/5160</v>
      </c>
      <c r="C141" s="263" t="s">
        <v>240</v>
      </c>
      <c r="D141" s="264" t="str">
        <f>[4]DRT!A51</f>
        <v>22/01/2026</v>
      </c>
      <c r="E141" s="265" t="str">
        <f>[4]DRT!C51</f>
        <v>DREAMTECH</v>
      </c>
      <c r="F141" s="264" t="str">
        <f>[4]DRT!F51</f>
        <v>260122DRT-F34 (DRT1)
260122DRT-F35 (DRT2)</v>
      </c>
      <c r="G141" s="262" t="str">
        <f>[4]DRT!S51</f>
        <v>29H 37799</v>
      </c>
      <c r="H141" s="262" t="str">
        <f>[4]DRT!D51</f>
        <v>KCN Thạch Thất, Hanoi- KCN VSIP, Bac Ninh</v>
      </c>
      <c r="I141" s="262" t="s">
        <v>241</v>
      </c>
      <c r="J141" s="262" t="str">
        <f>[4]DRT!G51</f>
        <v>1.25T</v>
      </c>
      <c r="K141" s="264" t="str">
        <f>[4]DRT!I51</f>
        <v>2 pallet 1 thùng</v>
      </c>
      <c r="L141" s="266" t="s">
        <v>242</v>
      </c>
      <c r="M141" s="267">
        <f>[4]DRT!L51</f>
        <v>900000</v>
      </c>
      <c r="N141" s="268">
        <f>[4]DRT!M51</f>
        <v>200000</v>
      </c>
      <c r="O141" s="269">
        <f>[4]DRT!N51</f>
        <v>100000</v>
      </c>
      <c r="P141" s="269">
        <v>0</v>
      </c>
      <c r="Q141" s="269">
        <f>[4]DRT!P51</f>
        <v>100000</v>
      </c>
      <c r="R141" s="271">
        <f t="shared" si="5"/>
        <v>1300000</v>
      </c>
      <c r="S141" s="261">
        <v>0</v>
      </c>
      <c r="T141" s="271">
        <f t="shared" si="3"/>
        <v>1300000</v>
      </c>
      <c r="U141" s="261"/>
      <c r="V141" s="288" t="str">
        <f>[4]DRT!T51</f>
        <v xml:space="preserve"> trả 2 điểm KCN Vsip BN , Chờ trả 23h30-&gt;1h30</v>
      </c>
    </row>
    <row r="142" spans="1:22" s="287" customFormat="1" ht="84" customHeight="1">
      <c r="A142" s="261">
        <v>129</v>
      </c>
      <c r="B142" s="262" t="str">
        <f>[4]DRT!U52</f>
        <v>LG2512/5161</v>
      </c>
      <c r="C142" s="263" t="s">
        <v>240</v>
      </c>
      <c r="D142" s="264" t="str">
        <f>[4]DRT!A52</f>
        <v>23/01/2026</v>
      </c>
      <c r="E142" s="265" t="str">
        <f>[4]DRT!C52</f>
        <v>DREAMTECH</v>
      </c>
      <c r="F142" s="264" t="str">
        <f>[4]DRT!F52</f>
        <v>260123DRTV-19 
260123DRT-F36</v>
      </c>
      <c r="G142" s="262" t="str">
        <f>[4]DRT!S52</f>
        <v>29H 80353</v>
      </c>
      <c r="H142" s="262" t="str">
        <f>[4]DRT!D52</f>
        <v>KCN Thạch Thất, Hanoi- KCN VSIP, Bac Ninh</v>
      </c>
      <c r="I142" s="262" t="s">
        <v>241</v>
      </c>
      <c r="J142" s="262" t="str">
        <f>[4]DRT!G52</f>
        <v>1.25T</v>
      </c>
      <c r="K142" s="264" t="str">
        <f>[4]DRT!I52</f>
        <v>1 pallet 3 thùng</v>
      </c>
      <c r="L142" s="266" t="s">
        <v>242</v>
      </c>
      <c r="M142" s="267">
        <f>[4]DRT!L52</f>
        <v>900000</v>
      </c>
      <c r="N142" s="268">
        <f>[4]DRT!M52</f>
        <v>200000</v>
      </c>
      <c r="O142" s="269">
        <f>[4]DRT!N52</f>
        <v>0</v>
      </c>
      <c r="P142" s="269">
        <f>[4]DRT!P52</f>
        <v>0</v>
      </c>
      <c r="Q142" s="269">
        <f>[4]DRT!P52</f>
        <v>0</v>
      </c>
      <c r="R142" s="271">
        <f t="shared" si="5"/>
        <v>1100000</v>
      </c>
      <c r="S142" s="261">
        <v>0</v>
      </c>
      <c r="T142" s="271">
        <f t="shared" si="3"/>
        <v>1100000</v>
      </c>
      <c r="U142" s="261"/>
      <c r="V142" s="288" t="str">
        <f>[4]DRT!T52</f>
        <v>2 chiều</v>
      </c>
    </row>
    <row r="143" spans="1:22" s="287" customFormat="1" ht="84" customHeight="1">
      <c r="A143" s="261">
        <v>130</v>
      </c>
      <c r="B143" s="262" t="str">
        <f>[4]DRT!U53</f>
        <v>LG2512/5162</v>
      </c>
      <c r="C143" s="263" t="s">
        <v>240</v>
      </c>
      <c r="D143" s="264" t="str">
        <f>[4]DRT!A53</f>
        <v>24/01/2026</v>
      </c>
      <c r="E143" s="265" t="str">
        <f>[4]DRT!C53</f>
        <v>DREAMTECH</v>
      </c>
      <c r="F143" s="264" t="str">
        <f>[4]DRT!F53</f>
        <v>260123DRT-F37 (DRT1)
260123DRTV-20 (DRT2)</v>
      </c>
      <c r="G143" s="262" t="str">
        <f>[4]DRT!S53</f>
        <v>29H 92126</v>
      </c>
      <c r="H143" s="262" t="str">
        <f>[4]DRT!D53</f>
        <v>KCN Thạch Thất, Hanoi- KCN VSIP, Bac Ninh</v>
      </c>
      <c r="I143" s="262" t="s">
        <v>241</v>
      </c>
      <c r="J143" s="262" t="str">
        <f>[4]DRT!G53</f>
        <v>1.25T</v>
      </c>
      <c r="K143" s="264" t="str">
        <f>[4]DRT!I53</f>
        <v>10 thùng</v>
      </c>
      <c r="L143" s="266" t="s">
        <v>242</v>
      </c>
      <c r="M143" s="267">
        <f>[4]DRT!L53</f>
        <v>900000</v>
      </c>
      <c r="N143" s="268">
        <f>[4]DRT!M53</f>
        <v>200000</v>
      </c>
      <c r="O143" s="269">
        <f>[4]DRT!N53</f>
        <v>400000</v>
      </c>
      <c r="P143" s="269">
        <f>[4]DRT!P53</f>
        <v>0</v>
      </c>
      <c r="Q143" s="269">
        <f>[4]DRT!P53</f>
        <v>0</v>
      </c>
      <c r="R143" s="271">
        <f t="shared" si="5"/>
        <v>1500000</v>
      </c>
      <c r="S143" s="261">
        <v>0</v>
      </c>
      <c r="T143" s="271">
        <f t="shared" ref="T143:T203" si="6">R143+S143</f>
        <v>1500000</v>
      </c>
      <c r="U143" s="261"/>
      <c r="V143" s="288" t="str">
        <f>[4]DRT!T53</f>
        <v>chờ lấy  hàng tư 6h đến 11h20</v>
      </c>
    </row>
    <row r="144" spans="1:22" s="287" customFormat="1" ht="84" customHeight="1">
      <c r="A144" s="261">
        <v>131</v>
      </c>
      <c r="B144" s="262" t="str">
        <f>[4]DRT!U54</f>
        <v>LG2512/5163</v>
      </c>
      <c r="C144" s="263" t="s">
        <v>240</v>
      </c>
      <c r="D144" s="264" t="str">
        <f>[4]DRT!A54</f>
        <v>24/01/2026</v>
      </c>
      <c r="E144" s="265" t="str">
        <f>[4]DRT!C54</f>
        <v>DREAMTECH</v>
      </c>
      <c r="F144" s="264" t="str">
        <f>[4]DRT!F54</f>
        <v>260124DRT-F38
260123DRTV-21</v>
      </c>
      <c r="G144" s="262" t="str">
        <f>[4]DRT!S54</f>
        <v>29H 81494</v>
      </c>
      <c r="H144" s="262" t="str">
        <f>[4]DRT!D54</f>
        <v>KCN Thạch Thất, Hanoi- KCN VSIP, Bac Ninh</v>
      </c>
      <c r="I144" s="262" t="s">
        <v>241</v>
      </c>
      <c r="J144" s="262" t="str">
        <f>[4]DRT!G54</f>
        <v>1.25T</v>
      </c>
      <c r="K144" s="264" t="str">
        <f>[4]DRT!I54</f>
        <v>7 thùng</v>
      </c>
      <c r="L144" s="266" t="s">
        <v>242</v>
      </c>
      <c r="M144" s="267">
        <f>[4]DRT!L54</f>
        <v>900000</v>
      </c>
      <c r="N144" s="268">
        <f>[4]DRT!M54</f>
        <v>200000</v>
      </c>
      <c r="O144" s="269">
        <f>[4]DRT!N54</f>
        <v>0</v>
      </c>
      <c r="P144" s="269">
        <f>[4]DRT!P54</f>
        <v>0</v>
      </c>
      <c r="Q144" s="269">
        <f>[4]DRT!P54</f>
        <v>0</v>
      </c>
      <c r="R144" s="271">
        <f t="shared" si="5"/>
        <v>1100000</v>
      </c>
      <c r="S144" s="261">
        <v>0</v>
      </c>
      <c r="T144" s="271">
        <f t="shared" si="6"/>
        <v>1100000</v>
      </c>
      <c r="U144" s="261"/>
      <c r="V144" s="288">
        <f>[4]DRT!T54</f>
        <v>0</v>
      </c>
    </row>
    <row r="145" spans="1:22" s="287" customFormat="1" ht="84" customHeight="1">
      <c r="A145" s="261">
        <v>132</v>
      </c>
      <c r="B145" s="262" t="str">
        <f>[4]DRT!U55</f>
        <v>LG2512/5164</v>
      </c>
      <c r="C145" s="263" t="s">
        <v>240</v>
      </c>
      <c r="D145" s="264" t="str">
        <f>[4]DRT!A55</f>
        <v>24/01/2026</v>
      </c>
      <c r="E145" s="265" t="str">
        <f>[4]DRT!C55</f>
        <v>DREAMTECH</v>
      </c>
      <c r="F145" s="264" t="str">
        <f>[4]DRT!F55</f>
        <v>260124DRT-F39 (DRT1)
260124DRTV-22 (DRT2) 
260124DRT-F40 (DRT2)</v>
      </c>
      <c r="G145" s="262" t="str">
        <f>[4]DRT!S55</f>
        <v>29H 88337</v>
      </c>
      <c r="H145" s="262" t="str">
        <f>[4]DRT!D55</f>
        <v>KCN Thạch Thất, Hanoi- KCN VSIP, Bac Ninh</v>
      </c>
      <c r="I145" s="262" t="s">
        <v>241</v>
      </c>
      <c r="J145" s="262" t="str">
        <f>[4]DRT!G55</f>
        <v>1.25T</v>
      </c>
      <c r="K145" s="264" t="str">
        <f>[4]DRT!I55</f>
        <v>8 thùng
2 pallets</v>
      </c>
      <c r="L145" s="266" t="s">
        <v>242</v>
      </c>
      <c r="M145" s="267">
        <f>[4]DRT!L55</f>
        <v>900000</v>
      </c>
      <c r="N145" s="268">
        <f>[4]DRT!M55</f>
        <v>200000</v>
      </c>
      <c r="O145" s="269">
        <f>[4]DRT!N55</f>
        <v>0</v>
      </c>
      <c r="P145" s="269">
        <v>0</v>
      </c>
      <c r="Q145" s="269">
        <f>[4]DRT!P55</f>
        <v>100000</v>
      </c>
      <c r="R145" s="271">
        <f t="shared" si="5"/>
        <v>1200000</v>
      </c>
      <c r="S145" s="261">
        <v>0</v>
      </c>
      <c r="T145" s="271">
        <f t="shared" si="6"/>
        <v>1200000</v>
      </c>
      <c r="U145" s="261"/>
      <c r="V145" s="288" t="str">
        <f>[4]DRT!T55</f>
        <v>trả 2 điểm kcn visip</v>
      </c>
    </row>
    <row r="146" spans="1:22" s="287" customFormat="1" ht="84" customHeight="1" thickBot="1">
      <c r="A146" s="289">
        <v>133</v>
      </c>
      <c r="B146" s="262" t="str">
        <f>[4]DRT!U56</f>
        <v>LG2512/5165</v>
      </c>
      <c r="C146" s="263" t="s">
        <v>240</v>
      </c>
      <c r="D146" s="264" t="str">
        <f>[4]DRT!A56</f>
        <v>25/01/2026</v>
      </c>
      <c r="E146" s="265" t="str">
        <f>[4]DRT!C56</f>
        <v>DREAMTECH</v>
      </c>
      <c r="F146" s="264" t="str">
        <f>[4]DRT!F56</f>
        <v>260125DRTV-23</v>
      </c>
      <c r="G146" s="262" t="str">
        <f>[4]DRT!S56</f>
        <v>29H 83575</v>
      </c>
      <c r="H146" s="262" t="str">
        <f>[4]DRT!D56</f>
        <v>KCN Thạch Thất, Hanoi- KCN VSIP, Bac Ninh</v>
      </c>
      <c r="I146" s="262" t="s">
        <v>241</v>
      </c>
      <c r="J146" s="262" t="str">
        <f>[4]DRT!G56</f>
        <v>1.25T</v>
      </c>
      <c r="K146" s="264" t="str">
        <f>[4]DRT!I56</f>
        <v>8 thùng</v>
      </c>
      <c r="L146" s="266" t="s">
        <v>242</v>
      </c>
      <c r="M146" s="267">
        <f>[4]DRT!L56</f>
        <v>900000</v>
      </c>
      <c r="N146" s="268">
        <f>[4]DRT!M56</f>
        <v>200000</v>
      </c>
      <c r="O146" s="269">
        <f>[4]DRT!N56</f>
        <v>0</v>
      </c>
      <c r="P146" s="269">
        <f>[4]DRT!P56</f>
        <v>0</v>
      </c>
      <c r="Q146" s="269">
        <f>[4]DRT!P56</f>
        <v>0</v>
      </c>
      <c r="R146" s="271">
        <f t="shared" si="5"/>
        <v>1100000</v>
      </c>
      <c r="S146" s="261">
        <v>0</v>
      </c>
      <c r="T146" s="271">
        <f t="shared" si="6"/>
        <v>1100000</v>
      </c>
      <c r="U146" s="261"/>
      <c r="V146" s="290">
        <f>[4]DRT!T56</f>
        <v>0</v>
      </c>
    </row>
    <row r="147" spans="1:22" s="23" customFormat="1" ht="71" customHeight="1" thickBot="1">
      <c r="A147" s="291"/>
      <c r="B147" s="292"/>
      <c r="C147" s="292"/>
      <c r="D147" s="293"/>
      <c r="E147" s="293"/>
      <c r="F147" s="294" t="s">
        <v>19</v>
      </c>
      <c r="G147" s="295"/>
      <c r="H147" s="295"/>
      <c r="I147" s="295"/>
      <c r="J147" s="296"/>
      <c r="K147" s="297"/>
      <c r="L147" s="297"/>
      <c r="M147" s="297">
        <f>SUM(M14:M146)</f>
        <v>140218000</v>
      </c>
      <c r="N147" s="297">
        <f t="shared" ref="N147:U147" si="7">SUM(N14:N146)</f>
        <v>26810000</v>
      </c>
      <c r="O147" s="297">
        <f t="shared" si="7"/>
        <v>9559000</v>
      </c>
      <c r="P147" s="297">
        <f t="shared" si="7"/>
        <v>0</v>
      </c>
      <c r="Q147" s="297">
        <f t="shared" si="7"/>
        <v>4675000</v>
      </c>
      <c r="R147" s="297">
        <f t="shared" si="7"/>
        <v>181262000</v>
      </c>
      <c r="S147" s="297">
        <f t="shared" si="7"/>
        <v>0</v>
      </c>
      <c r="T147" s="297">
        <f t="shared" si="7"/>
        <v>181262000</v>
      </c>
      <c r="U147" s="297">
        <f t="shared" si="7"/>
        <v>0</v>
      </c>
      <c r="V147" s="298"/>
    </row>
    <row r="148" spans="1:22">
      <c r="D148" s="25"/>
      <c r="E148" s="25"/>
      <c r="G148" s="27"/>
      <c r="H148" s="27"/>
      <c r="I148" s="27"/>
      <c r="J148" s="28"/>
      <c r="K148" s="3"/>
      <c r="L148" s="3"/>
      <c r="M148" s="29"/>
    </row>
    <row r="149" spans="1:22" s="24" customFormat="1" ht="29.25" customHeight="1">
      <c r="B149" s="185" t="s">
        <v>20</v>
      </c>
      <c r="C149" s="185"/>
      <c r="D149" s="185"/>
      <c r="E149" s="32"/>
      <c r="F149" s="33"/>
      <c r="G149" s="22"/>
      <c r="H149" s="22"/>
      <c r="I149" s="22"/>
      <c r="J149" s="34"/>
      <c r="K149" s="3"/>
      <c r="L149" s="3"/>
      <c r="M149" s="35"/>
      <c r="N149" s="300"/>
      <c r="O149" s="301"/>
      <c r="P149" s="302"/>
      <c r="Q149" s="303" t="s">
        <v>0</v>
      </c>
      <c r="R149" s="303"/>
      <c r="S149" s="303"/>
      <c r="T149" s="303"/>
      <c r="U149" s="303"/>
      <c r="V149" s="303"/>
    </row>
    <row r="150" spans="1:22">
      <c r="D150" s="5"/>
      <c r="E150" s="5"/>
      <c r="F150" s="36"/>
      <c r="G150" s="22"/>
      <c r="H150" s="22"/>
      <c r="I150" s="22"/>
      <c r="J150" s="37"/>
      <c r="K150" s="21"/>
      <c r="L150" s="21"/>
      <c r="M150" s="38"/>
      <c r="O150" s="5"/>
      <c r="R150" s="27"/>
      <c r="S150" s="27"/>
      <c r="T150" s="27"/>
      <c r="U150" s="27"/>
      <c r="V150" s="5"/>
    </row>
    <row r="151" spans="1:22">
      <c r="D151" s="5"/>
      <c r="E151" s="5"/>
      <c r="F151" s="36"/>
      <c r="G151" s="22"/>
      <c r="H151" s="22"/>
      <c r="I151" s="22"/>
      <c r="J151" s="37"/>
      <c r="K151" s="21"/>
      <c r="L151" s="21"/>
      <c r="M151" s="38"/>
      <c r="O151" s="5"/>
      <c r="R151" s="27"/>
      <c r="S151" s="27"/>
      <c r="T151" s="27"/>
      <c r="U151" s="27"/>
      <c r="V151" s="5"/>
    </row>
    <row r="152" spans="1:22">
      <c r="D152" s="5"/>
      <c r="E152" s="5"/>
      <c r="F152" s="36"/>
      <c r="G152" s="22"/>
      <c r="H152" s="22"/>
      <c r="I152" s="22"/>
      <c r="J152" s="37"/>
      <c r="K152" s="21"/>
      <c r="L152" s="21"/>
      <c r="M152" s="38"/>
      <c r="O152" s="5"/>
      <c r="R152" s="27"/>
      <c r="S152" s="27"/>
      <c r="T152" s="27"/>
      <c r="U152" s="27"/>
      <c r="V152" s="5"/>
    </row>
    <row r="153" spans="1:22">
      <c r="D153" s="5"/>
      <c r="E153" s="5"/>
      <c r="F153" s="36"/>
      <c r="G153" s="22"/>
      <c r="H153" s="22"/>
      <c r="I153" s="22"/>
      <c r="J153" s="37"/>
      <c r="K153" s="21"/>
      <c r="L153" s="21"/>
      <c r="M153" s="38"/>
      <c r="O153" s="5"/>
      <c r="R153" s="27"/>
      <c r="S153" s="27"/>
      <c r="T153" s="27"/>
      <c r="U153" s="27"/>
      <c r="V153" s="5"/>
    </row>
    <row r="154" spans="1:22">
      <c r="D154" s="5"/>
      <c r="E154" s="5"/>
      <c r="F154" s="36"/>
      <c r="G154" s="22"/>
      <c r="H154" s="22"/>
      <c r="I154" s="22"/>
      <c r="J154" s="37"/>
      <c r="K154" s="21"/>
      <c r="L154" s="21"/>
      <c r="M154" s="38"/>
      <c r="O154" s="5"/>
      <c r="R154" s="27"/>
      <c r="S154" s="27"/>
      <c r="T154" s="27"/>
      <c r="U154" s="27"/>
      <c r="V154" s="5"/>
    </row>
    <row r="155" spans="1:22">
      <c r="D155" s="5"/>
      <c r="E155" s="5"/>
      <c r="F155" s="36"/>
      <c r="G155" s="22"/>
      <c r="H155" s="22"/>
      <c r="I155" s="22"/>
      <c r="J155" s="37"/>
      <c r="K155" s="21"/>
      <c r="L155" s="21"/>
      <c r="M155" s="38"/>
      <c r="O155" s="5"/>
      <c r="R155" s="27"/>
      <c r="S155" s="27"/>
      <c r="T155" s="27"/>
      <c r="U155" s="27"/>
      <c r="V155" s="5"/>
    </row>
    <row r="156" spans="1:22">
      <c r="D156" s="5"/>
      <c r="E156" s="5"/>
      <c r="F156" s="36"/>
      <c r="G156" s="22"/>
      <c r="H156" s="22"/>
      <c r="I156" s="22"/>
      <c r="J156" s="37"/>
      <c r="K156" s="21"/>
      <c r="L156" s="21"/>
      <c r="M156" s="38"/>
      <c r="O156" s="5"/>
      <c r="R156" s="27"/>
      <c r="S156" s="27"/>
      <c r="T156" s="27"/>
      <c r="U156" s="27"/>
      <c r="V156" s="5"/>
    </row>
    <row r="157" spans="1:22">
      <c r="D157" s="5"/>
      <c r="E157" s="5"/>
      <c r="F157" s="36"/>
      <c r="G157" s="22"/>
      <c r="H157" s="22"/>
      <c r="I157" s="22"/>
      <c r="J157" s="37"/>
      <c r="K157" s="21"/>
      <c r="L157" s="21"/>
      <c r="M157" s="38"/>
      <c r="O157" s="5"/>
      <c r="R157" s="27"/>
      <c r="S157" s="27"/>
      <c r="T157" s="27"/>
      <c r="U157" s="27"/>
      <c r="V157" s="5"/>
    </row>
    <row r="158" spans="1:22" s="228" customFormat="1" ht="19.399999999999999" customHeight="1">
      <c r="A158" s="304" t="s">
        <v>21</v>
      </c>
      <c r="B158" s="304"/>
      <c r="C158" s="304"/>
      <c r="D158" s="2"/>
      <c r="E158" s="2"/>
      <c r="F158" s="305"/>
      <c r="G158" s="2"/>
      <c r="H158" s="2"/>
      <c r="I158" s="2"/>
      <c r="J158" s="2"/>
      <c r="K158" s="222"/>
      <c r="L158" s="222"/>
      <c r="M158" s="306"/>
      <c r="N158" s="307"/>
      <c r="P158" s="308"/>
      <c r="Q158" s="308"/>
    </row>
    <row r="159" spans="1:22" s="228" customFormat="1" ht="19.399999999999999" customHeight="1">
      <c r="A159" s="309" t="s">
        <v>22</v>
      </c>
      <c r="B159" s="309"/>
      <c r="C159" s="310" t="s">
        <v>23</v>
      </c>
      <c r="D159" s="310"/>
      <c r="E159" s="310"/>
      <c r="F159" s="305"/>
      <c r="J159" s="311"/>
      <c r="K159" s="312"/>
      <c r="L159" s="312"/>
      <c r="M159" s="313"/>
      <c r="N159" s="307"/>
      <c r="P159" s="308"/>
      <c r="Q159" s="308"/>
    </row>
    <row r="160" spans="1:22" s="228" customFormat="1" ht="19.399999999999999" customHeight="1">
      <c r="A160" s="309" t="s">
        <v>24</v>
      </c>
      <c r="B160" s="309"/>
      <c r="C160" s="310">
        <v>346886</v>
      </c>
      <c r="D160" s="310"/>
      <c r="E160" s="310"/>
      <c r="F160" s="305"/>
      <c r="J160" s="311"/>
      <c r="K160" s="312"/>
      <c r="L160" s="312"/>
      <c r="M160" s="313"/>
      <c r="N160" s="307"/>
      <c r="P160" s="308"/>
      <c r="Q160" s="308"/>
    </row>
    <row r="161" spans="1:17" s="228" customFormat="1" ht="19.399999999999999" customHeight="1">
      <c r="A161" s="309" t="s">
        <v>25</v>
      </c>
      <c r="B161" s="309"/>
      <c r="C161" s="310" t="s">
        <v>26</v>
      </c>
      <c r="D161" s="310"/>
      <c r="E161" s="310"/>
      <c r="F161" s="305"/>
      <c r="J161" s="311"/>
      <c r="K161" s="312"/>
      <c r="L161" s="312"/>
      <c r="M161" s="313"/>
      <c r="N161" s="307"/>
      <c r="P161" s="308"/>
      <c r="Q161" s="308"/>
    </row>
  </sheetData>
  <autoFilter ref="A13:X147" xr:uid="{A81031D2-2B66-41B2-B5DC-B3D5C1E04764}"/>
  <mergeCells count="36">
    <mergeCell ref="A160:B160"/>
    <mergeCell ref="A161:B161"/>
    <mergeCell ref="T12:T13"/>
    <mergeCell ref="V12:V13"/>
    <mergeCell ref="F147:J147"/>
    <mergeCell ref="B149:D149"/>
    <mergeCell ref="Q149:V149"/>
    <mergeCell ref="A159:B159"/>
    <mergeCell ref="N12:N13"/>
    <mergeCell ref="O12:O13"/>
    <mergeCell ref="P12:P13"/>
    <mergeCell ref="Q12:Q13"/>
    <mergeCell ref="R12:R13"/>
    <mergeCell ref="S12:S13"/>
    <mergeCell ref="H12:H13"/>
    <mergeCell ref="I12:I13"/>
    <mergeCell ref="J12:J13"/>
    <mergeCell ref="K12:K13"/>
    <mergeCell ref="L12:L13"/>
    <mergeCell ref="M12:M13"/>
    <mergeCell ref="A9:B9"/>
    <mergeCell ref="C9:G9"/>
    <mergeCell ref="C10:D10"/>
    <mergeCell ref="A12:A13"/>
    <mergeCell ref="B12:B13"/>
    <mergeCell ref="C12:C13"/>
    <mergeCell ref="D12:D13"/>
    <mergeCell ref="E12:E13"/>
    <mergeCell ref="F12:F13"/>
    <mergeCell ref="G12:G13"/>
    <mergeCell ref="A1:V1"/>
    <mergeCell ref="A2:V2"/>
    <mergeCell ref="A3:V3"/>
    <mergeCell ref="A5:V6"/>
    <mergeCell ref="G7:N7"/>
    <mergeCell ref="C8:F8"/>
  </mergeCells>
  <pageMargins left="0.7" right="0.45" top="0.25" bottom="0.25" header="0.3" footer="0.3"/>
  <pageSetup paperSize="9" scale="32" fitToHeight="0" orientation="landscape" r:id="rId1"/>
  <rowBreaks count="7" manualBreakCount="7">
    <brk id="27" min="8" max="21" man="1"/>
    <brk id="44" max="21" man="1"/>
    <brk id="62" max="21" man="1"/>
    <brk id="80" max="21" man="1"/>
    <brk id="98" max="21" man="1"/>
    <brk id="116" max="21" man="1"/>
    <brk id="134" max="2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F168-4961-4095-A33F-2F3D841ECCDC}">
  <sheetPr>
    <tabColor rgb="FF00B0F0"/>
    <pageSetUpPr fitToPage="1"/>
  </sheetPr>
  <dimension ref="A1:R64"/>
  <sheetViews>
    <sheetView showGridLines="0" tabSelected="1" view="pageBreakPreview" topLeftCell="A10" zoomScale="85" zoomScaleSheetLayoutView="85" workbookViewId="0">
      <selection activeCell="C18" sqref="C18"/>
    </sheetView>
  </sheetViews>
  <sheetFormatPr defaultColWidth="9.1796875" defaultRowHeight="14.5"/>
  <cols>
    <col min="1" max="1" width="8.7265625" style="82" customWidth="1"/>
    <col min="2" max="3" width="19.1796875" style="82" customWidth="1"/>
    <col min="4" max="4" width="18" style="82" customWidth="1"/>
    <col min="5" max="6" width="16.453125" style="82" customWidth="1"/>
    <col min="7" max="7" width="19.453125" style="87" customWidth="1"/>
    <col min="8" max="8" width="17.26953125" style="80" customWidth="1"/>
    <col min="9" max="13" width="14.453125" style="81" hidden="1" customWidth="1"/>
    <col min="14" max="14" width="12.81640625" style="81" hidden="1" customWidth="1"/>
    <col min="15" max="15" width="13.1796875" style="81" hidden="1" customWidth="1"/>
    <col min="16" max="16" width="14.453125" style="80" hidden="1" customWidth="1"/>
    <col min="17" max="17" width="11.81640625" style="81" hidden="1" customWidth="1"/>
    <col min="18" max="18" width="9.1796875" style="80" hidden="1" customWidth="1"/>
    <col min="19" max="19" width="9.1796875" style="80" customWidth="1"/>
    <col min="20" max="16384" width="9.1796875" style="80"/>
  </cols>
  <sheetData>
    <row r="1" spans="1:17">
      <c r="A1" s="200" t="s">
        <v>46</v>
      </c>
      <c r="B1" s="200"/>
      <c r="C1" s="200"/>
      <c r="D1" s="200"/>
      <c r="E1" s="200"/>
      <c r="F1" s="200"/>
      <c r="G1" s="200"/>
    </row>
    <row r="2" spans="1:17" ht="24" customHeight="1">
      <c r="A2" s="201" t="s">
        <v>47</v>
      </c>
      <c r="B2" s="201"/>
      <c r="C2" s="201"/>
      <c r="D2" s="201"/>
      <c r="E2" s="201"/>
      <c r="F2" s="201"/>
      <c r="G2" s="201"/>
    </row>
    <row r="3" spans="1:17">
      <c r="A3" s="202" t="s">
        <v>48</v>
      </c>
      <c r="B3" s="201"/>
      <c r="C3" s="201"/>
      <c r="D3" s="201"/>
      <c r="E3" s="201"/>
      <c r="F3" s="201"/>
      <c r="G3" s="201"/>
    </row>
    <row r="4" spans="1:17" ht="27.75" customHeight="1">
      <c r="A4" s="203" t="s">
        <v>49</v>
      </c>
      <c r="B4" s="203"/>
      <c r="C4" s="203"/>
      <c r="D4" s="203"/>
      <c r="E4" s="203"/>
      <c r="F4" s="203"/>
      <c r="G4" s="203"/>
    </row>
    <row r="5" spans="1:17">
      <c r="E5" s="83" t="s">
        <v>87</v>
      </c>
      <c r="F5" s="84"/>
      <c r="G5" s="84"/>
    </row>
    <row r="6" spans="1:17">
      <c r="E6" s="82" t="s">
        <v>88</v>
      </c>
      <c r="F6" s="85"/>
      <c r="G6" s="86"/>
    </row>
    <row r="7" spans="1:17">
      <c r="A7" s="85" t="s">
        <v>50</v>
      </c>
    </row>
    <row r="8" spans="1:17">
      <c r="A8" s="85" t="s">
        <v>51</v>
      </c>
    </row>
    <row r="9" spans="1:17">
      <c r="A9" s="85" t="s">
        <v>52</v>
      </c>
    </row>
    <row r="10" spans="1:17">
      <c r="A10" s="88"/>
    </row>
    <row r="11" spans="1:17">
      <c r="A11" s="88"/>
      <c r="E11" s="82" t="s">
        <v>53</v>
      </c>
      <c r="F11" s="89">
        <v>26380</v>
      </c>
      <c r="G11" s="89"/>
    </row>
    <row r="12" spans="1:17">
      <c r="A12" s="90" t="s">
        <v>54</v>
      </c>
      <c r="B12" s="83"/>
      <c r="C12" s="83"/>
    </row>
    <row r="13" spans="1:17">
      <c r="B13" s="83"/>
      <c r="C13" s="83"/>
    </row>
    <row r="14" spans="1:17">
      <c r="A14" s="91" t="s">
        <v>55</v>
      </c>
      <c r="B14" s="91" t="s">
        <v>56</v>
      </c>
      <c r="C14" s="91" t="s">
        <v>57</v>
      </c>
      <c r="D14" s="92" t="s">
        <v>58</v>
      </c>
      <c r="E14" s="93" t="s">
        <v>59</v>
      </c>
      <c r="F14" s="93" t="s">
        <v>60</v>
      </c>
      <c r="G14" s="94" t="s">
        <v>61</v>
      </c>
      <c r="I14" s="95" t="s">
        <v>62</v>
      </c>
      <c r="J14" s="95" t="s">
        <v>63</v>
      </c>
      <c r="K14" s="95" t="s">
        <v>64</v>
      </c>
      <c r="L14" s="95" t="s">
        <v>65</v>
      </c>
      <c r="M14" s="95" t="s">
        <v>66</v>
      </c>
      <c r="N14" s="95" t="s">
        <v>67</v>
      </c>
      <c r="O14" s="95" t="s">
        <v>67</v>
      </c>
    </row>
    <row r="15" spans="1:17" ht="20.149999999999999" customHeight="1">
      <c r="A15" s="96">
        <v>1</v>
      </c>
      <c r="B15" s="96" t="s">
        <v>68</v>
      </c>
      <c r="C15" s="97"/>
      <c r="D15" s="97"/>
      <c r="E15" s="97"/>
      <c r="F15" s="97"/>
      <c r="G15" s="98"/>
      <c r="I15" s="99">
        <v>57935000</v>
      </c>
      <c r="J15" s="99">
        <v>114483000</v>
      </c>
      <c r="K15" s="99"/>
      <c r="L15" s="99">
        <v>2160000</v>
      </c>
      <c r="M15" s="100">
        <v>719116418.80000007</v>
      </c>
      <c r="N15" s="100">
        <v>273516866</v>
      </c>
      <c r="O15" s="100">
        <v>70949380</v>
      </c>
      <c r="P15" s="101">
        <f t="shared" ref="P15:P25" si="0">SUM(I15:O15)</f>
        <v>1238160664.8000002</v>
      </c>
      <c r="Q15" s="81">
        <f t="shared" ref="Q15:Q25" si="1">P15-G15</f>
        <v>1238160664.8000002</v>
      </c>
    </row>
    <row r="16" spans="1:17" ht="20.149999999999999" customHeight="1">
      <c r="A16" s="96">
        <v>2</v>
      </c>
      <c r="B16" s="96" t="s">
        <v>69</v>
      </c>
      <c r="C16" s="97"/>
      <c r="D16" s="97"/>
      <c r="E16" s="97"/>
      <c r="F16" s="97"/>
      <c r="G16" s="98"/>
      <c r="H16" s="102"/>
      <c r="I16" s="99">
        <v>11000000</v>
      </c>
      <c r="J16" s="99">
        <v>67727000</v>
      </c>
      <c r="K16" s="99"/>
      <c r="L16" s="99"/>
      <c r="M16" s="100">
        <v>274879339.39999998</v>
      </c>
      <c r="N16" s="100">
        <v>192924198</v>
      </c>
      <c r="O16" s="100"/>
      <c r="P16" s="101">
        <f t="shared" si="0"/>
        <v>546530537.39999998</v>
      </c>
      <c r="Q16" s="81">
        <f t="shared" si="1"/>
        <v>546530537.39999998</v>
      </c>
    </row>
    <row r="17" spans="1:17" ht="20.149999999999999" customHeight="1">
      <c r="A17" s="96">
        <v>3</v>
      </c>
      <c r="B17" s="96" t="s">
        <v>70</v>
      </c>
      <c r="C17" s="97">
        <f>'Bảng kê IM'!P46+'Bảng kê IM'!Q46+'Bảng kê IM'!R46+'Bảng kê IM'!V46+'Bảng kê IM'!W46</f>
        <v>62347000</v>
      </c>
      <c r="D17" s="97">
        <f>'Bảng kê IM'!S46+'Bảng kê IM'!T46+'Bảng kê IM'!U46</f>
        <v>275895000</v>
      </c>
      <c r="E17" s="97">
        <v>0</v>
      </c>
      <c r="F17" s="97">
        <v>0</v>
      </c>
      <c r="G17" s="98">
        <f>SUM(C17:F17)</f>
        <v>338242000</v>
      </c>
      <c r="I17" s="99"/>
      <c r="J17" s="99"/>
      <c r="K17" s="99"/>
      <c r="L17" s="99"/>
      <c r="M17" s="100"/>
      <c r="N17" s="100"/>
      <c r="O17" s="100"/>
      <c r="P17" s="101">
        <f t="shared" si="0"/>
        <v>0</v>
      </c>
      <c r="Q17" s="81">
        <f t="shared" si="1"/>
        <v>-338242000</v>
      </c>
    </row>
    <row r="18" spans="1:17" ht="20.149999999999999" customHeight="1">
      <c r="A18" s="96">
        <v>3</v>
      </c>
      <c r="B18" s="96" t="s">
        <v>71</v>
      </c>
      <c r="C18" s="97"/>
      <c r="D18" s="97"/>
      <c r="E18" s="97"/>
      <c r="F18" s="97"/>
      <c r="G18" s="98"/>
      <c r="I18" s="99">
        <v>3395000</v>
      </c>
      <c r="J18" s="99">
        <v>17100000</v>
      </c>
      <c r="K18" s="99"/>
      <c r="L18" s="99"/>
      <c r="M18" s="100"/>
      <c r="N18" s="100"/>
      <c r="O18" s="100"/>
      <c r="P18" s="101">
        <f t="shared" si="0"/>
        <v>20495000</v>
      </c>
      <c r="Q18" s="81">
        <f t="shared" si="1"/>
        <v>20495000</v>
      </c>
    </row>
    <row r="19" spans="1:17" ht="20.149999999999999" customHeight="1">
      <c r="A19" s="96">
        <v>5</v>
      </c>
      <c r="B19" s="96" t="s">
        <v>72</v>
      </c>
      <c r="C19" s="97"/>
      <c r="D19" s="97"/>
      <c r="E19" s="97"/>
      <c r="F19" s="97"/>
      <c r="G19" s="98"/>
      <c r="I19" s="100"/>
      <c r="J19" s="100"/>
      <c r="K19" s="100"/>
      <c r="L19" s="100"/>
      <c r="M19" s="100"/>
      <c r="N19" s="100"/>
      <c r="O19" s="100"/>
      <c r="P19" s="101">
        <f t="shared" si="0"/>
        <v>0</v>
      </c>
      <c r="Q19" s="81">
        <f t="shared" si="1"/>
        <v>0</v>
      </c>
    </row>
    <row r="20" spans="1:17" ht="20.149999999999999" customHeight="1">
      <c r="A20" s="96">
        <v>4</v>
      </c>
      <c r="B20" s="96" t="s">
        <v>73</v>
      </c>
      <c r="C20" s="97"/>
      <c r="D20" s="97"/>
      <c r="E20" s="97"/>
      <c r="F20" s="97"/>
      <c r="G20" s="98"/>
      <c r="I20" s="99">
        <v>95370000</v>
      </c>
      <c r="J20" s="99">
        <v>91634500</v>
      </c>
      <c r="K20" s="99"/>
      <c r="L20" s="99"/>
      <c r="M20" s="100">
        <v>2525794266.2000003</v>
      </c>
      <c r="N20" s="100">
        <v>2979888</v>
      </c>
      <c r="O20" s="100">
        <v>29106347</v>
      </c>
      <c r="P20" s="101">
        <f t="shared" si="0"/>
        <v>2744885001.2000003</v>
      </c>
      <c r="Q20" s="81">
        <f t="shared" si="1"/>
        <v>2744885001.2000003</v>
      </c>
    </row>
    <row r="21" spans="1:17" ht="20.149999999999999" customHeight="1">
      <c r="A21" s="96">
        <v>5</v>
      </c>
      <c r="B21" s="96" t="s">
        <v>74</v>
      </c>
      <c r="C21" s="97"/>
      <c r="D21" s="97"/>
      <c r="E21" s="97"/>
      <c r="F21" s="97"/>
      <c r="G21" s="98"/>
      <c r="I21" s="100">
        <v>115860000</v>
      </c>
      <c r="J21" s="100">
        <v>298258247</v>
      </c>
      <c r="K21" s="100"/>
      <c r="L21" s="100"/>
      <c r="M21" s="100">
        <v>1110938005.3999999</v>
      </c>
      <c r="N21" s="100">
        <v>6056320</v>
      </c>
      <c r="O21" s="100">
        <v>134593520.19999999</v>
      </c>
      <c r="P21" s="101">
        <f t="shared" si="0"/>
        <v>1665706092.5999999</v>
      </c>
      <c r="Q21" s="81">
        <f t="shared" si="1"/>
        <v>1665706092.5999999</v>
      </c>
    </row>
    <row r="22" spans="1:17" ht="20.149999999999999" customHeight="1">
      <c r="A22" s="96">
        <v>6</v>
      </c>
      <c r="B22" s="96" t="s">
        <v>75</v>
      </c>
      <c r="C22" s="97"/>
      <c r="D22" s="97"/>
      <c r="E22" s="97"/>
      <c r="F22" s="97"/>
      <c r="G22" s="98"/>
      <c r="I22" s="99">
        <v>8535000</v>
      </c>
      <c r="J22" s="99">
        <v>12662590.940000001</v>
      </c>
      <c r="K22" s="99">
        <v>4260000</v>
      </c>
      <c r="L22" s="99"/>
      <c r="M22" s="100"/>
      <c r="N22" s="100"/>
      <c r="O22" s="100"/>
      <c r="P22" s="101">
        <f t="shared" si="0"/>
        <v>25457590.940000001</v>
      </c>
      <c r="Q22" s="81">
        <f t="shared" si="1"/>
        <v>25457590.940000001</v>
      </c>
    </row>
    <row r="23" spans="1:17" ht="20.149999999999999" customHeight="1">
      <c r="A23" s="96">
        <v>9</v>
      </c>
      <c r="B23" s="96" t="s">
        <v>76</v>
      </c>
      <c r="C23" s="97"/>
      <c r="D23" s="97"/>
      <c r="E23" s="97"/>
      <c r="F23" s="97"/>
      <c r="G23" s="98"/>
      <c r="I23" s="100"/>
      <c r="J23" s="100"/>
      <c r="K23" s="100"/>
      <c r="L23" s="100"/>
      <c r="M23" s="100"/>
      <c r="N23" s="100"/>
      <c r="O23" s="100"/>
      <c r="P23" s="101">
        <f t="shared" si="0"/>
        <v>0</v>
      </c>
      <c r="Q23" s="81">
        <f t="shared" si="1"/>
        <v>0</v>
      </c>
    </row>
    <row r="24" spans="1:17" ht="20.149999999999999" customHeight="1">
      <c r="A24" s="96">
        <v>7</v>
      </c>
      <c r="B24" s="96" t="s">
        <v>77</v>
      </c>
      <c r="C24" s="97"/>
      <c r="D24" s="97"/>
      <c r="E24" s="97"/>
      <c r="F24" s="97"/>
      <c r="G24" s="98"/>
      <c r="I24" s="100"/>
      <c r="J24" s="100"/>
      <c r="K24" s="100"/>
      <c r="L24" s="100">
        <v>757171.86</v>
      </c>
      <c r="M24" s="100"/>
      <c r="N24" s="100">
        <v>25239062</v>
      </c>
      <c r="O24" s="100"/>
      <c r="P24" s="101">
        <f t="shared" si="0"/>
        <v>25996233.859999999</v>
      </c>
      <c r="Q24" s="81">
        <f t="shared" si="1"/>
        <v>25996233.859999999</v>
      </c>
    </row>
    <row r="25" spans="1:17" ht="20.149999999999999" customHeight="1">
      <c r="A25" s="96">
        <v>8</v>
      </c>
      <c r="B25" s="96" t="s">
        <v>78</v>
      </c>
      <c r="C25" s="97"/>
      <c r="D25" s="97">
        <f>Truck!T147</f>
        <v>181262000</v>
      </c>
      <c r="E25" s="97"/>
      <c r="F25" s="97"/>
      <c r="G25" s="98">
        <f>SUM(C25:F25)</f>
        <v>181262000</v>
      </c>
      <c r="I25" s="100"/>
      <c r="J25" s="100">
        <v>66109000</v>
      </c>
      <c r="K25" s="100"/>
      <c r="L25" s="100"/>
      <c r="M25" s="100"/>
      <c r="N25" s="100"/>
      <c r="O25" s="100"/>
      <c r="P25" s="101">
        <f t="shared" si="0"/>
        <v>66109000</v>
      </c>
      <c r="Q25" s="81">
        <f t="shared" si="1"/>
        <v>-115153000</v>
      </c>
    </row>
    <row r="26" spans="1:17" ht="20.149999999999999" customHeight="1">
      <c r="A26" s="204" t="s">
        <v>79</v>
      </c>
      <c r="B26" s="204"/>
      <c r="C26" s="103">
        <f>SUM(C15:C25)</f>
        <v>62347000</v>
      </c>
      <c r="D26" s="103">
        <f>SUM(D15:D25)</f>
        <v>457157000</v>
      </c>
      <c r="E26" s="103">
        <f>SUM(E15:E25)</f>
        <v>0</v>
      </c>
      <c r="F26" s="103">
        <f>SUM(F15:F25)</f>
        <v>0</v>
      </c>
      <c r="G26" s="103">
        <f>SUM(G15:G25)</f>
        <v>519504000</v>
      </c>
      <c r="H26" s="104"/>
      <c r="I26" s="105">
        <f t="shared" ref="I26:O26" si="2">SUM(I15:I25)</f>
        <v>292095000</v>
      </c>
      <c r="J26" s="105">
        <f t="shared" si="2"/>
        <v>667974337.94000006</v>
      </c>
      <c r="K26" s="105">
        <f t="shared" si="2"/>
        <v>4260000</v>
      </c>
      <c r="L26" s="105">
        <f t="shared" si="2"/>
        <v>2917171.86</v>
      </c>
      <c r="M26" s="105">
        <f t="shared" si="2"/>
        <v>4630728029.8000002</v>
      </c>
      <c r="N26" s="105">
        <f t="shared" si="2"/>
        <v>500716334</v>
      </c>
      <c r="O26" s="105">
        <f t="shared" si="2"/>
        <v>234649247.19999999</v>
      </c>
    </row>
    <row r="27" spans="1:17" ht="20.149999999999999" customHeight="1">
      <c r="A27" s="83"/>
      <c r="B27" s="83"/>
      <c r="C27" s="83"/>
      <c r="D27" s="106"/>
      <c r="G27" s="107"/>
      <c r="H27" s="81"/>
      <c r="I27" s="108">
        <v>1608362509.8000002</v>
      </c>
      <c r="J27" s="108"/>
    </row>
    <row r="28" spans="1:17" ht="20.149999999999999" customHeight="1">
      <c r="A28" s="83"/>
      <c r="B28" s="83"/>
      <c r="C28" s="83"/>
      <c r="D28" s="106"/>
      <c r="G28" s="107"/>
      <c r="H28" s="81"/>
      <c r="I28" s="108">
        <v>1608362509.8000002</v>
      </c>
      <c r="J28" s="108"/>
    </row>
    <row r="29" spans="1:17">
      <c r="A29" s="109" t="s">
        <v>80</v>
      </c>
      <c r="B29" s="110"/>
      <c r="C29" s="110"/>
      <c r="D29" s="111" t="s">
        <v>46</v>
      </c>
      <c r="E29" s="112"/>
      <c r="F29" s="112"/>
      <c r="G29" s="113"/>
      <c r="H29" s="114"/>
    </row>
    <row r="30" spans="1:17">
      <c r="A30" s="110"/>
      <c r="B30" s="110"/>
      <c r="C30" s="110"/>
      <c r="D30" s="115" t="s">
        <v>81</v>
      </c>
      <c r="E30" s="112"/>
      <c r="F30" s="112"/>
      <c r="G30" s="113"/>
      <c r="H30" s="81"/>
    </row>
    <row r="31" spans="1:17">
      <c r="A31" s="110"/>
      <c r="B31" s="110"/>
      <c r="C31" s="110"/>
      <c r="D31" s="115" t="s">
        <v>82</v>
      </c>
      <c r="E31" s="116"/>
      <c r="F31" s="116"/>
      <c r="G31" s="117"/>
    </row>
    <row r="32" spans="1:17">
      <c r="A32" s="118"/>
      <c r="B32" s="118"/>
      <c r="C32" s="118"/>
      <c r="D32" s="119"/>
      <c r="E32" s="120"/>
      <c r="F32" s="121"/>
      <c r="G32" s="122"/>
      <c r="I32" s="81">
        <v>303095000</v>
      </c>
      <c r="J32" s="81">
        <v>676190337.94000006</v>
      </c>
    </row>
    <row r="33" spans="1:7">
      <c r="A33" s="110"/>
      <c r="B33" s="110"/>
      <c r="C33" s="110"/>
      <c r="D33" s="123" t="s">
        <v>83</v>
      </c>
      <c r="E33" s="124"/>
      <c r="F33" s="124"/>
      <c r="G33" s="125"/>
    </row>
    <row r="34" spans="1:7">
      <c r="A34" s="110"/>
      <c r="B34" s="110"/>
      <c r="C34" s="110"/>
      <c r="D34" s="115" t="s">
        <v>84</v>
      </c>
      <c r="E34" s="124"/>
      <c r="F34" s="124"/>
      <c r="G34" s="125"/>
    </row>
    <row r="35" spans="1:7">
      <c r="A35" s="110"/>
      <c r="B35" s="110"/>
      <c r="C35" s="110"/>
      <c r="D35" s="115" t="s">
        <v>85</v>
      </c>
      <c r="E35" s="110"/>
      <c r="F35" s="110"/>
      <c r="G35" s="125"/>
    </row>
    <row r="36" spans="1:7">
      <c r="A36" s="110"/>
      <c r="B36" s="110"/>
      <c r="C36" s="110"/>
      <c r="D36" s="115" t="s">
        <v>86</v>
      </c>
      <c r="E36" s="110"/>
      <c r="F36" s="110"/>
      <c r="G36" s="125"/>
    </row>
    <row r="37" spans="1:7">
      <c r="D37" s="126"/>
    </row>
    <row r="38" spans="1:7">
      <c r="A38" s="127" t="s">
        <v>89</v>
      </c>
      <c r="B38" s="79"/>
      <c r="C38" s="79"/>
      <c r="D38" s="128"/>
      <c r="E38" s="127" t="s">
        <v>51</v>
      </c>
      <c r="F38" s="79"/>
    </row>
    <row r="42" spans="1:7">
      <c r="A42" s="80"/>
      <c r="B42" s="80"/>
      <c r="C42" s="80"/>
    </row>
    <row r="45" spans="1:7">
      <c r="A45" s="80"/>
      <c r="B45" s="80"/>
      <c r="C45" s="80"/>
      <c r="D45" s="80"/>
      <c r="E45" s="80"/>
      <c r="F45" s="80"/>
      <c r="G45" s="104"/>
    </row>
    <row r="47" spans="1:7">
      <c r="A47" s="80"/>
      <c r="B47" s="80"/>
      <c r="C47" s="101"/>
      <c r="D47" s="80"/>
      <c r="E47" s="80"/>
      <c r="F47" s="80"/>
      <c r="G47" s="104"/>
    </row>
    <row r="50" spans="1:17">
      <c r="A50" s="80"/>
      <c r="B50" s="80"/>
      <c r="C50" s="80"/>
      <c r="D50" s="80"/>
      <c r="E50" s="80"/>
      <c r="F50" s="80"/>
      <c r="G50" s="104"/>
    </row>
    <row r="53" spans="1:17">
      <c r="A53" s="80"/>
      <c r="B53" s="80"/>
      <c r="C53" s="80"/>
      <c r="D53" s="80"/>
      <c r="E53" s="80"/>
      <c r="F53" s="80"/>
      <c r="G53" s="104"/>
    </row>
    <row r="56" spans="1:17">
      <c r="A56" s="80"/>
      <c r="B56" s="80"/>
      <c r="C56" s="80"/>
      <c r="D56" s="80"/>
      <c r="E56" s="80"/>
      <c r="F56" s="80"/>
      <c r="G56" s="104"/>
    </row>
    <row r="62" spans="1:17" s="82" customFormat="1" ht="13">
      <c r="B62" s="129"/>
      <c r="C62" s="129"/>
      <c r="G62" s="87"/>
      <c r="I62" s="89"/>
      <c r="J62" s="89"/>
      <c r="K62" s="89"/>
      <c r="L62" s="89"/>
      <c r="M62" s="89"/>
      <c r="N62" s="89"/>
      <c r="O62" s="89"/>
      <c r="Q62" s="89"/>
    </row>
    <row r="63" spans="1:17" s="82" customFormat="1" ht="13">
      <c r="B63" s="129"/>
      <c r="C63" s="129"/>
      <c r="G63" s="87"/>
      <c r="I63" s="89"/>
      <c r="J63" s="89"/>
      <c r="K63" s="89"/>
      <c r="L63" s="89"/>
      <c r="M63" s="89"/>
      <c r="N63" s="89"/>
      <c r="O63" s="89"/>
      <c r="Q63" s="89"/>
    </row>
    <row r="64" spans="1:17" s="82" customFormat="1" ht="13">
      <c r="B64" s="129"/>
      <c r="C64" s="129"/>
      <c r="G64" s="87"/>
      <c r="I64" s="89"/>
      <c r="J64" s="89"/>
      <c r="K64" s="89"/>
      <c r="L64" s="89"/>
      <c r="M64" s="89"/>
      <c r="N64" s="89"/>
      <c r="O64" s="89"/>
      <c r="Q64" s="89"/>
    </row>
  </sheetData>
  <autoFilter ref="A14:G36" xr:uid="{00000000-0009-0000-0000-000001000000}">
    <filterColumn colId="3" showButton="0"/>
  </autoFilter>
  <mergeCells count="5">
    <mergeCell ref="A1:G1"/>
    <mergeCell ref="A2:G2"/>
    <mergeCell ref="A3:G3"/>
    <mergeCell ref="A4:G4"/>
    <mergeCell ref="A26:B26"/>
  </mergeCells>
  <hyperlinks>
    <hyperlink ref="A3" r:id="rId1" xr:uid="{EC389F80-CF8A-4C3D-B6AB-6E2E7F15B481}"/>
  </hyperlinks>
  <printOptions horizontalCentered="1"/>
  <pageMargins left="0.45" right="0.45" top="0.75" bottom="0.75" header="0.3" footer="0.3"/>
  <pageSetup paperSize="9" scale="7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Bảng kê IM</vt:lpstr>
      <vt:lpstr>Truck</vt:lpstr>
      <vt:lpstr>Debit</vt:lpstr>
      <vt:lpstr>'Bảng kê IM'!Print_Area</vt:lpstr>
      <vt:lpstr>Debit!Print_Area</vt:lpstr>
      <vt:lpstr>Truck!Print_Area</vt:lpstr>
      <vt:lpstr>'Bảng kê IM'!Print_Titles</vt:lpstr>
      <vt:lpstr>Truck!Print_Titles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 Ha Trung | MKVC LG</dc:creator>
  <cp:lastModifiedBy>Duong Thi Ha</cp:lastModifiedBy>
  <cp:lastPrinted>2026-02-03T04:10:07Z</cp:lastPrinted>
  <dcterms:created xsi:type="dcterms:W3CDTF">2025-07-29T02:39:58Z</dcterms:created>
  <dcterms:modified xsi:type="dcterms:W3CDTF">2026-02-03T04:14:08Z</dcterms:modified>
</cp:coreProperties>
</file>