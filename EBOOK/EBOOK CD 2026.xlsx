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 CTY" sheetId="1" r:id="rId4"/>
    <sheet state="visible" name="Tổng hợp" sheetId="2" r:id="rId5"/>
    <sheet state="visible" name="Nhập khẩu" sheetId="3" r:id="rId6"/>
    <sheet state="visible" name="Xuất khẩu" sheetId="4" r:id="rId7"/>
    <sheet state="visible" name="AMA" sheetId="5" r:id="rId8"/>
    <sheet state="visible" name="Pending" sheetId="6" r:id="rId9"/>
    <sheet state="visible" name="DAINESE" sheetId="7" r:id="rId10"/>
    <sheet state="visible" name="HQ Vĩnh Phúc" sheetId="8" r:id="rId11"/>
    <sheet state="hidden" name="Sheet12" sheetId="9" r:id="rId12"/>
    <sheet state="hidden" name="Hàng pending" sheetId="10" r:id="rId13"/>
    <sheet state="hidden" name="Danh Sách Bộ Phận - Hàng Máy" sheetId="11" r:id="rId14"/>
  </sheets>
  <definedNames>
    <definedName hidden="1" localSheetId="1" name="_xlnm._FilterDatabase">'Tổng hợp'!$A$1</definedName>
    <definedName hidden="1" localSheetId="9" name="_xlnm._FilterDatabase">'Hàng pending'!$A$9:$DD$24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
      <text>
        <t xml:space="preserve">Dear Ms Trang,
Anh đã báo khách bổ sung các thông tin phí lắp đặt và show Model, serial trên Invoice rồi nhé.
Packing List đóng gói chi tiết ghi số kiện khách sẽ gửi bổ sung sau
Phần Model máy gắn chốt sẽ là LUPT-780
Tên tiếng Anh và Name Plate khách sửa như file đính kèm.
Anh gửi Tên hàng, HS dự kiến, em thao khảo để lên tờ khai nhé.Đã</t>
      </text>
    </comment>
    <comment authorId="0" ref="H12">
      <text>
        <t xml:space="preserve"> Máy tính hiện đang là Máy tính công nghiệp không phải Máy tính cá nhân để bàn, sẽ không thuộc phạm vi Kiểm tra chất lượng hay Test HSNL. Để anh kiểm tra thêm thông tin với khách và HQ xem có làm các thủ tục này không.
     Màn hình máy tính thì phải Test HSNL thì anh sẽ làm đăng ký Test để mở TK sau.
</t>
      </text>
    </comment>
    <comment authorId="0" ref="N17">
      <text>
        <t xml:space="preserve">Tên hàng: Máy mài, dùng để mài sắc lại lưỡi dao gạt của máy in lưới bằng cao su cứng, đ/a: 220V, 3 pha, 2.4Kw, model: SSS-1000ANG-DWG, Serial no: S011951, năm sx: 2025, nhà sx: Seria Corporation. Hàng mới 100%
HS code: 84659310
Khai báo: Tổng trị giá hàng + phí lắp đặt, Khai phí lắp đặt vào khoản điều chỉnh trừ (U - SB- Phí lắp đặt)
Ghi chú: Tổng trị giá Invoice: 4.012.000 JPY (Bao gồm: Trị giá hàng: 3,492,000 JPY, Chi phí lắp đặt tại Việt Nam: 520.000 JPY). Hàng là máy tháo rời, chi tiết bộ phận như bảng kê đính kèm</t>
      </text>
    </comment>
    <comment authorId="0" ref="N19">
      <text>
        <t xml:space="preserve">Tên hàng: Máy mài, dùng để mài sắc lại lưỡi dao gạt của máy in lưới bằng cao su cứng, đ/a: 220V, 3 pha, 2.4Kw, model: SSS-1000ANG-DWG, Serial no: S011951, năm sx: 2025, nhà sx: Seria Corporation. Hàng mới 100%
HS code: 84659310
Khai báo: Tổng trị giá hàng + phí lắp đặt, Khai phí lắp đặt vào khoản điều chỉnh trừ (U - SB- Phí lắp đặt)
Ghi chú: Tổng trị giá Invoice: 4.012.000 JPY (Bao gồm: Trị giá hàng: 3,492,000 JPY, Chi phí lắp đặt tại Việt Nam: 520.000 JPY). Hàng là máy tháo rời, chi tiết bộ phận như bảng kê đính kèm</t>
      </text>
    </comment>
  </commentList>
</comments>
</file>

<file path=xl/sharedStrings.xml><?xml version="1.0" encoding="utf-8"?>
<sst xmlns="http://schemas.openxmlformats.org/spreadsheetml/2006/main" count="1339" uniqueCount="408">
  <si>
    <t>Xuất khẩu</t>
  </si>
  <si>
    <t>Nhập Khẩu</t>
  </si>
  <si>
    <t>CôNG TY TNHH ĐIệN Tử MEIKO HòA BìNH</t>
  </si>
  <si>
    <t>CONG TY CONG NGHIEP THAI HOA</t>
  </si>
  <si>
    <t>CôNG TY TNHH THươNG MạI Và DịCH Vụ Kỹ THUậT LAS Hà TĩNH</t>
  </si>
  <si>
    <t>CÔNG TY TNHH GLOREX VINA</t>
  </si>
  <si>
    <t>CôNG TY TNHH UTI VINA VĩNH PHúC</t>
  </si>
  <si>
    <t>CÔNG TY CỔ PHẦN SẢN XUẤT HÚT ẨM GIA PHÁT</t>
  </si>
  <si>
    <t>CôNG TY CP ĐầU Tư PHáT TRIểN CôNG NGHIệP THáI HOà</t>
  </si>
  <si>
    <t>CôNG TY TNHH Kỹ THUậT CôNG NGHệ WASTE VIệT NAM</t>
  </si>
  <si>
    <t>Công Ty Cổ Phần Cơ Khí Gang Thép</t>
  </si>
  <si>
    <t>CONG TY TNHH GLOREX VINA</t>
  </si>
  <si>
    <t>Tên Công ty</t>
  </si>
  <si>
    <t>Xuất</t>
  </si>
  <si>
    <t>STT</t>
  </si>
  <si>
    <t>Số TK (CD #)</t>
  </si>
  <si>
    <t>Nhánh</t>
  </si>
  <si>
    <t>Mã loại hình</t>
  </si>
  <si>
    <t>Ngày ĐK (CD Date)</t>
  </si>
  <si>
    <t>Mã HQ</t>
  </si>
  <si>
    <t>Vận đơn (B/L#)</t>
  </si>
  <si>
    <t>Hóa đơn</t>
  </si>
  <si>
    <t>Tên người NK</t>
  </si>
  <si>
    <t>Tên người XK</t>
  </si>
  <si>
    <t>PTVC</t>
  </si>
  <si>
    <t>Luồng</t>
  </si>
  <si>
    <t>Tên</t>
  </si>
  <si>
    <t>Thông quan</t>
  </si>
  <si>
    <t>Note</t>
  </si>
  <si>
    <t>BÁO CÁO TỜ KHAI XUẤT NHẬP KHẨU (DAILY CD REPORT)</t>
  </si>
  <si>
    <t>Ngày (Date):</t>
  </si>
  <si>
    <t>Đại lý (Borker):</t>
  </si>
  <si>
    <t>CC team 5P</t>
  </si>
  <si>
    <t>TT</t>
  </si>
  <si>
    <t>A Tiến</t>
  </si>
  <si>
    <t>Tổng số Tk (total CD):</t>
  </si>
  <si>
    <t>Phương thức vận chuyển</t>
  </si>
  <si>
    <t>E13</t>
  </si>
  <si>
    <t>03CE</t>
  </si>
  <si>
    <t>271125SNKO010251011885</t>
  </si>
  <si>
    <t>CôNG TY TNHH GLOREX VINA</t>
  </si>
  <si>
    <t>LG CHEM, LTD.</t>
  </si>
  <si>
    <t>Đường biển (container)</t>
  </si>
  <si>
    <t>vàng</t>
  </si>
  <si>
    <t>Chất cao su tổng hợp - CO, MSDS</t>
  </si>
  <si>
    <t>01PQ</t>
  </si>
  <si>
    <t>181125KELHPH25110440</t>
  </si>
  <si>
    <t>GROUP UP INDUSTRIAL CO., LTD</t>
  </si>
  <si>
    <t>Hệ thống lò sấy - DMDB</t>
  </si>
  <si>
    <t>211125SHHPH25024377</t>
  </si>
  <si>
    <t>SUZHOU TOP CREATION MACHINES CO.,LTD</t>
  </si>
  <si>
    <t>Dây chuyền rửa - DMDB</t>
  </si>
  <si>
    <t>191125SHHPH25024458</t>
  </si>
  <si>
    <t>241125SHHPH25024781</t>
  </si>
  <si>
    <t>191125YLJ25359540</t>
  </si>
  <si>
    <t>M989</t>
  </si>
  <si>
    <t>MURAKI LTD.</t>
  </si>
  <si>
    <t>Xanh</t>
  </si>
  <si>
    <t>Máy khoan tấm mạch in bằng mũi khoan</t>
  </si>
  <si>
    <t>905- 906</t>
  </si>
  <si>
    <t xml:space="preserve">CONG TY CO PHAN MEIKO AUTOMATION                                                                                                                                                                        </t>
  </si>
  <si>
    <t>Loại khác</t>
  </si>
  <si>
    <t>Máy lật bo</t>
  </si>
  <si>
    <t>241125SHHPH25024780</t>
  </si>
  <si>
    <t>926 -&gt; 927</t>
  </si>
  <si>
    <t>Máy đưa bo</t>
  </si>
  <si>
    <t>929 -&gt; 931</t>
  </si>
  <si>
    <t>Máy đưa bo và máy làm mát bo mạch</t>
  </si>
  <si>
    <t>913 -&gt; 925</t>
  </si>
  <si>
    <t>Băng tải</t>
  </si>
  <si>
    <t>071225TYNHPH25120128</t>
  </si>
  <si>
    <t>TL-1201/25</t>
  </si>
  <si>
    <t>TA LIANG TECHNOLOGY CO., LTD.</t>
  </si>
  <si>
    <t xml:space="preserve">Term FOB </t>
  </si>
  <si>
    <t>Máy phay và máy hút bụi</t>
  </si>
  <si>
    <t>171125SMJH25101752</t>
  </si>
  <si>
    <t>8843J</t>
  </si>
  <si>
    <t>HATTORI SANGYO CO., LTD</t>
  </si>
  <si>
    <t xml:space="preserve">Máy làm sạch tấm mạch in bằng sóng siêu âm. </t>
  </si>
  <si>
    <t>A11</t>
  </si>
  <si>
    <t>071225LSZHPH2514173</t>
  </si>
  <si>
    <t>LAS-HT-20251122</t>
  </si>
  <si>
    <t>SHANGHAI HUITIAN NEW MATERIAL CO.,LTD</t>
  </si>
  <si>
    <t>Đường biển (hàng rời, lỏng...)</t>
  </si>
  <si>
    <t>Matit gốc silicon dạng nhão RTV 9011</t>
  </si>
  <si>
    <t>011225CKCOYOK0022446</t>
  </si>
  <si>
    <t>HEM-2511-06</t>
  </si>
  <si>
    <t>MITSUBISHI GAS CHEMICAL TRADING, INC.</t>
  </si>
  <si>
    <t>Anh Kỳ khai IDC, Hàng đóng chung INV, BL, Cont</t>
  </si>
  <si>
    <t>Tem, nhãn đã in bằng giấy, dùng để cảnh báo an toàn hóa chất trong nhà máy</t>
  </si>
  <si>
    <t>E11</t>
  </si>
  <si>
    <t>Hóa chất Sodium persulfate, dạng bột</t>
  </si>
  <si>
    <t>301125B25110973</t>
  </si>
  <si>
    <t>10AT-25N073M5</t>
  </si>
  <si>
    <t>HAKUTO CO.,LTD.</t>
  </si>
  <si>
    <t>Hàng đóng chung B/L, Cont, PKL</t>
  </si>
  <si>
    <t>Máy dán màng phim tự động cho tấm mạch in.</t>
  </si>
  <si>
    <t>10AT-25004124</t>
  </si>
  <si>
    <t>NNRSG0234249</t>
  </si>
  <si>
    <t>SSIN2512009</t>
  </si>
  <si>
    <t>VIA MECHANICS (ASIA) PTE. LTD</t>
  </si>
  <si>
    <t>Đường không</t>
  </si>
  <si>
    <t>Ống cao su lưu hóa</t>
  </si>
  <si>
    <t>DSG-CN-251885</t>
  </si>
  <si>
    <t>MEIKO ELEC.HONG KONG CO., LTD</t>
  </si>
  <si>
    <t>Tấm đồng lá mỏng bồi trên plastic</t>
  </si>
  <si>
    <t>101225YCSE251215497A</t>
  </si>
  <si>
    <t>DSG-CN-251892</t>
  </si>
  <si>
    <t>957 -&gt; 960</t>
  </si>
  <si>
    <t>Máy nhận bo</t>
  </si>
  <si>
    <t>961 -&gt; 962</t>
  </si>
  <si>
    <t>151225TCYHS2512034</t>
  </si>
  <si>
    <t>WC251215ME1</t>
  </si>
  <si>
    <t>WESTERN CHAMPION (HK) LIMITED</t>
  </si>
  <si>
    <t>Khối trụ đồng tinh luyện</t>
  </si>
  <si>
    <t>01PR</t>
  </si>
  <si>
    <t>00000086</t>
  </si>
  <si>
    <t>Găng tay cao su</t>
  </si>
  <si>
    <t>141225KELHPH25120313</t>
  </si>
  <si>
    <t>E114571</t>
  </si>
  <si>
    <t>AMPOC FAR-EAST CO., LTD.</t>
  </si>
  <si>
    <t>Dây chuyền phủ chất trợ hàn - DMDB</t>
  </si>
  <si>
    <t>141225KELHPH25120314</t>
  </si>
  <si>
    <t>E114538</t>
  </si>
  <si>
    <t>Dây chuyền tiền xử lý - DMDB</t>
  </si>
  <si>
    <t>121225YLJ25339950</t>
  </si>
  <si>
    <t>IAA43-5003</t>
  </si>
  <si>
    <t>ADTEC ENGINEERING CO., LTD.</t>
  </si>
  <si>
    <t>Máy phơi sáng tự động - HSNL</t>
  </si>
  <si>
    <t>979 -&gt; 980</t>
  </si>
  <si>
    <t>Máy đưa và nhận bo</t>
  </si>
  <si>
    <t>977 -&gt; 978</t>
  </si>
  <si>
    <t>SUR02018733</t>
  </si>
  <si>
    <t>KLA CORPORATION</t>
  </si>
  <si>
    <t>Thiết bị đọc mã vạch</t>
  </si>
  <si>
    <t>E114589</t>
  </si>
  <si>
    <t>Linh kiện dây truyền ăn mòn bản mạch</t>
  </si>
  <si>
    <t>A12</t>
  </si>
  <si>
    <t>18B1</t>
  </si>
  <si>
    <t>141225COAU7264879840</t>
  </si>
  <si>
    <t>TK25162302</t>
  </si>
  <si>
    <t>SHANXI KNLAN TECHCO., LTD</t>
  </si>
  <si>
    <t>Chât làm đông cao su nhập từ China, có CO form E</t>
  </si>
  <si>
    <t>JG251208D</t>
  </si>
  <si>
    <t>GUANG ZHOU JING GONG ZHEN YAN TRADE CO., LTD.</t>
  </si>
  <si>
    <t>Tấm đệm gỗ và tấm đệm nhôm</t>
  </si>
  <si>
    <t>25ZN012A-GTE</t>
  </si>
  <si>
    <t>NINGBO  ZION MOULD CO.,LTD</t>
  </si>
  <si>
    <t>Mẫu làm khuôn</t>
  </si>
  <si>
    <t>181225ES/25-12-026</t>
  </si>
  <si>
    <t>CRE37079-1</t>
  </si>
  <si>
    <t>MITSUI &amp; CO. (HONG KONG) LTD.</t>
  </si>
  <si>
    <t>Lá đồng chưa được bồi</t>
  </si>
  <si>
    <t>CRE37078-1</t>
  </si>
  <si>
    <t>CONG TY CO PHAN SAN XUAT HUT AM GIA PHAT</t>
  </si>
  <si>
    <t>Gói hút ẩm Silica Gel</t>
  </si>
  <si>
    <t>G13</t>
  </si>
  <si>
    <t>231225A33FY28696</t>
  </si>
  <si>
    <t>YMZFP2025121901</t>
  </si>
  <si>
    <t>HONG KONG IMAGE TECHNOLOGY CO., LIMITED</t>
  </si>
  <si>
    <t>Máy kiểm tra ngoại quan tự động</t>
  </si>
  <si>
    <t>261225YMJAI221179377</t>
  </si>
  <si>
    <t>SPDMEIKO20251216</t>
  </si>
  <si>
    <t>GUANGZHOU SPEED TRADING COMPANY LIMITED</t>
  </si>
  <si>
    <t>xanh</t>
  </si>
  <si>
    <t>Tấm đồng lá mỏng</t>
  </si>
  <si>
    <t>241225YCSE251215853</t>
  </si>
  <si>
    <t>DSG-CN-251982</t>
  </si>
  <si>
    <t>SPDMEIKO20251217</t>
  </si>
  <si>
    <t>Nhiều dòng hàng</t>
  </si>
  <si>
    <t>A41</t>
  </si>
  <si>
    <t>01M1</t>
  </si>
  <si>
    <t>151225TXGHPH2512527</t>
  </si>
  <si>
    <t>WASTE RECOVERY TECHNOLOGY INC</t>
  </si>
  <si>
    <t>5P</t>
  </si>
  <si>
    <t>Hệ thống điện phân dung dịch</t>
  </si>
  <si>
    <t>261225HASLK01251206525</t>
  </si>
  <si>
    <t>LG CHEM, LTD</t>
  </si>
  <si>
    <t>Hàng hóa chất nhập từ Korea NBR LATEX/ NL125 - Không KBHC</t>
  </si>
  <si>
    <t>311225COAU7265111850</t>
  </si>
  <si>
    <t>GUANGDONG GREATSENSE INTELLIGENT EQUIPMENT CO., LTD</t>
  </si>
  <si>
    <t>Máy kiểm tra và sửa lỗi đường mạch - hàng tạm nhập</t>
  </si>
  <si>
    <t>YHK05917446</t>
  </si>
  <si>
    <t>UNION TOOL HONG KONG LTD.</t>
  </si>
  <si>
    <t>Mũi khoan - chung bill</t>
  </si>
  <si>
    <t>12 -&gt; 15</t>
  </si>
  <si>
    <t>Máy transfer</t>
  </si>
  <si>
    <t>080126YCSE260116231</t>
  </si>
  <si>
    <t>DSG-CN-260047</t>
  </si>
  <si>
    <t>090126SZHPH25017411</t>
  </si>
  <si>
    <t>TTST-20251215001</t>
  </si>
  <si>
    <t>SHENZHEN TECHNOLOGY TRUST PRECISION INDUSTRY CO., LTD.</t>
  </si>
  <si>
    <t>pending</t>
  </si>
  <si>
    <t>Máy phân loại tấm mạch in lỗi tự động</t>
  </si>
  <si>
    <t>B11</t>
  </si>
  <si>
    <t>00000097</t>
  </si>
  <si>
    <t>CÔNG TY CỔ PHẦN CƠ KHÍ GANG THÉP</t>
  </si>
  <si>
    <t>CONG TY TNHH SAN PHAM CONG NGHIEP TOSHIBA ASIA</t>
  </si>
  <si>
    <t>TIPA</t>
  </si>
  <si>
    <t>00000099</t>
  </si>
  <si>
    <t>00000100</t>
  </si>
  <si>
    <t>00000101</t>
  </si>
  <si>
    <t>H21</t>
  </si>
  <si>
    <t>25051206-MKHCPD</t>
  </si>
  <si>
    <t>GIGAVIS CO., LTD.</t>
  </si>
  <si>
    <t xml:space="preserve">Mạch in2 mặt, 2 lớp, DHL </t>
  </si>
  <si>
    <t>FTHSZ-1</t>
  </si>
  <si>
    <t>FUTAIHUA INDUSTRIAL (SHENZHEN)CO.,LTD</t>
  </si>
  <si>
    <t>Mạch in nhiều lớp (chưa gắn linh kiện điện tử)</t>
  </si>
  <si>
    <t>00000102</t>
  </si>
  <si>
    <t>20251212-MKHCPD</t>
  </si>
  <si>
    <t>Mạch in nhiều lớp (chưa gắn linh kiện điện tử), DHL</t>
  </si>
  <si>
    <t>A-TECH SYSTEM CO., LTD</t>
  </si>
  <si>
    <t>00000103</t>
  </si>
  <si>
    <t>00000104</t>
  </si>
  <si>
    <t>00000078</t>
  </si>
  <si>
    <t>CONG TY TNHH SG ELECTRONICS VINA</t>
  </si>
  <si>
    <t>00000105</t>
  </si>
  <si>
    <t>00000079</t>
  </si>
  <si>
    <t>CONG TY TNHH SI FLEX VIET NAM</t>
  </si>
  <si>
    <t>00000059</t>
  </si>
  <si>
    <t>CONG TY TNHH SWACOO VINA</t>
  </si>
  <si>
    <t>CONG TY TNHH UTI VINA VINH PHUC</t>
  </si>
  <si>
    <t>00000080</t>
  </si>
  <si>
    <t>CONG TY TNHH CDL PRECISION TECHNOLOGY (VIETNAM)</t>
  </si>
  <si>
    <t>00000061</t>
  </si>
  <si>
    <t>CONG TY TNHH INNOWAVE VIET NAM</t>
  </si>
  <si>
    <t>CONG TY TNHH NEWFACE OPTOELECTRONICS (VIET NAM)</t>
  </si>
  <si>
    <t>00000081</t>
  </si>
  <si>
    <t>CONG TY TNHH CAMMSYS VIET NAM</t>
  </si>
  <si>
    <t>CONG TY TNHH DIEN TU MEIKO HOA BINH</t>
  </si>
  <si>
    <t>Vàng</t>
  </si>
  <si>
    <t>00000063</t>
  </si>
  <si>
    <t>CONG TY TNHH SAMJU VINA</t>
  </si>
  <si>
    <t>00000064</t>
  </si>
  <si>
    <t>00000065</t>
  </si>
  <si>
    <t>CONG TY TNHH SHINSUNG C&amp;T VINA</t>
  </si>
  <si>
    <t>00000107</t>
  </si>
  <si>
    <t>00000066</t>
  </si>
  <si>
    <t>CONG TY TNHH VALUEPLUS VINA</t>
  </si>
  <si>
    <t>00000001</t>
  </si>
  <si>
    <t>CONG TY TNHH ELECTRONIC TRIPOD VIET NAM (BIEN HOA)</t>
  </si>
  <si>
    <t>00000002</t>
  </si>
  <si>
    <t>00000003</t>
  </si>
  <si>
    <t>20260106-MKHCPD</t>
  </si>
  <si>
    <t>KLA TRAINING CENTER</t>
  </si>
  <si>
    <t>DHL</t>
  </si>
  <si>
    <t>Mạch in2 mặt, 2 lớp</t>
  </si>
  <si>
    <t>20260107-MKHCPD</t>
  </si>
  <si>
    <t>MEIKO ELECTRONICS CO., LTD</t>
  </si>
  <si>
    <t>đỏ</t>
  </si>
  <si>
    <t>Mạch in nhiều lớp</t>
  </si>
  <si>
    <t>2026GC001</t>
  </si>
  <si>
    <t>C&amp;C METAL INDUSTRY (TIANJIN) CO.LTD</t>
  </si>
  <si>
    <t>Đường biển(container)</t>
  </si>
  <si>
    <t>Thân van bướm</t>
  </si>
  <si>
    <t>G61</t>
  </si>
  <si>
    <t>WRTVN-06012026</t>
  </si>
  <si>
    <t>CONG TY TNHH DIEN TU MEIKO VIET NAM</t>
  </si>
  <si>
    <t>BÁO CÁO TỜ KHAI AMA</t>
  </si>
  <si>
    <t>Ngày RQ Sửa</t>
  </si>
  <si>
    <t>TK AMA</t>
  </si>
  <si>
    <t>Nội dung đã khai</t>
  </si>
  <si>
    <t>Nội dung sửa lại</t>
  </si>
  <si>
    <t>Số Tiếp nhận</t>
  </si>
  <si>
    <t>Trạng thái</t>
  </si>
  <si>
    <t>Ghi chú</t>
  </si>
  <si>
    <t>Khách</t>
  </si>
  <si>
    <t>PIC SỬA</t>
  </si>
  <si>
    <t>E42</t>
  </si>
  <si>
    <t>VEI2500347</t>
  </si>
  <si>
    <t>Mẫu 03</t>
  </si>
  <si>
    <t>Tổng trọng lượng (GW): 8,364.6 kg</t>
  </si>
  <si>
    <t>Tổng trọng lượng (GW): 1,598 kg</t>
  </si>
  <si>
    <t>18B1251732</t>
  </si>
  <si>
    <t>Chấp thuận</t>
  </si>
  <si>
    <t>Do kho Dainese làm sai packing list dẫn đến bị sai trọng lượng Gross</t>
  </si>
  <si>
    <t>Dainese</t>
  </si>
  <si>
    <t>18B1251731</t>
  </si>
  <si>
    <t>VEI2500328</t>
  </si>
  <si>
    <t>Sửa Đơn giá, trị giá, Tổng trị giá 12 dòng hàng (Sửa ĐG dòng 17,33,35,36,37,41,44,45 Nhánh 1; 2,3,5,6 Nhánh 2)</t>
  </si>
  <si>
    <t>18B1251708</t>
  </si>
  <si>
    <t>Sai đơn giá 12 dòng hàng</t>
  </si>
  <si>
    <t>18B1251709</t>
  </si>
  <si>
    <t>221025MNTHHG25101082</t>
  </si>
  <si>
    <t>CVNM091901</t>
  </si>
  <si>
    <t>100041001405 Vải sợi thủy tinh hai trục E-Glass màu trắng bạc (loại dệt thoi khổ đóng từ sợi thô), KT: dài 98m, rộng 1.27m, weight: 400g/m2, dùng làm vỏ mũ bảo hiểm. Hàng mới 100%</t>
  </si>
  <si>
    <t>100041001406 Vải sợi thủy tinh hai trục E-Glass GLASS FIBER (ECY-BX400-1270), màu trắng bạc, loại dệt thoi khổ đóng từ sợi thô, KT: dài 98m, rộng 1.27m, khối lượng: 400g/m2, dùng làm vỏ mũ bảo hiểm. Hàng mới 100%</t>
  </si>
  <si>
    <t>18B1251828</t>
  </si>
  <si>
    <t>Điều chỉnh mã hàng và tên hàng dòng hàng số 2</t>
  </si>
  <si>
    <t>ASGL</t>
  </si>
  <si>
    <t>PENDING MEIKO</t>
  </si>
  <si>
    <t>1/ Almex Part 2</t>
  </si>
  <si>
    <t>Lô số 2 3 thì chắc k có vấn đề gì r</t>
  </si>
  <si>
    <t>2/ Narasaki NS82-1701</t>
  </si>
  <si>
    <t>Lô 1, 4 có Test HSNL Màn hình, Máy tính &amp; Kiểm tra chất lượng máy tính</t>
  </si>
  <si>
    <t>3/ FTM 27839-HB</t>
  </si>
  <si>
    <t>4/ Adtec IAA42-5035</t>
  </si>
  <si>
    <t>Ngày gửi CT</t>
  </si>
  <si>
    <t>ETA</t>
  </si>
  <si>
    <t>Tiêu đề Mail</t>
  </si>
  <si>
    <t>Vu,Tiến</t>
  </si>
  <si>
    <t>Phụ tùng tháp sấy mua TQ</t>
  </si>
  <si>
    <t>Renbao</t>
  </si>
  <si>
    <t>29/12/2025 và  09/01/2026</t>
  </si>
  <si>
    <t>Đã nháp</t>
  </si>
  <si>
    <t>Thiếu DMDB</t>
  </si>
  <si>
    <t>Lô 1: ACCUTECH1230001</t>
  </si>
  <si>
    <t>Dây chuyền xếp lớp tự động</t>
  </si>
  <si>
    <t>[MKHC] Mở TKN máy + trucking \\ Accutech  \\ ETA MKHC: 15~16.Dec</t>
  </si>
  <si>
    <t>Thiếu 1 số thông tin</t>
  </si>
  <si>
    <t>Lô 2 3 4</t>
  </si>
  <si>
    <t>Waste</t>
  </si>
  <si>
    <t>tạm nhập</t>
  </si>
  <si>
    <t>Thiếu DMDB/AN/Debit</t>
  </si>
  <si>
    <t xml:space="preserve">E114587  </t>
  </si>
  <si>
    <t>[MKHC] Mở TKN máy + trucking \\ AMPOC - INV: E114587  \\ ETA HPH: 09JAN \\ ETA MKHC: 19JAN</t>
  </si>
  <si>
    <t>x</t>
  </si>
  <si>
    <t>271225MNTHHG25121123</t>
  </si>
  <si>
    <t>INV-250150</t>
  </si>
  <si>
    <t>TSUBASA HONG KONG CO. LTD.</t>
  </si>
  <si>
    <t>CôNG TY TNHH DAINESE VIệT NAM</t>
  </si>
  <si>
    <t>Nhập</t>
  </si>
  <si>
    <t>271225MNTHHG25121137</t>
  </si>
  <si>
    <t>353/2025</t>
  </si>
  <si>
    <t>FORMA SRL</t>
  </si>
  <si>
    <t>251025IMPONL202511</t>
  </si>
  <si>
    <t>2551257&amp;2551251</t>
  </si>
  <si>
    <t>PINLOCK SYSTEMS B.V</t>
  </si>
  <si>
    <t>Có note tiền trả trước</t>
  </si>
  <si>
    <t>0611252025CA0000102188</t>
  </si>
  <si>
    <t>LEDERPLAST S.P.A</t>
  </si>
  <si>
    <t>Có khoản giảm giá</t>
  </si>
  <si>
    <t xml:space="preserve">VEI2600002  </t>
  </si>
  <si>
    <t>DAINESE S.P.A.</t>
  </si>
  <si>
    <t xml:space="preserve">5P </t>
  </si>
  <si>
    <t>VAT#00000003</t>
  </si>
  <si>
    <t>CONG TY TNHH GIAI PHAP KHOA HOC 2T</t>
  </si>
  <si>
    <t>Khác</t>
  </si>
  <si>
    <t>PXK#1</t>
  </si>
  <si>
    <t>Công Ty Cổ Phần Thiết Bị Đo Lường Trustech</t>
  </si>
  <si>
    <t>VAT#1</t>
  </si>
  <si>
    <t>Nháp ok</t>
  </si>
  <si>
    <t xml:space="preserve">VEI2600003  </t>
  </si>
  <si>
    <t>VAT#00000002</t>
  </si>
  <si>
    <t>Cước phí gửi sau</t>
  </si>
  <si>
    <t>E15</t>
  </si>
  <si>
    <t>VAT#00000009</t>
  </si>
  <si>
    <t>CONG TY TNHH TANIGUCHI VIET NAM</t>
  </si>
  <si>
    <t>DAINESE20260001</t>
  </si>
  <si>
    <t>DAINESE CHINA (XIAMEN) TRADING CO., LTD</t>
  </si>
  <si>
    <t xml:space="preserve">VEI2600004  </t>
  </si>
  <si>
    <t>(VN-260133)GC260070</t>
  </si>
  <si>
    <t>gửi nháp</t>
  </si>
  <si>
    <t>20260105-02</t>
  </si>
  <si>
    <t>SAHO INDUSTRIES LIMITED</t>
  </si>
  <si>
    <t xml:space="preserve">VEI2600006  </t>
  </si>
  <si>
    <t xml:space="preserve">VEI2600008  </t>
  </si>
  <si>
    <t>PXK#00000001</t>
  </si>
  <si>
    <t>CôNG TY Cổ PHầN KCB VIệT NAM</t>
  </si>
  <si>
    <t>060126MNTHHG25121180</t>
  </si>
  <si>
    <t>ETS25122401</t>
  </si>
  <si>
    <t>FUJIAN ETERNES INDUSTRY &amp; DEVELOPMENT CO., LTD.</t>
  </si>
  <si>
    <t>MSO25VFI-000057</t>
  </si>
  <si>
    <t>Nháp ok, mai khai</t>
  </si>
  <si>
    <t>090126MNTHHG25121186</t>
  </si>
  <si>
    <t>20251224-01</t>
  </si>
  <si>
    <t>MV</t>
  </si>
  <si>
    <t>Nháp ok, sửa KBHC</t>
  </si>
  <si>
    <t>22/08/2025</t>
  </si>
  <si>
    <t>00000048</t>
  </si>
  <si>
    <t>Đã Thanh Toán</t>
  </si>
  <si>
    <t>00000058</t>
  </si>
  <si>
    <t>00000069</t>
  </si>
  <si>
    <t>00000082</t>
  </si>
  <si>
    <t>00000046</t>
  </si>
  <si>
    <t>Đỏ</t>
  </si>
  <si>
    <t>Nhà Máy</t>
  </si>
  <si>
    <t>Mekio</t>
  </si>
  <si>
    <t>Tam Bảo</t>
  </si>
  <si>
    <t xml:space="preserve">THÁNG </t>
  </si>
  <si>
    <t>Ngày gửi Mail</t>
  </si>
  <si>
    <t>Thông tin lô hàng</t>
  </si>
  <si>
    <t>Ngày hàng đến</t>
  </si>
  <si>
    <t>Tiến độ 1</t>
  </si>
  <si>
    <t>Tiến độ 2</t>
  </si>
  <si>
    <t>Meiko Gắn tháo Pin</t>
  </si>
  <si>
    <t>Gấp</t>
  </si>
  <si>
    <t>Thiếu B/L, AN</t>
  </si>
  <si>
    <t>Đã có thông tin DSH, HS code</t>
  </si>
  <si>
    <t>Đã khai xong  - luồng vàng</t>
  </si>
  <si>
    <t>Meiko dây chuyền đóng gói</t>
  </si>
  <si>
    <t xml:space="preserve">GL20250731001 </t>
  </si>
  <si>
    <t>22/8/2025</t>
  </si>
  <si>
    <t>Đăng ký danh mục PDF</t>
  </si>
  <si>
    <t xml:space="preserve">Anh gửi lại Invoice thêm số serial và Mẫu 01, 02 để đăng ký Danh mục đồng bộ nhé.
Tên hàng, HS em kiểm tra giúp anh xem ok chưa?
Anh sẽ làm thủ tục đăng ký danh mục đồng độ với Hải quan và gửi lại bản có dấu sau.
</t>
  </si>
  <si>
    <t>Meiko máy khoản</t>
  </si>
  <si>
    <t xml:space="preserve">SSIN2508003 </t>
  </si>
  <si>
    <t>Thiếu test HSNL và Debit</t>
  </si>
  <si>
    <t xml:space="preserve"> Máy tính hiện đang là Máy tính công nghiệp không phải Máy tính cá nhân để bàn, sẽ không thuộc phạm vi Kiểm tra chất lượng hay Test HSNL. Để anh kiểm tra thêm thông tin với khách và HQ xem có làm các thủ tục này không.
Màn hình máy tính thì phải Test HSNL thì anh sẽ làm đăng ký Test để mở TK sau.
</t>
  </si>
  <si>
    <t>Đã lên draft</t>
  </si>
  <si>
    <t>Meiko dây chuyền cắt viền</t>
  </si>
  <si>
    <t>18/8/2025</t>
  </si>
  <si>
    <t>Hàng Máy</t>
  </si>
  <si>
    <t>XL2508-013</t>
  </si>
  <si>
    <t>28/8/2025</t>
  </si>
  <si>
    <t>Thiếu B/L, AN
1/ Tên máy, các bộ phận linh kiện trên PKL, công dụng, chức năng của máy bằng Tiếng Việt
2/ Màn hình, máy tính có tháo rời không? Không thể hiện trên PKL
3/ Máy khoan bằng mũi khoan bổ sung thông tin tốc độ quay bao nhiêu vòng/phút? Lắp vừa mũi khoan đường kính chuôi bao nhiêu mm?</t>
  </si>
  <si>
    <t>Đã khai xong - luồng xanh</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</si>
</sst>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mm/dd/yyyy"/>
    <numFmt numFmtId="166" formatCode="dd/MM/yyyy"/>
    <numFmt numFmtId="167" formatCode="d/m/yyyy"/>
    <numFmt numFmtId="168" formatCode="d/m"/>
    <numFmt numFmtId="169" formatCode="m/d/yyyy"/>
  </numFmts>
  <fonts count="19">
    <font>
      <sz val="10.0"/>
      <color rgb="FF000000"/>
      <name val="Arial"/>
      <scheme val="minor"/>
    </font>
    <font>
      <b/>
      <color theme="1"/>
      <name val="Arial"/>
      <scheme val="minor"/>
    </font>
    <font>
      <color theme="1"/>
      <name val="Arial"/>
      <scheme val="minor"/>
    </font>
    <font>
      <color theme="1"/>
      <name val="Times New Roman"/>
    </font>
    <font>
      <b/>
      <color theme="1"/>
      <name val="Times New Roman"/>
    </font>
    <font>
      <b/>
      <sz val="11.0"/>
      <color rgb="FF000000"/>
      <name val="Times New Roman"/>
    </font>
    <font>
      <b/>
      <sz val="11.0"/>
      <color rgb="FFFF0000"/>
      <name val="Times New Roman"/>
    </font>
    <font>
      <b/>
      <sz val="11.0"/>
      <color theme="1"/>
      <name val="Times New Roman"/>
    </font>
    <font>
      <sz val="11.0"/>
      <color theme="1"/>
      <name val="Times New Roman"/>
    </font>
    <font>
      <b/>
      <sz val="16.0"/>
      <color theme="1"/>
      <name val="&quot;Times New Roman&quot;"/>
    </font>
    <font>
      <color theme="1"/>
      <name val="&quot;Times New Roman&quot;"/>
    </font>
    <font>
      <b/>
      <color theme="1"/>
      <name val="&quot;Times New Roman&quot;"/>
    </font>
    <font>
      <b/>
      <color rgb="FFFF0000"/>
      <name val="&quot;Times New Roman&quot;"/>
    </font>
    <font>
      <b/>
      <color rgb="FF000000"/>
      <name val="&quot;Times New Roman&quot;"/>
    </font>
    <font>
      <sz val="11.0"/>
      <color rgb="FF000000"/>
      <name val="Calibri"/>
    </font>
    <font>
      <sz val="11.0"/>
      <color theme="1"/>
      <name val="Calibri"/>
    </font>
    <font>
      <color theme="1"/>
      <name val="Arial"/>
    </font>
    <font/>
    <font>
      <b/>
      <sz val="11.0"/>
      <color rgb="FF000000"/>
      <name val="Calibri"/>
    </font>
  </fonts>
  <fills count="10">
    <fill>
      <patternFill patternType="none"/>
    </fill>
    <fill>
      <patternFill patternType="lightGray"/>
    </fill>
    <fill>
      <patternFill patternType="solid">
        <fgColor rgb="FFBFBFBF"/>
        <bgColor rgb="FFBFBFBF"/>
      </patternFill>
    </fill>
    <fill>
      <patternFill patternType="solid">
        <fgColor rgb="FFFFFF00"/>
        <bgColor rgb="FFFFFF00"/>
      </patternFill>
    </fill>
    <fill>
      <patternFill patternType="solid">
        <fgColor rgb="FFB7B7B7"/>
        <bgColor rgb="FFB7B7B7"/>
      </patternFill>
    </fill>
    <fill>
      <patternFill patternType="solid">
        <fgColor rgb="FFB6D7A8"/>
        <bgColor rgb="FFB6D7A8"/>
      </patternFill>
    </fill>
    <fill>
      <patternFill patternType="solid">
        <fgColor theme="0"/>
        <bgColor theme="0"/>
      </patternFill>
    </fill>
    <fill>
      <patternFill patternType="solid">
        <fgColor rgb="FFEA9999"/>
        <bgColor rgb="FFEA9999"/>
      </patternFill>
    </fill>
    <fill>
      <patternFill patternType="solid">
        <fgColor rgb="FFFFFFFF"/>
        <bgColor rgb="FFFFFFFF"/>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left style="thin">
        <color rgb="FF000000"/>
      </left>
      <top style="thin">
        <color rgb="FF000000"/>
      </top>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horizontal="left"/>
    </xf>
    <xf borderId="0" fillId="0" fontId="4" numFmtId="0" xfId="0" applyAlignment="1" applyFont="1">
      <alignment horizontal="left" readingOrder="0"/>
    </xf>
    <xf borderId="0" fillId="0" fontId="3" numFmtId="0" xfId="0" applyAlignment="1" applyFont="1">
      <alignment horizontal="left" readingOrder="0"/>
    </xf>
    <xf borderId="1" fillId="2" fontId="5" numFmtId="0" xfId="0" applyAlignment="1" applyBorder="1" applyFill="1" applyFont="1">
      <alignment horizontal="center" readingOrder="0"/>
    </xf>
    <xf borderId="1" fillId="2" fontId="6" numFmtId="0" xfId="0" applyAlignment="1" applyBorder="1" applyFont="1">
      <alignment horizontal="center" readingOrder="0"/>
    </xf>
    <xf borderId="1" fillId="2" fontId="7" numFmtId="0" xfId="0" applyAlignment="1" applyBorder="1" applyFont="1">
      <alignment horizontal="center" readingOrder="0"/>
    </xf>
    <xf borderId="1" fillId="3" fontId="5" numFmtId="0" xfId="0" applyAlignment="1" applyBorder="1" applyFill="1" applyFont="1">
      <alignment horizontal="center" readingOrder="0"/>
    </xf>
    <xf borderId="1" fillId="4" fontId="5" numFmtId="0" xfId="0" applyAlignment="1" applyBorder="1" applyFill="1" applyFont="1">
      <alignment horizontal="center" readingOrder="0"/>
    </xf>
    <xf borderId="1" fillId="5" fontId="5" numFmtId="0" xfId="0" applyAlignment="1" applyBorder="1" applyFill="1" applyFont="1">
      <alignment horizontal="center" readingOrder="0"/>
    </xf>
    <xf borderId="0" fillId="0" fontId="3" numFmtId="0" xfId="0" applyAlignment="1" applyFont="1">
      <alignment horizontal="center"/>
    </xf>
    <xf borderId="0" fillId="0" fontId="8" numFmtId="0" xfId="0" applyAlignment="1" applyFont="1">
      <alignment horizontal="left"/>
    </xf>
    <xf borderId="1" fillId="0" fontId="2" numFmtId="0" xfId="0" applyAlignment="1" applyBorder="1" applyFont="1">
      <alignment readingOrder="0"/>
    </xf>
    <xf borderId="0" fillId="0" fontId="8" numFmtId="164" xfId="0" applyAlignment="1" applyFont="1" applyNumberFormat="1">
      <alignment horizontal="left"/>
    </xf>
    <xf borderId="0" fillId="0" fontId="8" numFmtId="0" xfId="0" applyAlignment="1" applyFont="1">
      <alignment horizontal="left" readingOrder="0"/>
    </xf>
    <xf borderId="0" fillId="0" fontId="9" numFmtId="0" xfId="0" applyAlignment="1" applyFont="1">
      <alignment horizontal="center" readingOrder="0" shrinkToFit="0" wrapText="0"/>
    </xf>
    <xf borderId="0" fillId="0" fontId="9" numFmtId="0" xfId="0" applyAlignment="1" applyFont="1">
      <alignment readingOrder="0" shrinkToFit="0" wrapText="0"/>
    </xf>
    <xf borderId="2" fillId="0" fontId="9" numFmtId="0" xfId="0" applyAlignment="1" applyBorder="1" applyFont="1">
      <alignment readingOrder="0" shrinkToFit="0" wrapText="0"/>
    </xf>
    <xf borderId="0" fillId="0" fontId="10" numFmtId="0" xfId="0" applyAlignment="1" applyFont="1">
      <alignment horizontal="center" shrinkToFit="0" vertical="bottom" wrapText="0"/>
    </xf>
    <xf borderId="0" fillId="0" fontId="11" numFmtId="0" xfId="0" applyAlignment="1" applyFont="1">
      <alignment shrinkToFit="0" wrapText="0"/>
    </xf>
    <xf borderId="0" fillId="0" fontId="2" numFmtId="0" xfId="0" applyAlignment="1" applyFont="1">
      <alignment horizontal="center"/>
    </xf>
    <xf borderId="0" fillId="0" fontId="11" numFmtId="0" xfId="0" applyAlignment="1" applyFont="1">
      <alignment horizontal="center" readingOrder="0" shrinkToFit="0" wrapText="0"/>
    </xf>
    <xf borderId="0" fillId="0" fontId="12" numFmtId="165" xfId="0" applyAlignment="1" applyFont="1" applyNumberFormat="1">
      <alignment horizontal="left" readingOrder="0" shrinkToFit="0" wrapText="0"/>
    </xf>
    <xf borderId="0" fillId="0" fontId="12" numFmtId="0" xfId="0" applyAlignment="1" applyFont="1">
      <alignment horizontal="center" readingOrder="0" shrinkToFit="0" wrapText="0"/>
    </xf>
    <xf borderId="0" fillId="0" fontId="12" numFmtId="0" xfId="0" applyAlignment="1" applyFont="1">
      <alignment horizontal="left" shrinkToFit="0" wrapText="0"/>
    </xf>
    <xf borderId="0" fillId="0" fontId="10" numFmtId="0" xfId="0" applyAlignment="1" applyFont="1">
      <alignment shrinkToFit="0" vertical="bottom" wrapText="0"/>
    </xf>
    <xf borderId="0" fillId="0" fontId="10" numFmtId="0" xfId="0" applyAlignment="1" applyFont="1">
      <alignment shrinkToFit="0" wrapText="0"/>
    </xf>
    <xf borderId="0" fillId="0" fontId="12" numFmtId="0" xfId="0" applyAlignment="1" applyFont="1">
      <alignment horizontal="left" readingOrder="0" shrinkToFit="0" wrapText="0"/>
    </xf>
    <xf borderId="0" fillId="0" fontId="11" numFmtId="0" xfId="0" applyAlignment="1" applyFont="1">
      <alignment horizontal="center" shrinkToFit="0" vertical="bottom" wrapText="0"/>
    </xf>
    <xf borderId="0" fillId="0" fontId="10" numFmtId="0" xfId="0" applyAlignment="1" applyFont="1">
      <alignment horizontal="right" shrinkToFit="0" wrapText="0"/>
    </xf>
    <xf borderId="0" fillId="0" fontId="10" numFmtId="0" xfId="0" applyAlignment="1" applyFont="1">
      <alignment horizontal="center" shrinkToFit="0" wrapText="0"/>
    </xf>
    <xf borderId="1" fillId="2" fontId="13" numFmtId="0" xfId="0" applyAlignment="1" applyBorder="1" applyFont="1">
      <alignment horizontal="left" readingOrder="0"/>
    </xf>
    <xf borderId="1" fillId="2" fontId="12" numFmtId="0" xfId="0" applyAlignment="1" applyBorder="1" applyFont="1">
      <alignment horizontal="left" readingOrder="0"/>
    </xf>
    <xf borderId="1" fillId="2" fontId="11" numFmtId="0" xfId="0" applyAlignment="1" applyBorder="1" applyFont="1">
      <alignment horizontal="left" readingOrder="0"/>
    </xf>
    <xf borderId="1" fillId="3" fontId="13" numFmtId="0" xfId="0" applyAlignment="1" applyBorder="1" applyFont="1">
      <alignment horizontal="left" readingOrder="0"/>
    </xf>
    <xf borderId="1" fillId="4" fontId="13" numFmtId="0" xfId="0" applyAlignment="1" applyBorder="1" applyFont="1">
      <alignment horizontal="left" readingOrder="0"/>
    </xf>
    <xf borderId="1" fillId="5" fontId="13" numFmtId="0" xfId="0" applyAlignment="1" applyBorder="1" applyFont="1">
      <alignment horizontal="left" readingOrder="0"/>
    </xf>
    <xf borderId="0" fillId="0" fontId="2" numFmtId="0" xfId="0" applyAlignment="1" applyFont="1">
      <alignment horizontal="left"/>
    </xf>
    <xf borderId="1" fillId="0" fontId="2" numFmtId="0" xfId="0" applyAlignment="1" applyBorder="1" applyFont="1">
      <alignment horizontal="center" readingOrder="0"/>
    </xf>
    <xf borderId="3" fillId="0" fontId="14" numFmtId="0" xfId="0" applyAlignment="1" applyBorder="1" applyFont="1">
      <alignment horizontal="left" readingOrder="0" shrinkToFit="0" vertical="bottom" wrapText="0"/>
    </xf>
    <xf borderId="1" fillId="0" fontId="14" numFmtId="166" xfId="0" applyAlignment="1" applyBorder="1" applyFont="1" applyNumberFormat="1">
      <alignment horizontal="center" readingOrder="0" shrinkToFit="0" vertical="bottom" wrapText="0"/>
    </xf>
    <xf borderId="1" fillId="0" fontId="14" numFmtId="0" xfId="0" applyAlignment="1" applyBorder="1" applyFont="1">
      <alignment horizontal="left" readingOrder="0" shrinkToFit="0" vertical="bottom" wrapText="0"/>
    </xf>
    <xf borderId="3" fillId="0" fontId="15" numFmtId="0" xfId="0" applyAlignment="1" applyBorder="1" applyFont="1">
      <alignment vertical="bottom"/>
    </xf>
    <xf borderId="1" fillId="0" fontId="16" numFmtId="0" xfId="0" applyAlignment="1" applyBorder="1" applyFont="1">
      <alignment horizontal="center" vertical="bottom"/>
    </xf>
    <xf borderId="3" fillId="0" fontId="14" numFmtId="0" xfId="0" applyAlignment="1" applyBorder="1" applyFont="1">
      <alignment horizontal="left" shrinkToFit="0" vertical="bottom" wrapText="0"/>
    </xf>
    <xf quotePrefix="1" borderId="3" fillId="0" fontId="14" numFmtId="0" xfId="0" applyAlignment="1" applyBorder="1" applyFont="1">
      <alignment horizontal="left" readingOrder="0" shrinkToFit="0" vertical="bottom" wrapText="0"/>
    </xf>
    <xf borderId="1" fillId="0" fontId="16" numFmtId="0" xfId="0" applyAlignment="1" applyBorder="1" applyFont="1">
      <alignment vertical="bottom"/>
    </xf>
    <xf borderId="1" fillId="0" fontId="15" numFmtId="0" xfId="0" applyAlignment="1" applyBorder="1" applyFont="1">
      <alignment readingOrder="0" vertical="bottom"/>
    </xf>
    <xf borderId="1" fillId="0" fontId="15" numFmtId="0" xfId="0" applyAlignment="1" applyBorder="1" applyFont="1">
      <alignment horizontal="left" readingOrder="0" vertical="bottom"/>
    </xf>
    <xf borderId="1" fillId="0" fontId="16" numFmtId="0" xfId="0" applyAlignment="1" applyBorder="1" applyFont="1">
      <alignment readingOrder="0" vertical="bottom"/>
    </xf>
    <xf borderId="0" fillId="0" fontId="16" numFmtId="0" xfId="0" applyAlignment="1" applyFont="1">
      <alignment vertical="bottom"/>
    </xf>
    <xf borderId="2" fillId="0" fontId="17" numFmtId="0" xfId="0" applyBorder="1" applyFont="1"/>
    <xf borderId="0" fillId="0" fontId="11" numFmtId="0" xfId="0" applyAlignment="1" applyFont="1">
      <alignment readingOrder="0" shrinkToFit="0" wrapText="0"/>
    </xf>
    <xf borderId="0" fillId="0" fontId="11" numFmtId="0" xfId="0" applyAlignment="1" applyFont="1">
      <alignment horizontal="left" shrinkToFit="0" vertical="bottom" wrapText="0"/>
    </xf>
    <xf borderId="0" fillId="0" fontId="11" numFmtId="0" xfId="0" applyAlignment="1" applyFont="1">
      <alignment horizontal="left" readingOrder="0" shrinkToFit="0" wrapText="0"/>
    </xf>
    <xf borderId="0" fillId="0" fontId="10" numFmtId="0" xfId="0" applyAlignment="1" applyFont="1">
      <alignment horizontal="left" shrinkToFit="0" wrapText="0"/>
    </xf>
    <xf borderId="0" fillId="0" fontId="11" numFmtId="0" xfId="0" applyAlignment="1" applyFont="1">
      <alignment horizontal="center" readingOrder="0" shrinkToFit="0" vertical="center" wrapText="0"/>
    </xf>
    <xf borderId="1" fillId="2" fontId="13" numFmtId="0" xfId="0" applyAlignment="1" applyBorder="1" applyFont="1">
      <alignment horizontal="center" readingOrder="0"/>
    </xf>
    <xf borderId="1" fillId="0" fontId="2" numFmtId="0" xfId="0" applyAlignment="1" applyBorder="1" applyFont="1">
      <alignment readingOrder="0" shrinkToFit="0" vertical="center" wrapText="0"/>
    </xf>
    <xf borderId="1" fillId="0" fontId="14" numFmtId="0" xfId="0" applyAlignment="1" applyBorder="1" applyFont="1">
      <alignment readingOrder="0" shrinkToFit="0" vertical="bottom" wrapText="0"/>
    </xf>
    <xf borderId="1" fillId="0" fontId="2" numFmtId="0" xfId="0" applyAlignment="1" applyBorder="1" applyFont="1">
      <alignment horizontal="center" shrinkToFit="0" vertical="center" wrapText="0"/>
    </xf>
    <xf borderId="1" fillId="0" fontId="14" numFmtId="0" xfId="0" applyAlignment="1" applyBorder="1" applyFont="1">
      <alignment readingOrder="0" shrinkToFit="0" vertical="bottom" wrapText="0"/>
    </xf>
    <xf borderId="1" fillId="0" fontId="14" numFmtId="164" xfId="0" applyAlignment="1" applyBorder="1" applyFont="1" applyNumberFormat="1">
      <alignment readingOrder="0" shrinkToFit="0" vertical="bottom" wrapText="0"/>
    </xf>
    <xf quotePrefix="1" borderId="1" fillId="0" fontId="14" numFmtId="0" xfId="0" applyAlignment="1" applyBorder="1" applyFont="1">
      <alignment horizontal="left" readingOrder="0" shrinkToFit="0" vertical="bottom" wrapText="0"/>
    </xf>
    <xf borderId="1" fillId="0" fontId="14" numFmtId="0" xfId="0" applyAlignment="1" applyBorder="1" applyFont="1">
      <alignment horizontal="left" readingOrder="0" shrinkToFit="0" vertical="bottom" wrapText="0"/>
    </xf>
    <xf borderId="1" fillId="0" fontId="14" numFmtId="0" xfId="0" applyAlignment="1" applyBorder="1" applyFont="1">
      <alignment horizontal="center" readingOrder="0" shrinkToFit="0" vertical="bottom"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xf>
    <xf borderId="0" fillId="6" fontId="2" numFmtId="0" xfId="0" applyFill="1" applyFont="1"/>
    <xf borderId="1" fillId="0" fontId="2" numFmtId="0" xfId="0" applyAlignment="1" applyBorder="1" applyFont="1">
      <alignment readingOrder="0" shrinkToFit="0" vertical="center" wrapText="0"/>
    </xf>
    <xf borderId="1" fillId="0" fontId="14" numFmtId="0" xfId="0" applyAlignment="1" applyBorder="1" applyFont="1">
      <alignment readingOrder="0" shrinkToFit="0" vertical="bottom" wrapText="0"/>
    </xf>
    <xf borderId="1" fillId="0" fontId="2" numFmtId="0" xfId="0" applyAlignment="1" applyBorder="1" applyFont="1">
      <alignment horizontal="center" shrinkToFit="0" vertical="center" wrapText="0"/>
    </xf>
    <xf borderId="1" fillId="0" fontId="14" numFmtId="0" xfId="0" applyAlignment="1" applyBorder="1" applyFont="1">
      <alignment readingOrder="0" shrinkToFit="0" vertical="bottom" wrapText="0"/>
    </xf>
    <xf borderId="1" fillId="0" fontId="14" numFmtId="164" xfId="0" applyAlignment="1" applyBorder="1" applyFont="1" applyNumberFormat="1">
      <alignment readingOrder="0" shrinkToFit="0" vertical="bottom" wrapText="0"/>
    </xf>
    <xf borderId="1" fillId="0" fontId="14" numFmtId="0" xfId="0" applyAlignment="1" applyBorder="1" applyFont="1">
      <alignment horizontal="left" readingOrder="0" shrinkToFit="0" vertical="bottom" wrapText="0"/>
    </xf>
    <xf borderId="1" fillId="0" fontId="14" numFmtId="0" xfId="0" applyAlignment="1" applyBorder="1" applyFont="1">
      <alignment horizontal="center" readingOrder="0" shrinkToFit="0" vertical="bottom"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bottom" wrapText="0"/>
    </xf>
    <xf borderId="1" fillId="0" fontId="14" numFmtId="164" xfId="0" applyAlignment="1" applyBorder="1" applyFont="1" applyNumberFormat="1">
      <alignment horizontal="center" readingOrder="0" shrinkToFit="0" vertical="bottom" wrapText="0"/>
    </xf>
    <xf borderId="1" fillId="0" fontId="2" numFmtId="0" xfId="0" applyBorder="1" applyFont="1"/>
    <xf borderId="1" fillId="2" fontId="12" numFmtId="0" xfId="0" applyAlignment="1" applyBorder="1" applyFont="1">
      <alignment horizontal="center" readingOrder="0"/>
    </xf>
    <xf borderId="1" fillId="2" fontId="11" numFmtId="0" xfId="0" applyAlignment="1" applyBorder="1" applyFont="1">
      <alignment horizontal="center" readingOrder="0"/>
    </xf>
    <xf borderId="1" fillId="3" fontId="11" numFmtId="0" xfId="0" applyAlignment="1" applyBorder="1" applyFont="1">
      <alignment horizontal="center" readingOrder="0"/>
    </xf>
    <xf borderId="1" fillId="4" fontId="11" numFmtId="0" xfId="0" applyAlignment="1" applyBorder="1" applyFont="1">
      <alignment horizontal="center" readingOrder="0"/>
    </xf>
    <xf borderId="1" fillId="7" fontId="11" numFmtId="0" xfId="0" applyAlignment="1" applyBorder="1" applyFill="1" applyFont="1">
      <alignment horizontal="center" readingOrder="0"/>
    </xf>
    <xf borderId="1" fillId="7" fontId="13" numFmtId="0" xfId="0" applyAlignment="1" applyBorder="1" applyFont="1">
      <alignment horizontal="center" readingOrder="0"/>
    </xf>
    <xf borderId="1" fillId="3" fontId="13" numFmtId="0" xfId="0" applyAlignment="1" applyBorder="1" applyFont="1">
      <alignment horizontal="center" readingOrder="0"/>
    </xf>
    <xf borderId="1" fillId="0" fontId="14" numFmtId="167" xfId="0" applyAlignment="1" applyBorder="1" applyFont="1" applyNumberFormat="1">
      <alignment horizontal="center" readingOrder="0" shrinkToFit="0" vertical="bottom" wrapText="0"/>
    </xf>
    <xf borderId="1" fillId="0" fontId="14" numFmtId="0" xfId="0" applyAlignment="1" applyBorder="1" applyFont="1">
      <alignment horizontal="left" readingOrder="0" shrinkToFit="0" vertical="bottom" wrapText="0"/>
    </xf>
    <xf borderId="1" fillId="8" fontId="2" numFmtId="0" xfId="0" applyAlignment="1" applyBorder="1" applyFill="1" applyFont="1">
      <alignment readingOrder="0"/>
    </xf>
    <xf borderId="1" fillId="8" fontId="2" numFmtId="0" xfId="0" applyAlignment="1" applyBorder="1" applyFont="1">
      <alignment horizontal="center" readingOrder="0"/>
    </xf>
    <xf borderId="1" fillId="0" fontId="14" numFmtId="165" xfId="0" applyAlignment="1" applyBorder="1" applyFont="1" applyNumberFormat="1">
      <alignment horizontal="center" readingOrder="0" shrinkToFit="0" vertical="bottom" wrapText="0"/>
    </xf>
    <xf borderId="0" fillId="0" fontId="2" numFmtId="0" xfId="0" applyAlignment="1" applyFont="1">
      <alignment readingOrder="0"/>
    </xf>
    <xf borderId="0" fillId="0" fontId="10" numFmtId="0" xfId="0" applyAlignment="1" applyFont="1">
      <alignment readingOrder="0" shrinkToFit="0" vertical="bottom" wrapText="0"/>
    </xf>
    <xf borderId="0" fillId="0" fontId="10" numFmtId="0" xfId="0" applyAlignment="1" applyFont="1">
      <alignment horizontal="center" readingOrder="0" shrinkToFit="0" vertical="bottom" wrapText="0"/>
    </xf>
    <xf borderId="1" fillId="4" fontId="13" numFmtId="0" xfId="0" applyAlignment="1" applyBorder="1" applyFont="1">
      <alignment horizontal="center" readingOrder="0"/>
    </xf>
    <xf borderId="1" fillId="5" fontId="13" numFmtId="0" xfId="0" applyAlignment="1" applyBorder="1" applyFont="1">
      <alignment horizontal="center" readingOrder="0"/>
    </xf>
    <xf borderId="1" fillId="0" fontId="1" numFmtId="168" xfId="0" applyAlignment="1" applyBorder="1" applyFont="1" applyNumberFormat="1">
      <alignment readingOrder="0"/>
    </xf>
    <xf borderId="3" fillId="0" fontId="18" numFmtId="0" xfId="0" applyAlignment="1" applyBorder="1" applyFont="1">
      <alignment horizontal="left" readingOrder="0" shrinkToFit="0" vertical="bottom" wrapText="0"/>
    </xf>
    <xf borderId="0" fillId="0" fontId="1" numFmtId="0" xfId="0" applyFont="1"/>
    <xf borderId="3" fillId="0" fontId="18" numFmtId="164" xfId="0" applyAlignment="1" applyBorder="1" applyFont="1" applyNumberFormat="1">
      <alignment horizontal="center" readingOrder="0" shrinkToFit="0" vertical="bottom" wrapText="0"/>
    </xf>
    <xf borderId="1" fillId="0" fontId="18" numFmtId="0" xfId="0" applyAlignment="1" applyBorder="1" applyFont="1">
      <alignment horizontal="left" readingOrder="0" shrinkToFit="0" vertical="bottom" wrapText="0"/>
    </xf>
    <xf borderId="1" fillId="0" fontId="1" numFmtId="0" xfId="0" applyAlignment="1" applyBorder="1" applyFont="1">
      <alignment readingOrder="0"/>
    </xf>
    <xf borderId="3" fillId="0" fontId="14" numFmtId="164" xfId="0" applyAlignment="1" applyBorder="1" applyFont="1" applyNumberFormat="1">
      <alignment horizontal="center" readingOrder="0" shrinkToFit="0" vertical="bottom" wrapText="0"/>
    </xf>
    <xf borderId="1" fillId="0" fontId="2" numFmtId="168" xfId="0" applyAlignment="1" applyBorder="1" applyFont="1" applyNumberFormat="1">
      <alignment readingOrder="0"/>
    </xf>
    <xf borderId="0" fillId="0" fontId="11" numFmtId="0" xfId="0" applyAlignment="1" applyFont="1">
      <alignment horizontal="center" readingOrder="0" shrinkToFit="0" vertical="bottom" wrapText="0"/>
    </xf>
    <xf borderId="1" fillId="8" fontId="2" numFmtId="0" xfId="0" applyAlignment="1" applyBorder="1" applyFont="1">
      <alignment horizontal="center"/>
    </xf>
    <xf borderId="1" fillId="8" fontId="2" numFmtId="167" xfId="0" applyAlignment="1" applyBorder="1" applyFont="1" applyNumberFormat="1">
      <alignment readingOrder="0"/>
    </xf>
    <xf borderId="1" fillId="8" fontId="14" numFmtId="0" xfId="0" applyAlignment="1" applyBorder="1" applyFont="1">
      <alignment horizontal="left" readingOrder="0" shrinkToFit="0" vertical="bottom" wrapText="0"/>
    </xf>
    <xf borderId="0" fillId="8" fontId="2" numFmtId="0" xfId="0" applyFont="1"/>
    <xf borderId="1" fillId="3" fontId="2" numFmtId="0" xfId="0" applyAlignment="1" applyBorder="1" applyFont="1">
      <alignment horizontal="center" readingOrder="0"/>
    </xf>
    <xf borderId="1" fillId="3" fontId="2" numFmtId="0" xfId="0" applyAlignment="1" applyBorder="1" applyFont="1">
      <alignment readingOrder="0"/>
    </xf>
    <xf borderId="1" fillId="3" fontId="2" numFmtId="0" xfId="0" applyAlignment="1" applyBorder="1" applyFont="1">
      <alignment horizontal="center"/>
    </xf>
    <xf borderId="1" fillId="3" fontId="2" numFmtId="167" xfId="0" applyAlignment="1" applyBorder="1" applyFont="1" applyNumberFormat="1">
      <alignment readingOrder="0"/>
    </xf>
    <xf borderId="1" fillId="3" fontId="14" numFmtId="0" xfId="0" applyAlignment="1" applyBorder="1" applyFont="1">
      <alignment horizontal="left" readingOrder="0" shrinkToFit="0" vertical="bottom" wrapText="0"/>
    </xf>
    <xf borderId="0" fillId="3" fontId="2" numFmtId="0" xfId="0" applyFont="1"/>
    <xf borderId="0" fillId="8" fontId="2" numFmtId="0" xfId="0" applyAlignment="1" applyFont="1">
      <alignment horizontal="center"/>
    </xf>
    <xf borderId="3" fillId="0" fontId="14" numFmtId="0" xfId="0" applyAlignment="1" applyBorder="1" applyFont="1">
      <alignment horizontal="center" readingOrder="0" shrinkToFit="0" vertical="bottom" wrapText="0"/>
    </xf>
    <xf quotePrefix="1" borderId="3" fillId="0" fontId="14" numFmtId="0" xfId="0" applyAlignment="1" applyBorder="1" applyFont="1">
      <alignment horizontal="center" readingOrder="0" shrinkToFit="0" vertical="bottom" wrapText="0"/>
    </xf>
    <xf borderId="1" fillId="8" fontId="13" numFmtId="0" xfId="0" applyAlignment="1" applyBorder="1" applyFont="1">
      <alignment horizontal="center" readingOrder="0"/>
    </xf>
    <xf borderId="3" fillId="0" fontId="15" numFmtId="0" xfId="0" applyAlignment="1" applyBorder="1" applyFont="1">
      <alignment horizontal="center" readingOrder="0" vertical="bottom"/>
    </xf>
    <xf quotePrefix="1" borderId="1" fillId="0" fontId="14" numFmtId="0" xfId="0" applyAlignment="1" applyBorder="1" applyFont="1">
      <alignment horizontal="center" readingOrder="0" shrinkToFit="0" vertical="bottom" wrapText="0"/>
    </xf>
    <xf borderId="0" fillId="0" fontId="10" numFmtId="0" xfId="0" applyAlignment="1" applyFont="1">
      <alignment shrinkToFit="0" wrapText="0"/>
    </xf>
    <xf borderId="0" fillId="0" fontId="10" numFmtId="0" xfId="0" applyAlignment="1" applyFont="1">
      <alignment shrinkToFit="0" vertical="bottom" wrapText="0"/>
    </xf>
    <xf borderId="0" fillId="0" fontId="10" numFmtId="0" xfId="0" applyAlignment="1" applyFont="1">
      <alignment horizontal="center" shrinkToFit="0" vertical="bottom" wrapText="0"/>
    </xf>
    <xf borderId="0" fillId="0" fontId="12" numFmtId="165" xfId="0" applyAlignment="1" applyFont="1" applyNumberFormat="1">
      <alignment horizontal="center" readingOrder="0" shrinkToFit="0" wrapText="0"/>
    </xf>
    <xf borderId="1" fillId="9" fontId="2" numFmtId="0" xfId="0" applyAlignment="1" applyBorder="1" applyFill="1" applyFont="1">
      <alignment readingOrder="0"/>
    </xf>
    <xf borderId="1" fillId="9" fontId="14" numFmtId="169" xfId="0" applyAlignment="1" applyBorder="1" applyFont="1" applyNumberFormat="1">
      <alignment horizontal="left" readingOrder="0" shrinkToFit="0" vertical="bottom" wrapText="0"/>
    </xf>
    <xf borderId="1" fillId="9" fontId="2" numFmtId="0" xfId="0" applyBorder="1" applyFont="1"/>
    <xf borderId="1" fillId="9" fontId="14" numFmtId="0" xfId="0" applyAlignment="1" applyBorder="1" applyFont="1">
      <alignment horizontal="left" readingOrder="0" shrinkToFit="0" vertical="bottom" wrapText="0"/>
    </xf>
    <xf borderId="1" fillId="9" fontId="14" numFmtId="0" xfId="0" applyAlignment="1" applyBorder="1" applyFont="1">
      <alignment horizontal="center" readingOrder="0" shrinkToFit="0" vertical="bottom" wrapText="0"/>
    </xf>
    <xf borderId="0" fillId="9" fontId="2" numFmtId="0" xfId="0" applyFont="1"/>
    <xf borderId="1" fillId="0" fontId="14" numFmtId="169" xfId="0" applyAlignment="1" applyBorder="1" applyFont="1" applyNumberFormat="1">
      <alignment horizontal="left" readingOrder="0" shrinkToFit="0" vertical="bottom" wrapText="0"/>
    </xf>
    <xf borderId="4" fillId="0" fontId="14" numFmtId="0" xfId="0" applyAlignment="1" applyBorder="1" applyFont="1">
      <alignment horizontal="left" readingOrder="0" shrinkToFit="0" vertical="bottom" wrapText="0"/>
    </xf>
    <xf borderId="4" fillId="0" fontId="14" numFmtId="0" xfId="0" applyAlignment="1" applyBorder="1" applyFont="1">
      <alignment horizontal="center" readingOrder="0" shrinkToFit="0" vertical="bottom" wrapText="0"/>
    </xf>
    <xf borderId="3" fillId="0" fontId="14" numFmtId="165" xfId="0" applyAlignment="1" applyBorder="1" applyFont="1" applyNumberFormat="1">
      <alignment horizontal="center" readingOrder="0" shrinkToFit="0" vertical="bottom" wrapText="0"/>
    </xf>
  </cellXfs>
  <cellStyles count="1">
    <cellStyle xfId="0" name="Normal" builtinId="0"/>
  </cellStyles>
  <dxfs count="9">
    <dxf>
      <font/>
      <fill>
        <patternFill patternType="solid">
          <fgColor rgb="FFFFF2CC"/>
          <bgColor rgb="FFFFF2CC"/>
        </patternFill>
      </fill>
      <border/>
    </dxf>
    <dxf>
      <font/>
      <fill>
        <patternFill patternType="solid">
          <fgColor rgb="FFB6D7A8"/>
          <bgColor rgb="FFB6D7A8"/>
        </patternFill>
      </fill>
      <border/>
    </dxf>
    <dxf>
      <font/>
      <fill>
        <patternFill patternType="solid">
          <fgColor rgb="FFE06666"/>
          <bgColor rgb="FFE06666"/>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Xuất khẩu-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77450" cy="5029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7:M41" displayName="Table1" name="Table1" id="1">
  <tableColumns count="13">
    <tableColumn name="STT" id="1"/>
    <tableColumn name="Số TK (CD #)" id="2"/>
    <tableColumn name="Nhánh" id="3"/>
    <tableColumn name="Mã loại hình" id="4"/>
    <tableColumn name="Ngày ĐK (CD Date)" id="5"/>
    <tableColumn name="Mã HQ" id="6"/>
    <tableColumn name="Vận đơn (B/L#)" id="7"/>
    <tableColumn name="Hóa đơn" id="8"/>
    <tableColumn name="Tên người XK" id="9"/>
    <tableColumn name="Tên người NK" id="10"/>
    <tableColumn name="Phương thức vận chuyển" id="11"/>
    <tableColumn name="Luồng" id="12"/>
    <tableColumn name="Tên" id="13"/>
  </tableColumns>
  <tableStyleInfo name="Xuất khẩ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42.63"/>
  </cols>
  <sheetData>
    <row r="1">
      <c r="A1" s="1" t="s">
        <v>0</v>
      </c>
      <c r="B1" s="1" t="s">
        <v>1</v>
      </c>
    </row>
    <row r="2">
      <c r="A2" s="2" t="str">
        <f t="array" ref="A2:A8">UNIQUE('Xuất khẩu'!I8:I1000)</f>
        <v>CÔNG TY CỔ PHẦN CƠ KHÍ GANG THÉP</v>
      </c>
      <c r="B2" s="2" t="str">
        <f t="array" ref="B2:B10">UNIQUE('Nhập khẩu'!I8:I1000)</f>
        <v>CôNG TY TNHH GLOREX VINA</v>
      </c>
    </row>
    <row r="3">
      <c r="A3" s="2" t="s">
        <v>2</v>
      </c>
      <c r="B3" s="2" t="s">
        <v>2</v>
      </c>
    </row>
    <row r="4">
      <c r="A4" s="2" t="s">
        <v>3</v>
      </c>
      <c r="B4" s="2" t="s">
        <v>4</v>
      </c>
    </row>
    <row r="5">
      <c r="A5" s="2" t="s">
        <v>5</v>
      </c>
      <c r="B5" s="2" t="s">
        <v>6</v>
      </c>
    </row>
    <row r="6">
      <c r="A6" s="2" t="s">
        <v>7</v>
      </c>
      <c r="B6" s="2" t="s">
        <v>8</v>
      </c>
    </row>
    <row r="7">
      <c r="A7" s="2" t="s">
        <v>9</v>
      </c>
      <c r="B7" s="2" t="s">
        <v>10</v>
      </c>
    </row>
    <row r="8">
      <c r="A8" s="2"/>
      <c r="B8" s="2" t="s">
        <v>9</v>
      </c>
    </row>
    <row r="9">
      <c r="B9" s="2" t="s">
        <v>11</v>
      </c>
    </row>
    <row r="10">
      <c r="B1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2.5"/>
    <col customWidth="1" hidden="1" min="3" max="3" width="6.63"/>
    <col customWidth="1" min="4" max="4" width="5.5"/>
    <col customWidth="1" min="5" max="5" width="11.38"/>
    <col customWidth="1" min="6" max="6" width="6.75"/>
    <col customWidth="1" min="7" max="7" width="22.75"/>
    <col customWidth="1" min="8" max="8" width="14.63"/>
    <col customWidth="1" min="9" max="9" width="40.5"/>
    <col customWidth="1" min="10" max="10" width="48.63"/>
    <col customWidth="1" min="11" max="11" width="22.0"/>
    <col customWidth="1" min="12" max="12" width="6.38"/>
    <col customWidth="1" min="13" max="13" width="6.0"/>
    <col hidden="1" min="14" max="14" width="12.63"/>
    <col customWidth="1" min="15" max="15" width="37.13"/>
  </cols>
  <sheetData>
    <row r="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 r="A2" s="3"/>
      <c r="B2" s="3"/>
      <c r="C2" s="3"/>
      <c r="D2" s="4" t="s">
        <v>12</v>
      </c>
      <c r="G2" s="5"/>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row>
    <row r="3">
      <c r="A3" s="4" t="s">
        <v>11</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row>
    <row r="4">
      <c r="A4" s="3"/>
      <c r="B4" s="5" t="s">
        <v>13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row>
    <row r="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row>
    <row r="6">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row>
    <row r="7">
      <c r="A7" s="6" t="s">
        <v>14</v>
      </c>
      <c r="B7" s="7" t="s">
        <v>15</v>
      </c>
      <c r="C7" s="6" t="s">
        <v>16</v>
      </c>
      <c r="D7" s="7" t="s">
        <v>17</v>
      </c>
      <c r="E7" s="7" t="s">
        <v>18</v>
      </c>
      <c r="F7" s="6" t="s">
        <v>19</v>
      </c>
      <c r="G7" s="8" t="s">
        <v>20</v>
      </c>
      <c r="H7" s="8" t="s">
        <v>21</v>
      </c>
      <c r="I7" s="9" t="s">
        <v>22</v>
      </c>
      <c r="J7" s="8" t="s">
        <v>23</v>
      </c>
      <c r="K7" s="6" t="s">
        <v>24</v>
      </c>
      <c r="L7" s="9" t="s">
        <v>25</v>
      </c>
      <c r="M7" s="10" t="s">
        <v>26</v>
      </c>
      <c r="N7" s="11" t="s">
        <v>27</v>
      </c>
      <c r="O7" s="6" t="s">
        <v>28</v>
      </c>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row>
    <row r="8">
      <c r="A8" s="13">
        <f t="array" ref="A8">SEQUENCE(counta(B8:B1000),1)</f>
        <v>1</v>
      </c>
      <c r="B8" s="13" t="str">
        <f>IFERROR(__xludf.DUMMYFUNCTION("LET(a,VSTACK('Xuất khẩu'!B8:O1000,'Nhập khẩu'!B8:O1000),FILTER(a,(CHOOSECOLS(a,8)=A3)*(LEFT(CHOOSECOLS(a,1),1)=SWITCH(B4,""Xuất"",""3"",""Nhập"",""1""))))"),"#N/A")</f>
        <v>#N/A</v>
      </c>
      <c r="C8" s="13"/>
      <c r="D8" s="13"/>
      <c r="E8" s="13"/>
      <c r="F8" s="13"/>
      <c r="G8" s="13"/>
      <c r="H8" s="13"/>
      <c r="I8" s="13"/>
      <c r="J8" s="13"/>
      <c r="K8" s="13"/>
      <c r="L8" s="14"/>
      <c r="M8" s="13"/>
      <c r="N8" s="13"/>
      <c r="O8" s="1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row>
    <row r="9">
      <c r="A9" s="13"/>
      <c r="B9" s="13"/>
      <c r="C9" s="13"/>
      <c r="D9" s="13"/>
      <c r="E9" s="13"/>
      <c r="F9" s="13"/>
      <c r="G9" s="13"/>
      <c r="H9" s="13"/>
      <c r="I9" s="13"/>
      <c r="J9" s="13"/>
      <c r="K9" s="13"/>
      <c r="L9" s="14"/>
      <c r="M9" s="13"/>
      <c r="N9" s="13"/>
      <c r="O9" s="1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row>
    <row r="10">
      <c r="A10" s="13"/>
      <c r="B10" s="13"/>
      <c r="C10" s="13"/>
      <c r="D10" s="13"/>
      <c r="E10" s="13"/>
      <c r="F10" s="13"/>
      <c r="G10" s="13"/>
      <c r="H10" s="13"/>
      <c r="I10" s="13"/>
      <c r="J10" s="13"/>
      <c r="K10" s="13"/>
      <c r="L10" s="14"/>
      <c r="M10" s="13"/>
      <c r="N10" s="13"/>
      <c r="O10" s="1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row>
    <row r="11">
      <c r="A11" s="13"/>
      <c r="B11" s="13"/>
      <c r="C11" s="13"/>
      <c r="D11" s="13"/>
      <c r="E11" s="13"/>
      <c r="F11" s="13"/>
      <c r="G11" s="13"/>
      <c r="H11" s="13"/>
      <c r="I11" s="13"/>
      <c r="J11" s="13"/>
      <c r="K11" s="13"/>
      <c r="L11" s="14"/>
      <c r="M11" s="13"/>
      <c r="N11" s="13"/>
      <c r="O11" s="1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row>
    <row r="12">
      <c r="A12" s="13"/>
      <c r="B12" s="13"/>
      <c r="C12" s="13"/>
      <c r="D12" s="13"/>
      <c r="E12" s="13"/>
      <c r="F12" s="13"/>
      <c r="G12" s="13"/>
      <c r="H12" s="13"/>
      <c r="I12" s="13"/>
      <c r="J12" s="13"/>
      <c r="K12" s="13"/>
      <c r="L12" s="14"/>
      <c r="M12" s="13"/>
      <c r="N12" s="13"/>
      <c r="O12" s="1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row>
    <row r="13">
      <c r="A13" s="13"/>
      <c r="B13" s="13"/>
      <c r="C13" s="13"/>
      <c r="D13" s="13"/>
      <c r="E13" s="13"/>
      <c r="F13" s="13"/>
      <c r="G13" s="13"/>
      <c r="H13" s="13"/>
      <c r="I13" s="13"/>
      <c r="J13" s="13"/>
      <c r="K13" s="13"/>
      <c r="L13" s="14"/>
      <c r="M13" s="13"/>
      <c r="N13" s="13"/>
      <c r="O13" s="1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row>
    <row r="14">
      <c r="A14" s="13"/>
      <c r="B14" s="13"/>
      <c r="C14" s="13"/>
      <c r="D14" s="13"/>
      <c r="E14" s="13"/>
      <c r="F14" s="13"/>
      <c r="G14" s="13"/>
      <c r="H14" s="13"/>
      <c r="I14" s="13"/>
      <c r="J14" s="13"/>
      <c r="K14" s="13"/>
      <c r="L14" s="14"/>
      <c r="M14" s="13"/>
      <c r="N14" s="13"/>
      <c r="O14" s="1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row>
    <row r="15">
      <c r="A15" s="13"/>
      <c r="B15" s="13"/>
      <c r="C15" s="13"/>
      <c r="D15" s="13"/>
      <c r="E15" s="13"/>
      <c r="F15" s="13"/>
      <c r="G15" s="13"/>
      <c r="H15" s="13"/>
      <c r="I15" s="13"/>
      <c r="J15" s="13"/>
      <c r="K15" s="13"/>
      <c r="L15" s="14"/>
      <c r="M15" s="13"/>
      <c r="N15" s="13"/>
      <c r="O15" s="1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row>
    <row r="16">
      <c r="A16" s="13"/>
      <c r="B16" s="13"/>
      <c r="C16" s="13"/>
      <c r="D16" s="13"/>
      <c r="E16" s="13"/>
      <c r="F16" s="13"/>
      <c r="G16" s="13"/>
      <c r="H16" s="13"/>
      <c r="I16" s="13"/>
      <c r="J16" s="13"/>
      <c r="K16" s="13"/>
      <c r="L16" s="14"/>
      <c r="M16" s="13"/>
      <c r="N16" s="13"/>
      <c r="O16" s="1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row>
    <row r="17">
      <c r="A17" s="13"/>
      <c r="B17" s="13"/>
      <c r="C17" s="13"/>
      <c r="D17" s="13"/>
      <c r="E17" s="13"/>
      <c r="F17" s="13"/>
      <c r="G17" s="13"/>
      <c r="H17" s="13"/>
      <c r="I17" s="13"/>
      <c r="J17" s="13"/>
      <c r="K17" s="13"/>
      <c r="L17" s="14"/>
      <c r="M17" s="13"/>
      <c r="N17" s="13"/>
      <c r="O17" s="1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row>
    <row r="18">
      <c r="A18" s="13"/>
      <c r="B18" s="13"/>
      <c r="C18" s="13"/>
      <c r="D18" s="13"/>
      <c r="E18" s="15"/>
      <c r="F18" s="13"/>
      <c r="G18" s="13"/>
      <c r="H18" s="13"/>
      <c r="I18" s="13"/>
      <c r="J18" s="13"/>
      <c r="K18" s="13"/>
      <c r="L18" s="14"/>
      <c r="M18" s="13"/>
      <c r="N18" s="13"/>
      <c r="O18" s="1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row>
    <row r="19">
      <c r="A19" s="13"/>
      <c r="B19" s="13"/>
      <c r="C19" s="13"/>
      <c r="D19" s="13"/>
      <c r="E19" s="15"/>
      <c r="F19" s="13"/>
      <c r="G19" s="13"/>
      <c r="H19" s="13"/>
      <c r="I19" s="13"/>
      <c r="J19" s="13"/>
      <c r="K19" s="13"/>
      <c r="L19" s="14"/>
      <c r="M19" s="13"/>
      <c r="N19" s="13"/>
      <c r="O19" s="1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row>
    <row r="20">
      <c r="A20" s="13"/>
      <c r="B20" s="13"/>
      <c r="C20" s="13"/>
      <c r="D20" s="13"/>
      <c r="E20" s="15"/>
      <c r="F20" s="13"/>
      <c r="G20" s="13"/>
      <c r="H20" s="13"/>
      <c r="I20" s="13"/>
      <c r="J20" s="13"/>
      <c r="K20" s="13"/>
      <c r="L20" s="14"/>
      <c r="M20" s="13"/>
      <c r="N20" s="13"/>
      <c r="O20" s="1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row>
    <row r="21">
      <c r="A21" s="13"/>
      <c r="B21" s="13"/>
      <c r="C21" s="13"/>
      <c r="D21" s="13"/>
      <c r="E21" s="15"/>
      <c r="F21" s="13"/>
      <c r="G21" s="13"/>
      <c r="H21" s="13"/>
      <c r="I21" s="13"/>
      <c r="J21" s="13"/>
      <c r="K21" s="13"/>
      <c r="L21" s="14"/>
      <c r="M21" s="13"/>
      <c r="N21" s="13"/>
      <c r="O21" s="1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row>
    <row r="22">
      <c r="A22" s="13"/>
      <c r="B22" s="13"/>
      <c r="C22" s="13"/>
      <c r="D22" s="13"/>
      <c r="E22" s="15"/>
      <c r="F22" s="13"/>
      <c r="G22" s="13"/>
      <c r="H22" s="13"/>
      <c r="I22" s="13"/>
      <c r="J22" s="13"/>
      <c r="K22" s="13"/>
      <c r="L22" s="14"/>
      <c r="M22" s="13"/>
      <c r="N22" s="13"/>
      <c r="O22" s="1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row>
    <row r="23">
      <c r="A23" s="13"/>
      <c r="B23" s="13"/>
      <c r="C23" s="13"/>
      <c r="D23" s="13"/>
      <c r="E23" s="15"/>
      <c r="F23" s="13"/>
      <c r="G23" s="13"/>
      <c r="H23" s="13"/>
      <c r="I23" s="13"/>
      <c r="J23" s="13"/>
      <c r="K23" s="13"/>
      <c r="L23" s="14"/>
      <c r="M23" s="13"/>
      <c r="N23" s="13"/>
      <c r="O23" s="1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row>
    <row r="24">
      <c r="A24" s="13"/>
      <c r="B24" s="13"/>
      <c r="C24" s="13"/>
      <c r="D24" s="13"/>
      <c r="E24" s="15"/>
      <c r="F24" s="13"/>
      <c r="G24" s="13"/>
      <c r="H24" s="13"/>
      <c r="I24" s="13"/>
      <c r="J24" s="13"/>
      <c r="K24" s="13"/>
      <c r="L24" s="14"/>
      <c r="M24" s="13"/>
      <c r="N24" s="13"/>
      <c r="O24" s="1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row>
    <row r="25">
      <c r="A25" s="13"/>
      <c r="B25" s="13"/>
      <c r="C25" s="13"/>
      <c r="D25" s="13"/>
      <c r="E25" s="15"/>
      <c r="F25" s="13"/>
      <c r="G25" s="13"/>
      <c r="H25" s="13"/>
      <c r="I25" s="13"/>
      <c r="J25" s="13"/>
      <c r="K25" s="13"/>
      <c r="L25" s="14"/>
      <c r="M25" s="13"/>
      <c r="N25" s="13"/>
      <c r="O25" s="1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row>
    <row r="26">
      <c r="A26" s="13"/>
      <c r="B26" s="13"/>
      <c r="C26" s="13"/>
      <c r="D26" s="13"/>
      <c r="E26" s="15"/>
      <c r="F26" s="13"/>
      <c r="G26" s="13"/>
      <c r="H26" s="13"/>
      <c r="I26" s="13"/>
      <c r="J26" s="13"/>
      <c r="K26" s="13"/>
      <c r="L26" s="14"/>
      <c r="M26" s="13"/>
      <c r="N26" s="13"/>
      <c r="O26" s="1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row>
    <row r="27">
      <c r="A27" s="13"/>
      <c r="B27" s="13"/>
      <c r="C27" s="13"/>
      <c r="D27" s="13"/>
      <c r="E27" s="15"/>
      <c r="F27" s="13"/>
      <c r="G27" s="13"/>
      <c r="H27" s="13"/>
      <c r="I27" s="13"/>
      <c r="J27" s="13"/>
      <c r="K27" s="13"/>
      <c r="L27" s="14"/>
      <c r="M27" s="13"/>
      <c r="N27" s="13"/>
      <c r="O27" s="1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row>
    <row r="28">
      <c r="A28" s="13"/>
      <c r="B28" s="13"/>
      <c r="C28" s="13"/>
      <c r="D28" s="13"/>
      <c r="E28" s="15"/>
      <c r="F28" s="13"/>
      <c r="G28" s="13"/>
      <c r="H28" s="13"/>
      <c r="I28" s="13"/>
      <c r="J28" s="13"/>
      <c r="K28" s="13"/>
      <c r="L28" s="14"/>
      <c r="M28" s="13"/>
      <c r="N28" s="13"/>
      <c r="O28" s="1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row>
    <row r="29">
      <c r="A29" s="13"/>
      <c r="B29" s="13"/>
      <c r="C29" s="13"/>
      <c r="D29" s="13"/>
      <c r="E29" s="13"/>
      <c r="F29" s="13"/>
      <c r="G29" s="13"/>
      <c r="H29" s="13"/>
      <c r="I29" s="13"/>
      <c r="J29" s="13"/>
      <c r="K29" s="13"/>
      <c r="L29" s="14"/>
      <c r="M29" s="13"/>
      <c r="N29" s="13"/>
      <c r="O29" s="1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row>
    <row r="30">
      <c r="A30" s="13"/>
      <c r="B30" s="13"/>
      <c r="C30" s="13"/>
      <c r="D30" s="13"/>
      <c r="E30" s="13"/>
      <c r="F30" s="13"/>
      <c r="G30" s="13"/>
      <c r="H30" s="13"/>
      <c r="I30" s="13"/>
      <c r="J30" s="13"/>
      <c r="K30" s="13"/>
      <c r="L30" s="14"/>
      <c r="M30" s="13"/>
      <c r="N30" s="13"/>
      <c r="O30" s="1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row>
    <row r="31">
      <c r="A31" s="13"/>
      <c r="B31" s="13"/>
      <c r="C31" s="13"/>
      <c r="D31" s="13"/>
      <c r="E31" s="13"/>
      <c r="F31" s="13"/>
      <c r="G31" s="13"/>
      <c r="H31" s="13"/>
      <c r="I31" s="13"/>
      <c r="J31" s="13"/>
      <c r="K31" s="13"/>
      <c r="L31" s="14"/>
      <c r="M31" s="13"/>
      <c r="N31" s="13"/>
      <c r="O31" s="1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row>
    <row r="32">
      <c r="A32" s="13"/>
      <c r="B32" s="13"/>
      <c r="C32" s="13"/>
      <c r="D32" s="13"/>
      <c r="E32" s="13"/>
      <c r="F32" s="13"/>
      <c r="G32" s="13"/>
      <c r="H32" s="13"/>
      <c r="I32" s="13"/>
      <c r="J32" s="13"/>
      <c r="K32" s="13"/>
      <c r="L32" s="14"/>
      <c r="M32" s="13"/>
      <c r="N32" s="13"/>
      <c r="O32" s="1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row>
    <row r="33">
      <c r="A33" s="13"/>
      <c r="B33" s="13"/>
      <c r="C33" s="13"/>
      <c r="D33" s="13"/>
      <c r="E33" s="13"/>
      <c r="F33" s="13"/>
      <c r="G33" s="13"/>
      <c r="H33" s="13"/>
      <c r="I33" s="13"/>
      <c r="J33" s="13"/>
      <c r="K33" s="13"/>
      <c r="L33" s="14"/>
      <c r="M33" s="13"/>
      <c r="N33" s="13"/>
      <c r="O33" s="1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row>
    <row r="34">
      <c r="A34" s="13"/>
      <c r="B34" s="13"/>
      <c r="C34" s="13"/>
      <c r="D34" s="13"/>
      <c r="E34" s="13"/>
      <c r="F34" s="13"/>
      <c r="G34" s="13"/>
      <c r="H34" s="13"/>
      <c r="I34" s="13"/>
      <c r="J34" s="13"/>
      <c r="K34" s="13"/>
      <c r="L34" s="14"/>
      <c r="M34" s="13"/>
      <c r="N34" s="13"/>
      <c r="O34" s="1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row>
    <row r="35">
      <c r="A35" s="13"/>
      <c r="B35" s="13"/>
      <c r="C35" s="13"/>
      <c r="D35" s="13"/>
      <c r="E35" s="13"/>
      <c r="F35" s="13"/>
      <c r="G35" s="13"/>
      <c r="H35" s="13"/>
      <c r="I35" s="13"/>
      <c r="J35" s="13"/>
      <c r="K35" s="13"/>
      <c r="L35" s="14"/>
      <c r="M35" s="13"/>
      <c r="N35" s="13"/>
      <c r="O35" s="1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row>
    <row r="36">
      <c r="A36" s="13"/>
      <c r="B36" s="13"/>
      <c r="C36" s="13"/>
      <c r="D36" s="13"/>
      <c r="E36" s="13"/>
      <c r="F36" s="13"/>
      <c r="G36" s="13"/>
      <c r="H36" s="13"/>
      <c r="I36" s="13"/>
      <c r="J36" s="13"/>
      <c r="K36" s="13"/>
      <c r="L36" s="14"/>
      <c r="M36" s="13"/>
      <c r="N36" s="13"/>
      <c r="O36" s="1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row>
    <row r="37">
      <c r="A37" s="13"/>
      <c r="B37" s="13"/>
      <c r="C37" s="13"/>
      <c r="D37" s="13"/>
      <c r="E37" s="13"/>
      <c r="F37" s="13"/>
      <c r="G37" s="13"/>
      <c r="H37" s="13"/>
      <c r="I37" s="13"/>
      <c r="J37" s="13"/>
      <c r="K37" s="13"/>
      <c r="L37" s="14"/>
      <c r="M37" s="13"/>
      <c r="N37" s="13"/>
      <c r="O37" s="1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row>
    <row r="38">
      <c r="A38" s="13"/>
      <c r="B38" s="13"/>
      <c r="C38" s="13"/>
      <c r="D38" s="13"/>
      <c r="E38" s="13"/>
      <c r="F38" s="13"/>
      <c r="G38" s="13"/>
      <c r="H38" s="13"/>
      <c r="I38" s="13"/>
      <c r="J38" s="13"/>
      <c r="K38" s="13"/>
      <c r="L38" s="14"/>
      <c r="M38" s="13"/>
      <c r="N38" s="13"/>
      <c r="O38" s="1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row>
    <row r="39">
      <c r="A39" s="13"/>
      <c r="B39" s="13"/>
      <c r="C39" s="13"/>
      <c r="D39" s="13"/>
      <c r="E39" s="13"/>
      <c r="F39" s="13"/>
      <c r="G39" s="13"/>
      <c r="H39" s="13"/>
      <c r="I39" s="13"/>
      <c r="J39" s="13"/>
      <c r="K39" s="13"/>
      <c r="L39" s="14"/>
      <c r="M39" s="13"/>
      <c r="N39" s="13"/>
      <c r="O39" s="1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row>
    <row r="40">
      <c r="A40" s="13"/>
      <c r="B40" s="13"/>
      <c r="C40" s="13"/>
      <c r="D40" s="13"/>
      <c r="E40" s="13"/>
      <c r="F40" s="13"/>
      <c r="G40" s="13"/>
      <c r="H40" s="13"/>
      <c r="I40" s="13"/>
      <c r="J40" s="13"/>
      <c r="K40" s="13"/>
      <c r="L40" s="14"/>
      <c r="M40" s="13"/>
      <c r="N40" s="13"/>
      <c r="O40" s="1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row>
    <row r="41">
      <c r="A41" s="13"/>
      <c r="B41" s="13"/>
      <c r="C41" s="13"/>
      <c r="D41" s="13"/>
      <c r="E41" s="13"/>
      <c r="F41" s="13"/>
      <c r="G41" s="13"/>
      <c r="H41" s="13"/>
      <c r="I41" s="13"/>
      <c r="J41" s="13"/>
      <c r="K41" s="13"/>
      <c r="L41" s="14"/>
      <c r="M41" s="13"/>
      <c r="N41" s="13"/>
      <c r="O41" s="1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row>
    <row r="42">
      <c r="A42" s="13"/>
      <c r="B42" s="13"/>
      <c r="C42" s="13"/>
      <c r="D42" s="13"/>
      <c r="E42" s="13"/>
      <c r="F42" s="13"/>
      <c r="G42" s="13"/>
      <c r="H42" s="13"/>
      <c r="I42" s="13"/>
      <c r="J42" s="13"/>
      <c r="K42" s="13"/>
      <c r="L42" s="14"/>
      <c r="M42" s="13"/>
      <c r="N42" s="13"/>
      <c r="O42" s="1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row>
    <row r="43">
      <c r="A43" s="13"/>
      <c r="B43" s="13"/>
      <c r="C43" s="13"/>
      <c r="D43" s="13"/>
      <c r="E43" s="13"/>
      <c r="F43" s="13"/>
      <c r="G43" s="13"/>
      <c r="H43" s="13"/>
      <c r="I43" s="13"/>
      <c r="J43" s="13"/>
      <c r="K43" s="13"/>
      <c r="L43" s="14"/>
      <c r="M43" s="13"/>
      <c r="N43" s="13"/>
      <c r="O43" s="1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row>
    <row r="44">
      <c r="A44" s="13"/>
      <c r="B44" s="13"/>
      <c r="C44" s="13"/>
      <c r="D44" s="13"/>
      <c r="E44" s="13"/>
      <c r="F44" s="13"/>
      <c r="G44" s="13"/>
      <c r="H44" s="13"/>
      <c r="I44" s="13"/>
      <c r="J44" s="13"/>
      <c r="K44" s="13"/>
      <c r="L44" s="14"/>
      <c r="M44" s="13"/>
      <c r="N44" s="13"/>
      <c r="O44" s="1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row>
    <row r="45">
      <c r="A45" s="13"/>
      <c r="B45" s="13"/>
      <c r="C45" s="13"/>
      <c r="D45" s="13"/>
      <c r="E45" s="13"/>
      <c r="F45" s="13"/>
      <c r="G45" s="13"/>
      <c r="H45" s="13"/>
      <c r="I45" s="13"/>
      <c r="J45" s="13"/>
      <c r="K45" s="13"/>
      <c r="L45" s="14"/>
      <c r="M45" s="13"/>
      <c r="N45" s="13"/>
      <c r="O45" s="1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row>
    <row r="46">
      <c r="A46" s="13"/>
      <c r="B46" s="13"/>
      <c r="C46" s="13"/>
      <c r="D46" s="13"/>
      <c r="E46" s="13"/>
      <c r="F46" s="13"/>
      <c r="G46" s="13"/>
      <c r="H46" s="13"/>
      <c r="I46" s="13"/>
      <c r="J46" s="13"/>
      <c r="K46" s="13"/>
      <c r="L46" s="14"/>
      <c r="M46" s="13"/>
      <c r="N46" s="13"/>
      <c r="O46" s="1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row>
    <row r="47">
      <c r="A47" s="13"/>
      <c r="B47" s="13"/>
      <c r="C47" s="13"/>
      <c r="D47" s="13"/>
      <c r="E47" s="13"/>
      <c r="F47" s="13"/>
      <c r="G47" s="13"/>
      <c r="H47" s="13"/>
      <c r="I47" s="13"/>
      <c r="J47" s="13"/>
      <c r="K47" s="13"/>
      <c r="L47" s="14"/>
      <c r="M47" s="13"/>
      <c r="N47" s="13"/>
      <c r="O47" s="1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row>
    <row r="48">
      <c r="A48" s="13"/>
      <c r="B48" s="13"/>
      <c r="C48" s="13"/>
      <c r="D48" s="13"/>
      <c r="E48" s="13"/>
      <c r="F48" s="13"/>
      <c r="G48" s="13"/>
      <c r="H48" s="13"/>
      <c r="I48" s="13"/>
      <c r="J48" s="13"/>
      <c r="K48" s="13"/>
      <c r="L48" s="14"/>
      <c r="M48" s="13"/>
      <c r="N48" s="13"/>
      <c r="O48" s="1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row>
    <row r="49">
      <c r="A49" s="13"/>
      <c r="B49" s="13"/>
      <c r="C49" s="13"/>
      <c r="D49" s="13"/>
      <c r="E49" s="13"/>
      <c r="F49" s="13"/>
      <c r="G49" s="13"/>
      <c r="H49" s="13"/>
      <c r="I49" s="13"/>
      <c r="J49" s="13"/>
      <c r="K49" s="13"/>
      <c r="L49" s="14"/>
      <c r="M49" s="13"/>
      <c r="N49" s="13"/>
      <c r="O49" s="1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row>
    <row r="50">
      <c r="A50" s="13"/>
      <c r="B50" s="13"/>
      <c r="C50" s="13"/>
      <c r="D50" s="13"/>
      <c r="E50" s="13"/>
      <c r="F50" s="13"/>
      <c r="G50" s="13"/>
      <c r="H50" s="13"/>
      <c r="I50" s="13"/>
      <c r="J50" s="13"/>
      <c r="K50" s="13"/>
      <c r="L50" s="14"/>
      <c r="M50" s="13"/>
      <c r="N50" s="13"/>
      <c r="O50" s="1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row>
    <row r="51">
      <c r="A51" s="13"/>
      <c r="B51" s="13"/>
      <c r="C51" s="13"/>
      <c r="D51" s="13"/>
      <c r="E51" s="13"/>
      <c r="F51" s="13"/>
      <c r="G51" s="13"/>
      <c r="H51" s="13"/>
      <c r="I51" s="13"/>
      <c r="J51" s="13"/>
      <c r="K51" s="13"/>
      <c r="L51" s="14"/>
      <c r="M51" s="13"/>
      <c r="N51" s="13"/>
      <c r="O51" s="1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row>
    <row r="52">
      <c r="A52" s="13"/>
      <c r="B52" s="13"/>
      <c r="C52" s="13"/>
      <c r="D52" s="13"/>
      <c r="E52" s="13"/>
      <c r="F52" s="13"/>
      <c r="G52" s="13"/>
      <c r="H52" s="13"/>
      <c r="I52" s="13"/>
      <c r="J52" s="13"/>
      <c r="K52" s="13"/>
      <c r="L52" s="14"/>
      <c r="M52" s="13"/>
      <c r="N52" s="13"/>
      <c r="O52" s="1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row>
    <row r="53">
      <c r="A53" s="13"/>
      <c r="B53" s="13"/>
      <c r="C53" s="13"/>
      <c r="D53" s="13"/>
      <c r="E53" s="13"/>
      <c r="F53" s="13"/>
      <c r="G53" s="13"/>
      <c r="H53" s="13"/>
      <c r="I53" s="13"/>
      <c r="J53" s="13"/>
      <c r="K53" s="13"/>
      <c r="L53" s="14"/>
      <c r="M53" s="13"/>
      <c r="N53" s="13"/>
      <c r="O53" s="1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row>
    <row r="54">
      <c r="A54" s="13"/>
      <c r="B54" s="13"/>
      <c r="C54" s="13"/>
      <c r="D54" s="13"/>
      <c r="E54" s="13"/>
      <c r="F54" s="13"/>
      <c r="G54" s="13"/>
      <c r="H54" s="13"/>
      <c r="I54" s="13"/>
      <c r="J54" s="13"/>
      <c r="K54" s="13"/>
      <c r="L54" s="14"/>
      <c r="M54" s="13"/>
      <c r="N54" s="13"/>
      <c r="O54" s="1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row>
    <row r="55">
      <c r="A55" s="13"/>
      <c r="B55" s="13"/>
      <c r="C55" s="13"/>
      <c r="D55" s="13"/>
      <c r="E55" s="13"/>
      <c r="F55" s="13"/>
      <c r="G55" s="13"/>
      <c r="H55" s="13"/>
      <c r="I55" s="13"/>
      <c r="J55" s="13"/>
      <c r="K55" s="13"/>
      <c r="L55" s="14"/>
      <c r="M55" s="13"/>
      <c r="N55" s="13"/>
      <c r="O55" s="1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row>
    <row r="56">
      <c r="A56" s="13"/>
      <c r="B56" s="13"/>
      <c r="C56" s="13"/>
      <c r="D56" s="13"/>
      <c r="E56" s="13"/>
      <c r="F56" s="13"/>
      <c r="G56" s="13"/>
      <c r="H56" s="13"/>
      <c r="I56" s="13"/>
      <c r="J56" s="13"/>
      <c r="K56" s="13"/>
      <c r="L56" s="14"/>
      <c r="M56" s="13"/>
      <c r="N56" s="13"/>
      <c r="O56" s="1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row>
    <row r="57">
      <c r="A57" s="13"/>
      <c r="B57" s="13"/>
      <c r="C57" s="13"/>
      <c r="D57" s="13"/>
      <c r="E57" s="13"/>
      <c r="F57" s="13"/>
      <c r="G57" s="13"/>
      <c r="H57" s="13"/>
      <c r="I57" s="13"/>
      <c r="J57" s="13"/>
      <c r="K57" s="13"/>
      <c r="L57" s="14"/>
      <c r="M57" s="13"/>
      <c r="N57" s="13"/>
      <c r="O57" s="1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row>
    <row r="58">
      <c r="A58" s="13"/>
      <c r="B58" s="13"/>
      <c r="C58" s="13"/>
      <c r="D58" s="13"/>
      <c r="E58" s="13"/>
      <c r="F58" s="13"/>
      <c r="G58" s="13"/>
      <c r="H58" s="13"/>
      <c r="I58" s="13"/>
      <c r="J58" s="13"/>
      <c r="K58" s="13"/>
      <c r="L58" s="14"/>
      <c r="M58" s="13"/>
      <c r="N58" s="13"/>
      <c r="O58" s="1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row>
    <row r="59">
      <c r="A59" s="13"/>
      <c r="B59" s="13"/>
      <c r="C59" s="13"/>
      <c r="D59" s="13"/>
      <c r="E59" s="13"/>
      <c r="F59" s="13"/>
      <c r="G59" s="13"/>
      <c r="H59" s="13"/>
      <c r="I59" s="13"/>
      <c r="J59" s="13"/>
      <c r="K59" s="13"/>
      <c r="L59" s="14"/>
      <c r="M59" s="13"/>
      <c r="N59" s="13"/>
      <c r="O59" s="1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row>
    <row r="60">
      <c r="A60" s="13"/>
      <c r="B60" s="13"/>
      <c r="C60" s="13"/>
      <c r="D60" s="13"/>
      <c r="E60" s="13"/>
      <c r="F60" s="13"/>
      <c r="G60" s="13"/>
      <c r="H60" s="13"/>
      <c r="I60" s="13"/>
      <c r="J60" s="13"/>
      <c r="K60" s="13"/>
      <c r="L60" s="14"/>
      <c r="M60" s="13"/>
      <c r="N60" s="13"/>
      <c r="O60" s="1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row>
    <row r="61">
      <c r="A61" s="13"/>
      <c r="B61" s="13"/>
      <c r="C61" s="13"/>
      <c r="D61" s="13"/>
      <c r="E61" s="13"/>
      <c r="F61" s="13"/>
      <c r="G61" s="13"/>
      <c r="H61" s="13"/>
      <c r="I61" s="13"/>
      <c r="J61" s="13"/>
      <c r="K61" s="13"/>
      <c r="L61" s="14"/>
      <c r="M61" s="13"/>
      <c r="N61" s="13"/>
      <c r="O61" s="1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row>
    <row r="62">
      <c r="A62" s="13"/>
      <c r="B62" s="13"/>
      <c r="C62" s="13"/>
      <c r="D62" s="13"/>
      <c r="E62" s="13"/>
      <c r="F62" s="13"/>
      <c r="G62" s="13"/>
      <c r="H62" s="13"/>
      <c r="I62" s="13"/>
      <c r="J62" s="13"/>
      <c r="K62" s="13"/>
      <c r="L62" s="14"/>
      <c r="M62" s="13"/>
      <c r="N62" s="13"/>
      <c r="O62" s="1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row>
    <row r="63">
      <c r="A63" s="13"/>
      <c r="B63" s="13"/>
      <c r="C63" s="13"/>
      <c r="D63" s="13"/>
      <c r="E63" s="13"/>
      <c r="F63" s="13"/>
      <c r="G63" s="13"/>
      <c r="H63" s="13"/>
      <c r="I63" s="13"/>
      <c r="J63" s="13"/>
      <c r="K63" s="13"/>
      <c r="L63" s="14"/>
      <c r="M63" s="13"/>
      <c r="N63" s="13"/>
      <c r="O63" s="1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row>
    <row r="64">
      <c r="A64" s="13"/>
      <c r="B64" s="13"/>
      <c r="C64" s="13"/>
      <c r="D64" s="13"/>
      <c r="E64" s="13"/>
      <c r="F64" s="13"/>
      <c r="G64" s="13"/>
      <c r="H64" s="13"/>
      <c r="I64" s="13"/>
      <c r="J64" s="13"/>
      <c r="K64" s="13"/>
      <c r="L64" s="14"/>
      <c r="M64" s="13"/>
      <c r="N64" s="13"/>
      <c r="O64" s="1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row>
    <row r="65">
      <c r="A65" s="13"/>
      <c r="B65" s="13"/>
      <c r="C65" s="13"/>
      <c r="D65" s="13"/>
      <c r="E65" s="13"/>
      <c r="F65" s="13"/>
      <c r="G65" s="13"/>
      <c r="H65" s="13"/>
      <c r="I65" s="13"/>
      <c r="J65" s="13"/>
      <c r="K65" s="13"/>
      <c r="L65" s="14"/>
      <c r="M65" s="13"/>
      <c r="N65" s="13"/>
      <c r="O65" s="1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row>
    <row r="66">
      <c r="A66" s="13"/>
      <c r="B66" s="13"/>
      <c r="C66" s="13"/>
      <c r="D66" s="13"/>
      <c r="E66" s="13"/>
      <c r="F66" s="13"/>
      <c r="G66" s="13"/>
      <c r="H66" s="13"/>
      <c r="I66" s="13"/>
      <c r="J66" s="13"/>
      <c r="K66" s="13"/>
      <c r="L66" s="14"/>
      <c r="M66" s="13"/>
      <c r="N66" s="13"/>
      <c r="O66" s="1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row>
    <row r="67">
      <c r="A67" s="13"/>
      <c r="B67" s="13"/>
      <c r="C67" s="13"/>
      <c r="D67" s="13"/>
      <c r="E67" s="13"/>
      <c r="F67" s="13"/>
      <c r="G67" s="13"/>
      <c r="H67" s="13"/>
      <c r="I67" s="13"/>
      <c r="J67" s="13"/>
      <c r="K67" s="13"/>
      <c r="L67" s="14"/>
      <c r="M67" s="13"/>
      <c r="N67" s="13"/>
      <c r="O67" s="1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row>
    <row r="68">
      <c r="A68" s="13"/>
      <c r="B68" s="13"/>
      <c r="C68" s="13"/>
      <c r="D68" s="13"/>
      <c r="E68" s="13"/>
      <c r="F68" s="13"/>
      <c r="G68" s="13"/>
      <c r="H68" s="13"/>
      <c r="I68" s="13"/>
      <c r="J68" s="13"/>
      <c r="K68" s="13"/>
      <c r="L68" s="14"/>
      <c r="M68" s="13"/>
      <c r="N68" s="13"/>
      <c r="O68" s="1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row>
    <row r="69">
      <c r="A69" s="13"/>
      <c r="B69" s="13"/>
      <c r="C69" s="13"/>
      <c r="D69" s="13"/>
      <c r="E69" s="13"/>
      <c r="F69" s="13"/>
      <c r="G69" s="13"/>
      <c r="H69" s="13"/>
      <c r="I69" s="13"/>
      <c r="J69" s="13"/>
      <c r="K69" s="13"/>
      <c r="L69" s="14"/>
      <c r="M69" s="13"/>
      <c r="N69" s="13"/>
      <c r="O69" s="1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row>
    <row r="70">
      <c r="A70" s="13"/>
      <c r="B70" s="13"/>
      <c r="C70" s="13"/>
      <c r="D70" s="13"/>
      <c r="E70" s="13"/>
      <c r="F70" s="13"/>
      <c r="G70" s="13"/>
      <c r="H70" s="13"/>
      <c r="I70" s="16"/>
      <c r="J70" s="13"/>
      <c r="K70" s="13"/>
      <c r="L70" s="14"/>
      <c r="M70" s="13"/>
      <c r="N70" s="13"/>
      <c r="O70" s="1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row>
    <row r="71">
      <c r="A71" s="13"/>
      <c r="B71" s="13"/>
      <c r="C71" s="13"/>
      <c r="D71" s="13"/>
      <c r="E71" s="13"/>
      <c r="F71" s="13"/>
      <c r="G71" s="13"/>
      <c r="H71" s="13"/>
      <c r="I71" s="13"/>
      <c r="J71" s="16"/>
      <c r="K71" s="13"/>
      <c r="L71" s="14"/>
      <c r="M71" s="13"/>
      <c r="N71" s="13"/>
      <c r="O71" s="1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row>
    <row r="72">
      <c r="A72" s="13"/>
      <c r="B72" s="13"/>
      <c r="C72" s="13"/>
      <c r="D72" s="13"/>
      <c r="E72" s="13"/>
      <c r="F72" s="13"/>
      <c r="G72" s="13"/>
      <c r="H72" s="13"/>
      <c r="I72" s="13"/>
      <c r="J72" s="13"/>
      <c r="K72" s="13"/>
      <c r="L72" s="14"/>
      <c r="M72" s="13"/>
      <c r="N72" s="13"/>
      <c r="O72" s="1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row>
    <row r="73">
      <c r="A73" s="13"/>
      <c r="B73" s="13"/>
      <c r="C73" s="13"/>
      <c r="D73" s="13"/>
      <c r="E73" s="13"/>
      <c r="F73" s="13"/>
      <c r="G73" s="13"/>
      <c r="H73" s="13"/>
      <c r="I73" s="13"/>
      <c r="J73" s="13"/>
      <c r="K73" s="13"/>
      <c r="L73" s="14"/>
      <c r="M73" s="13"/>
      <c r="N73" s="13"/>
      <c r="O73" s="1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row>
    <row r="74">
      <c r="A74" s="13"/>
      <c r="B74" s="13"/>
      <c r="C74" s="13"/>
      <c r="D74" s="13"/>
      <c r="E74" s="13"/>
      <c r="F74" s="13"/>
      <c r="G74" s="13"/>
      <c r="H74" s="13"/>
      <c r="I74" s="13"/>
      <c r="J74" s="13"/>
      <c r="K74" s="13"/>
      <c r="L74" s="14"/>
      <c r="M74" s="13"/>
      <c r="N74" s="13"/>
      <c r="O74" s="1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row>
    <row r="75">
      <c r="A75" s="13"/>
      <c r="B75" s="13"/>
      <c r="C75" s="13"/>
      <c r="D75" s="13"/>
      <c r="E75" s="13"/>
      <c r="F75" s="13"/>
      <c r="G75" s="13"/>
      <c r="H75" s="13"/>
      <c r="I75" s="13"/>
      <c r="J75" s="13"/>
      <c r="K75" s="13"/>
      <c r="L75" s="14"/>
      <c r="M75" s="13"/>
      <c r="N75" s="13"/>
      <c r="O75" s="1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row>
    <row r="76">
      <c r="A76" s="13"/>
      <c r="B76" s="13"/>
      <c r="C76" s="13"/>
      <c r="D76" s="13"/>
      <c r="E76" s="13"/>
      <c r="F76" s="13"/>
      <c r="G76" s="13"/>
      <c r="H76" s="13"/>
      <c r="I76" s="13"/>
      <c r="J76" s="13"/>
      <c r="K76" s="13"/>
      <c r="L76" s="14"/>
      <c r="M76" s="13"/>
      <c r="N76" s="13"/>
      <c r="O76" s="1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row>
    <row r="77">
      <c r="A77" s="13"/>
      <c r="B77" s="13"/>
      <c r="C77" s="13"/>
      <c r="D77" s="13"/>
      <c r="E77" s="13"/>
      <c r="F77" s="13"/>
      <c r="G77" s="13"/>
      <c r="H77" s="13"/>
      <c r="I77" s="13"/>
      <c r="J77" s="13"/>
      <c r="K77" s="13"/>
      <c r="L77" s="14"/>
      <c r="M77" s="13"/>
      <c r="N77" s="13"/>
      <c r="O77" s="1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row>
    <row r="78">
      <c r="A78" s="13"/>
      <c r="B78" s="13"/>
      <c r="C78" s="13"/>
      <c r="D78" s="13"/>
      <c r="E78" s="13"/>
      <c r="F78" s="13"/>
      <c r="G78" s="13"/>
      <c r="H78" s="13"/>
      <c r="I78" s="13"/>
      <c r="J78" s="13"/>
      <c r="K78" s="13"/>
      <c r="L78" s="14"/>
      <c r="M78" s="13"/>
      <c r="N78" s="13"/>
      <c r="O78" s="1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row>
    <row r="79">
      <c r="A79" s="13"/>
      <c r="B79" s="13"/>
      <c r="C79" s="13"/>
      <c r="D79" s="13"/>
      <c r="E79" s="15"/>
      <c r="F79" s="13"/>
      <c r="G79" s="13"/>
      <c r="H79" s="13"/>
      <c r="I79" s="13"/>
      <c r="J79" s="13"/>
      <c r="K79" s="13"/>
      <c r="L79" s="14"/>
      <c r="M79" s="13"/>
      <c r="N79" s="13"/>
      <c r="O79" s="1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row>
    <row r="80">
      <c r="A80" s="13"/>
      <c r="B80" s="13"/>
      <c r="C80" s="13"/>
      <c r="D80" s="13"/>
      <c r="E80" s="15"/>
      <c r="F80" s="13"/>
      <c r="G80" s="13"/>
      <c r="H80" s="13"/>
      <c r="I80" s="13"/>
      <c r="J80" s="13"/>
      <c r="K80" s="13"/>
      <c r="L80" s="14"/>
      <c r="M80" s="13"/>
      <c r="N80" s="13"/>
      <c r="O80" s="1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row>
    <row r="81">
      <c r="A81" s="13"/>
      <c r="B81" s="13"/>
      <c r="C81" s="13"/>
      <c r="D81" s="13"/>
      <c r="E81" s="15"/>
      <c r="F81" s="13"/>
      <c r="G81" s="13"/>
      <c r="H81" s="13"/>
      <c r="I81" s="13"/>
      <c r="J81" s="13"/>
      <c r="K81" s="13"/>
      <c r="L81" s="14"/>
      <c r="M81" s="13"/>
      <c r="N81" s="13"/>
      <c r="O81" s="1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row>
    <row r="82">
      <c r="A82" s="13"/>
      <c r="B82" s="13"/>
      <c r="C82" s="13"/>
      <c r="D82" s="13"/>
      <c r="E82" s="15"/>
      <c r="F82" s="13"/>
      <c r="G82" s="13"/>
      <c r="H82" s="13"/>
      <c r="I82" s="13"/>
      <c r="J82" s="13"/>
      <c r="K82" s="13"/>
      <c r="L82" s="14"/>
      <c r="M82" s="13"/>
      <c r="N82" s="13"/>
      <c r="O82" s="1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row>
    <row r="83">
      <c r="A83" s="13"/>
      <c r="B83" s="13"/>
      <c r="C83" s="13"/>
      <c r="D83" s="13"/>
      <c r="E83" s="15"/>
      <c r="F83" s="13"/>
      <c r="G83" s="13"/>
      <c r="H83" s="13"/>
      <c r="I83" s="13"/>
      <c r="J83" s="13"/>
      <c r="K83" s="13"/>
      <c r="L83" s="14"/>
      <c r="M83" s="13"/>
      <c r="N83" s="13"/>
      <c r="O83" s="1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row>
    <row r="84">
      <c r="A84" s="13"/>
      <c r="B84" s="13"/>
      <c r="C84" s="13"/>
      <c r="D84" s="13"/>
      <c r="E84" s="15"/>
      <c r="F84" s="13"/>
      <c r="G84" s="13"/>
      <c r="H84" s="13"/>
      <c r="I84" s="13"/>
      <c r="J84" s="13"/>
      <c r="K84" s="13"/>
      <c r="L84" s="14"/>
      <c r="M84" s="13"/>
      <c r="N84" s="13"/>
      <c r="O84" s="1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row>
    <row r="85">
      <c r="A85" s="13"/>
      <c r="B85" s="13"/>
      <c r="C85" s="13"/>
      <c r="D85" s="13"/>
      <c r="E85" s="15"/>
      <c r="F85" s="13"/>
      <c r="G85" s="13"/>
      <c r="H85" s="13"/>
      <c r="I85" s="13" t="str">
        <f t="array" ref="I85:I116">VSTACK(G77:G84,I70:I74,J73:J86,J89:J93)</f>
        <v/>
      </c>
      <c r="J85" s="13"/>
      <c r="K85" s="13"/>
      <c r="L85" s="14"/>
      <c r="M85" s="13"/>
      <c r="N85" s="13"/>
      <c r="O85" s="1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row>
    <row r="86">
      <c r="A86" s="13"/>
      <c r="B86" s="13"/>
      <c r="C86" s="13"/>
      <c r="D86" s="13"/>
      <c r="E86" s="15"/>
      <c r="F86" s="13"/>
      <c r="G86" s="13"/>
      <c r="H86" s="13"/>
      <c r="I86" s="13"/>
      <c r="J86" s="13"/>
      <c r="K86" s="13"/>
      <c r="L86" s="14"/>
      <c r="M86" s="13"/>
      <c r="N86" s="13"/>
      <c r="O86" s="1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row>
    <row r="87">
      <c r="A87" s="13"/>
      <c r="B87" s="13"/>
      <c r="C87" s="13"/>
      <c r="D87" s="13"/>
      <c r="E87" s="15"/>
      <c r="F87" s="13"/>
      <c r="G87" s="13"/>
      <c r="H87" s="13"/>
      <c r="I87" s="13"/>
      <c r="J87" s="13"/>
      <c r="K87" s="13"/>
      <c r="L87" s="14"/>
      <c r="M87" s="13"/>
      <c r="N87" s="13"/>
      <c r="O87" s="1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row>
    <row r="88">
      <c r="A88" s="13"/>
      <c r="B88" s="13"/>
      <c r="C88" s="13"/>
      <c r="D88" s="13"/>
      <c r="E88" s="15"/>
      <c r="F88" s="13"/>
      <c r="G88" s="13"/>
      <c r="H88" s="13"/>
      <c r="I88" s="13"/>
      <c r="J88" s="13"/>
      <c r="K88" s="13"/>
      <c r="L88" s="14"/>
      <c r="M88" s="13"/>
      <c r="N88" s="13"/>
      <c r="O88" s="1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row>
    <row r="89">
      <c r="A89" s="13"/>
      <c r="B89" s="13"/>
      <c r="C89" s="13"/>
      <c r="D89" s="13"/>
      <c r="E89" s="15"/>
      <c r="F89" s="13"/>
      <c r="G89" s="13"/>
      <c r="H89" s="13"/>
      <c r="I89" s="13"/>
      <c r="J89" s="13"/>
      <c r="K89" s="13"/>
      <c r="L89" s="14"/>
      <c r="M89" s="13"/>
      <c r="N89" s="13"/>
      <c r="O89" s="1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row>
    <row r="90">
      <c r="A90" s="13"/>
      <c r="B90" s="13"/>
      <c r="C90" s="13"/>
      <c r="D90" s="13"/>
      <c r="E90" s="15"/>
      <c r="F90" s="13"/>
      <c r="G90" s="13"/>
      <c r="H90" s="13"/>
      <c r="I90" s="13"/>
      <c r="J90" s="13"/>
      <c r="K90" s="13"/>
      <c r="L90" s="14"/>
      <c r="M90" s="13"/>
      <c r="N90" s="13"/>
      <c r="O90" s="1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row>
    <row r="91">
      <c r="A91" s="13"/>
      <c r="B91" s="13"/>
      <c r="C91" s="13"/>
      <c r="D91" s="13"/>
      <c r="E91" s="15"/>
      <c r="F91" s="13"/>
      <c r="G91" s="13"/>
      <c r="H91" s="13"/>
      <c r="I91" s="13"/>
      <c r="J91" s="13"/>
      <c r="K91" s="13"/>
      <c r="L91" s="14"/>
      <c r="M91" s="13"/>
      <c r="N91" s="13"/>
      <c r="O91" s="1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row>
    <row r="92">
      <c r="A92" s="13"/>
      <c r="B92" s="13"/>
      <c r="C92" s="13"/>
      <c r="D92" s="13"/>
      <c r="E92" s="15"/>
      <c r="F92" s="13"/>
      <c r="G92" s="13"/>
      <c r="H92" s="13"/>
      <c r="I92" s="13"/>
      <c r="J92" s="13"/>
      <c r="K92" s="13"/>
      <c r="L92" s="14"/>
      <c r="M92" s="13"/>
      <c r="N92" s="13"/>
      <c r="O92" s="1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row>
    <row r="93">
      <c r="A93" s="13"/>
      <c r="B93" s="13"/>
      <c r="C93" s="13"/>
      <c r="D93" s="13"/>
      <c r="E93" s="15"/>
      <c r="F93" s="13"/>
      <c r="G93" s="13"/>
      <c r="H93" s="13"/>
      <c r="I93" s="13"/>
      <c r="J93" s="13"/>
      <c r="K93" s="13"/>
      <c r="L93" s="14"/>
      <c r="M93" s="13"/>
      <c r="N93" s="13"/>
      <c r="O93" s="1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row>
    <row r="94">
      <c r="A94" s="13"/>
      <c r="B94" s="13"/>
      <c r="C94" s="13"/>
      <c r="D94" s="13"/>
      <c r="E94" s="15"/>
      <c r="F94" s="13"/>
      <c r="G94" s="13"/>
      <c r="H94" s="13"/>
      <c r="I94" s="13"/>
      <c r="J94" s="13"/>
      <c r="K94" s="13"/>
      <c r="L94" s="14"/>
      <c r="M94" s="13"/>
      <c r="N94" s="13"/>
      <c r="O94" s="1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row>
    <row r="95">
      <c r="A95" s="13"/>
      <c r="B95" s="13"/>
      <c r="C95" s="13"/>
      <c r="D95" s="13"/>
      <c r="E95" s="15"/>
      <c r="F95" s="13"/>
      <c r="G95" s="13"/>
      <c r="H95" s="13"/>
      <c r="I95" s="13"/>
      <c r="J95" s="13"/>
      <c r="K95" s="13"/>
      <c r="L95" s="14"/>
      <c r="M95" s="13"/>
      <c r="N95" s="13"/>
      <c r="O95" s="1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row>
    <row r="96">
      <c r="A96" s="13"/>
      <c r="B96" s="13"/>
      <c r="C96" s="13"/>
      <c r="D96" s="13"/>
      <c r="E96" s="15"/>
      <c r="F96" s="13"/>
      <c r="G96" s="13"/>
      <c r="H96" s="13"/>
      <c r="I96" s="13"/>
      <c r="J96" s="13"/>
      <c r="K96" s="13"/>
      <c r="L96" s="14"/>
      <c r="M96" s="13"/>
      <c r="N96" s="13"/>
      <c r="O96" s="1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row>
    <row r="97">
      <c r="A97" s="13"/>
      <c r="B97" s="13"/>
      <c r="C97" s="13"/>
      <c r="D97" s="13"/>
      <c r="E97" s="15"/>
      <c r="F97" s="13"/>
      <c r="G97" s="13"/>
      <c r="H97" s="13"/>
      <c r="I97" s="13"/>
      <c r="J97" s="13"/>
      <c r="K97" s="13"/>
      <c r="L97" s="14"/>
      <c r="M97" s="13"/>
      <c r="N97" s="13"/>
      <c r="O97" s="1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row>
    <row r="98">
      <c r="A98" s="13"/>
      <c r="B98" s="13"/>
      <c r="C98" s="13"/>
      <c r="D98" s="13"/>
      <c r="E98" s="15"/>
      <c r="F98" s="13"/>
      <c r="G98" s="13"/>
      <c r="H98" s="13"/>
      <c r="I98" s="13"/>
      <c r="J98" s="13"/>
      <c r="K98" s="13"/>
      <c r="L98" s="14"/>
      <c r="M98" s="13"/>
      <c r="N98" s="13"/>
      <c r="O98" s="1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row>
    <row r="99">
      <c r="A99" s="13"/>
      <c r="B99" s="13"/>
      <c r="C99" s="13"/>
      <c r="D99" s="13"/>
      <c r="E99" s="15"/>
      <c r="F99" s="13"/>
      <c r="G99" s="13"/>
      <c r="H99" s="13"/>
      <c r="I99" s="13"/>
      <c r="J99" s="13"/>
      <c r="K99" s="13"/>
      <c r="L99" s="14"/>
      <c r="M99" s="13"/>
      <c r="N99" s="13"/>
      <c r="O99" s="1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row>
    <row r="100">
      <c r="A100" s="13"/>
      <c r="B100" s="13"/>
      <c r="C100" s="13"/>
      <c r="D100" s="13"/>
      <c r="E100" s="15"/>
      <c r="F100" s="13"/>
      <c r="G100" s="13"/>
      <c r="H100" s="13"/>
      <c r="I100" s="13"/>
      <c r="J100" s="13"/>
      <c r="K100" s="13"/>
      <c r="L100" s="14"/>
      <c r="M100" s="13"/>
      <c r="N100" s="13"/>
      <c r="O100" s="1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row>
    <row r="101">
      <c r="A101" s="13"/>
      <c r="B101" s="13"/>
      <c r="C101" s="13"/>
      <c r="D101" s="13"/>
      <c r="E101" s="15"/>
      <c r="F101" s="13"/>
      <c r="G101" s="13"/>
      <c r="H101" s="13"/>
      <c r="I101" s="13"/>
      <c r="J101" s="13"/>
      <c r="K101" s="13"/>
      <c r="L101" s="14"/>
      <c r="M101" s="13"/>
      <c r="N101" s="13"/>
      <c r="O101" s="1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row>
    <row r="102">
      <c r="A102" s="13"/>
      <c r="B102" s="13"/>
      <c r="C102" s="13"/>
      <c r="D102" s="13"/>
      <c r="E102" s="15"/>
      <c r="F102" s="13"/>
      <c r="G102" s="13"/>
      <c r="H102" s="13"/>
      <c r="I102" s="13"/>
      <c r="J102" s="13"/>
      <c r="K102" s="13"/>
      <c r="L102" s="14"/>
      <c r="M102" s="13"/>
      <c r="N102" s="13"/>
      <c r="O102" s="1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row>
    <row r="103">
      <c r="A103" s="13"/>
      <c r="B103" s="13"/>
      <c r="C103" s="13"/>
      <c r="D103" s="13"/>
      <c r="E103" s="15"/>
      <c r="F103" s="13"/>
      <c r="G103" s="13"/>
      <c r="H103" s="13"/>
      <c r="I103" s="13"/>
      <c r="J103" s="13"/>
      <c r="K103" s="13"/>
      <c r="L103" s="14"/>
      <c r="M103" s="13"/>
      <c r="N103" s="13"/>
      <c r="O103" s="1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row>
    <row r="104">
      <c r="A104" s="13"/>
      <c r="B104" s="13"/>
      <c r="C104" s="13"/>
      <c r="D104" s="13"/>
      <c r="E104" s="15"/>
      <c r="F104" s="13"/>
      <c r="G104" s="13"/>
      <c r="H104" s="13"/>
      <c r="I104" s="13"/>
      <c r="J104" s="13"/>
      <c r="K104" s="13"/>
      <c r="L104" s="14"/>
      <c r="M104" s="13"/>
      <c r="N104" s="13"/>
      <c r="O104" s="1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row>
    <row r="105">
      <c r="A105" s="13"/>
      <c r="B105" s="13"/>
      <c r="C105" s="13"/>
      <c r="D105" s="13"/>
      <c r="E105" s="15"/>
      <c r="F105" s="13"/>
      <c r="G105" s="13"/>
      <c r="H105" s="13"/>
      <c r="I105" s="13"/>
      <c r="J105" s="13"/>
      <c r="K105" s="13"/>
      <c r="L105" s="14"/>
      <c r="M105" s="13"/>
      <c r="N105" s="13"/>
      <c r="O105" s="1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row>
    <row r="106">
      <c r="A106" s="13"/>
      <c r="B106" s="13"/>
      <c r="C106" s="13"/>
      <c r="D106" s="13"/>
      <c r="E106" s="15"/>
      <c r="F106" s="13"/>
      <c r="G106" s="13"/>
      <c r="H106" s="13"/>
      <c r="I106" s="13"/>
      <c r="J106" s="13"/>
      <c r="K106" s="13"/>
      <c r="L106" s="14"/>
      <c r="M106" s="13"/>
      <c r="N106" s="13"/>
      <c r="O106" s="1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row>
    <row r="107">
      <c r="A107" s="13"/>
      <c r="B107" s="13"/>
      <c r="C107" s="13"/>
      <c r="D107" s="13"/>
      <c r="E107" s="15"/>
      <c r="F107" s="13"/>
      <c r="G107" s="13"/>
      <c r="H107" s="13"/>
      <c r="I107" s="13"/>
      <c r="J107" s="13"/>
      <c r="K107" s="13"/>
      <c r="L107" s="14"/>
      <c r="M107" s="13"/>
      <c r="N107" s="13"/>
      <c r="O107" s="1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row>
    <row r="108">
      <c r="A108" s="13"/>
      <c r="B108" s="13"/>
      <c r="C108" s="13"/>
      <c r="D108" s="13"/>
      <c r="E108" s="15"/>
      <c r="F108" s="13"/>
      <c r="G108" s="13"/>
      <c r="H108" s="13"/>
      <c r="I108" s="13"/>
      <c r="J108" s="13"/>
      <c r="K108" s="13"/>
      <c r="L108" s="14"/>
      <c r="M108" s="13"/>
      <c r="N108" s="13"/>
      <c r="O108" s="1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row>
    <row r="109">
      <c r="A109" s="13"/>
      <c r="B109" s="13"/>
      <c r="C109" s="13"/>
      <c r="D109" s="13"/>
      <c r="E109" s="15"/>
      <c r="F109" s="13"/>
      <c r="G109" s="13"/>
      <c r="H109" s="13"/>
      <c r="I109" s="13"/>
      <c r="J109" s="13"/>
      <c r="K109" s="13"/>
      <c r="L109" s="14"/>
      <c r="M109" s="13"/>
      <c r="N109" s="13"/>
      <c r="O109" s="1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row>
    <row r="110">
      <c r="A110" s="13"/>
      <c r="B110" s="13"/>
      <c r="C110" s="13"/>
      <c r="D110" s="13"/>
      <c r="E110" s="15"/>
      <c r="F110" s="13"/>
      <c r="G110" s="13"/>
      <c r="H110" s="13"/>
      <c r="I110" s="13"/>
      <c r="J110" s="13"/>
      <c r="K110" s="13"/>
      <c r="L110" s="14"/>
      <c r="M110" s="13"/>
      <c r="N110" s="13"/>
      <c r="O110" s="1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row>
    <row r="111">
      <c r="A111" s="13"/>
      <c r="B111" s="13"/>
      <c r="C111" s="13"/>
      <c r="D111" s="13"/>
      <c r="E111" s="15"/>
      <c r="F111" s="13"/>
      <c r="G111" s="13"/>
      <c r="H111" s="13"/>
      <c r="I111" s="13"/>
      <c r="J111" s="13"/>
      <c r="K111" s="13"/>
      <c r="L111" s="14"/>
      <c r="M111" s="13"/>
      <c r="N111" s="13"/>
      <c r="O111" s="1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row>
    <row r="112">
      <c r="A112" s="13"/>
      <c r="B112" s="13"/>
      <c r="C112" s="13"/>
      <c r="D112" s="13"/>
      <c r="E112" s="15"/>
      <c r="F112" s="13"/>
      <c r="G112" s="13"/>
      <c r="H112" s="13"/>
      <c r="I112" s="13"/>
      <c r="J112" s="13"/>
      <c r="K112" s="13"/>
      <c r="L112" s="14"/>
      <c r="M112" s="13"/>
      <c r="N112" s="13"/>
      <c r="O112" s="1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row>
    <row r="113">
      <c r="A113" s="13"/>
      <c r="B113" s="13"/>
      <c r="C113" s="13"/>
      <c r="D113" s="13"/>
      <c r="E113" s="15"/>
      <c r="F113" s="13"/>
      <c r="G113" s="13"/>
      <c r="H113" s="13"/>
      <c r="I113" s="13"/>
      <c r="J113" s="13"/>
      <c r="K113" s="13"/>
      <c r="L113" s="14"/>
      <c r="M113" s="13"/>
      <c r="N113" s="13"/>
      <c r="O113" s="1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row>
    <row r="114">
      <c r="A114" s="13"/>
      <c r="B114" s="13"/>
      <c r="C114" s="13"/>
      <c r="D114" s="13"/>
      <c r="E114" s="15"/>
      <c r="F114" s="13"/>
      <c r="G114" s="13"/>
      <c r="H114" s="13"/>
      <c r="I114" s="13"/>
      <c r="J114" s="13"/>
      <c r="K114" s="13"/>
      <c r="L114" s="14"/>
      <c r="M114" s="13"/>
      <c r="N114" s="13"/>
      <c r="O114" s="1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row>
  </sheetData>
  <autoFilter ref="$A$1"/>
  <mergeCells count="2">
    <mergeCell ref="D2:F2"/>
    <mergeCell ref="A3:G3"/>
  </mergeCells>
  <conditionalFormatting sqref="L7:L114">
    <cfRule type="containsText" dxfId="0" priority="1" operator="containsText" text="Vàng">
      <formula>NOT(ISERROR(SEARCH(("Vàng"),(L7))))</formula>
    </cfRule>
  </conditionalFormatting>
  <conditionalFormatting sqref="L7:L114">
    <cfRule type="containsText" dxfId="1" priority="2" operator="containsText" text="Xanh">
      <formula>NOT(ISERROR(SEARCH(("Xanh"),(L7))))</formula>
    </cfRule>
  </conditionalFormatting>
  <conditionalFormatting sqref="L7:L114">
    <cfRule type="containsText" dxfId="2" priority="3" operator="containsText" text="Đỏ">
      <formula>NOT(ISERROR(SEARCH(("Đỏ"),(L7))))</formula>
    </cfRule>
  </conditionalFormatting>
  <dataValidations>
    <dataValidation type="list" allowBlank="1" showErrorMessage="1" sqref="B4">
      <formula1>"Xuất,Nhập"</formula1>
    </dataValidation>
    <dataValidation type="list" allowBlank="1" showErrorMessage="1" sqref="A3">
      <formula1>'DS CTY'!$A$2:$B1000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6.0"/>
    <col customWidth="1" min="2" max="2" width="13.0"/>
    <col customWidth="1" hidden="1" min="3" max="3" width="11.0"/>
    <col customWidth="1" min="4" max="4" width="5.75"/>
    <col customWidth="1" min="5" max="5" width="11.13"/>
    <col customWidth="1" min="6" max="6" width="6.38"/>
    <col customWidth="1" min="7" max="7" width="22.25"/>
    <col customWidth="1" min="8" max="8" width="20.88"/>
    <col customWidth="1" min="9" max="9" width="34.38"/>
    <col customWidth="1" min="10" max="10" width="27.63"/>
    <col customWidth="1" min="11" max="11" width="25.5"/>
    <col customWidth="1" min="12" max="12" width="17.0"/>
    <col customWidth="1" min="13" max="13" width="8.13"/>
    <col customWidth="1" min="14" max="14" width="14.38"/>
    <col customWidth="1" min="15" max="15" width="67.0"/>
  </cols>
  <sheetData>
    <row r="1">
      <c r="A1" s="17" t="s">
        <v>29</v>
      </c>
      <c r="B1" s="18"/>
      <c r="C1" s="18"/>
      <c r="D1" s="18"/>
      <c r="E1" s="18"/>
      <c r="F1" s="18"/>
      <c r="G1" s="18"/>
      <c r="H1" s="18"/>
      <c r="I1" s="19"/>
      <c r="J1" s="20"/>
      <c r="K1" s="21"/>
      <c r="M1" s="22"/>
    </row>
    <row r="2">
      <c r="A2" s="23" t="s">
        <v>30</v>
      </c>
      <c r="C2" s="24">
        <v>44745.0</v>
      </c>
      <c r="D2" s="25">
        <v>2026.0</v>
      </c>
      <c r="E2" s="26"/>
      <c r="F2" s="27"/>
      <c r="G2" s="27"/>
      <c r="H2" s="20"/>
      <c r="I2" s="20"/>
      <c r="J2" s="20"/>
      <c r="K2" s="28"/>
      <c r="M2" s="22"/>
    </row>
    <row r="3">
      <c r="A3" s="23" t="s">
        <v>31</v>
      </c>
      <c r="C3" s="29" t="s">
        <v>32</v>
      </c>
      <c r="E3" s="27"/>
      <c r="F3" s="28"/>
      <c r="G3" s="27"/>
      <c r="H3" s="20"/>
      <c r="I3" s="20"/>
      <c r="J3" s="20"/>
      <c r="K3" s="28"/>
      <c r="M3" s="22"/>
    </row>
    <row r="4">
      <c r="A4" s="23" t="s">
        <v>33</v>
      </c>
      <c r="C4" s="30">
        <f> COUNTIF(M8:M860,"TT")</f>
        <v>56</v>
      </c>
      <c r="E4" s="27"/>
      <c r="F4" s="27"/>
      <c r="G4" s="27"/>
      <c r="H4" s="20"/>
      <c r="I4" s="20"/>
      <c r="J4" s="20"/>
      <c r="K4" s="27"/>
      <c r="M4" s="22"/>
    </row>
    <row r="5">
      <c r="A5" s="23" t="s">
        <v>34</v>
      </c>
      <c r="C5" s="23"/>
      <c r="D5" s="30">
        <f>COUNTIF(M8:M860,"A Tiến")</f>
        <v>0</v>
      </c>
      <c r="E5" s="31"/>
      <c r="F5" s="27"/>
      <c r="G5" s="27"/>
      <c r="H5" s="20"/>
      <c r="I5" s="20"/>
      <c r="J5" s="20"/>
      <c r="K5" s="27"/>
      <c r="M5" s="22"/>
    </row>
    <row r="6">
      <c r="A6" s="23" t="s">
        <v>35</v>
      </c>
      <c r="C6" s="25">
        <v>107.0</v>
      </c>
      <c r="D6" s="30">
        <f>SUM(C4:D5)</f>
        <v>56</v>
      </c>
      <c r="E6" s="27"/>
      <c r="F6" s="27"/>
      <c r="G6" s="27"/>
      <c r="H6" s="32"/>
      <c r="I6" s="32"/>
      <c r="J6" s="32"/>
      <c r="K6" s="27"/>
      <c r="M6" s="22"/>
    </row>
    <row r="7">
      <c r="A7" s="33" t="s">
        <v>14</v>
      </c>
      <c r="B7" s="34" t="s">
        <v>15</v>
      </c>
      <c r="C7" s="33" t="s">
        <v>16</v>
      </c>
      <c r="D7" s="34" t="s">
        <v>17</v>
      </c>
      <c r="E7" s="34" t="s">
        <v>18</v>
      </c>
      <c r="F7" s="33" t="s">
        <v>19</v>
      </c>
      <c r="G7" s="35" t="s">
        <v>20</v>
      </c>
      <c r="H7" s="35" t="s">
        <v>21</v>
      </c>
      <c r="I7" s="36" t="s">
        <v>22</v>
      </c>
      <c r="J7" s="35" t="s">
        <v>23</v>
      </c>
      <c r="K7" s="33" t="s">
        <v>36</v>
      </c>
      <c r="L7" s="36" t="s">
        <v>25</v>
      </c>
      <c r="M7" s="37" t="s">
        <v>26</v>
      </c>
      <c r="N7" s="38" t="s">
        <v>27</v>
      </c>
      <c r="O7" s="33" t="s">
        <v>28</v>
      </c>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row>
    <row r="8">
      <c r="A8" s="40">
        <f t="array" ref="A8">COUNTIFS(
  DATEVALUE(TEXT($E$8:E8,"yyyy-mm-dd")),
  "&gt;=" &amp; EOMONTH(DATEVALUE(TEXT(E8,"yyyy-mm-dd")),-1)+1,
  DATEVALUE(TEXT($E$8:E8,"yyyy-mm-dd")),
  "&lt;=" &amp; EOMONTH(DATEVALUE(TEXT(E8,"yyyy-mm-dd")),0)
)
</f>
        <v>1</v>
      </c>
      <c r="B8" s="41">
        <v>1.0775196214E11</v>
      </c>
      <c r="D8" s="41" t="s">
        <v>37</v>
      </c>
      <c r="E8" s="42">
        <v>45993.0</v>
      </c>
      <c r="F8" s="41" t="s">
        <v>38</v>
      </c>
      <c r="G8" s="41" t="s">
        <v>39</v>
      </c>
      <c r="H8" s="41">
        <v>2.1807348E7</v>
      </c>
      <c r="I8" s="43" t="s">
        <v>40</v>
      </c>
      <c r="J8" s="41" t="s">
        <v>41</v>
      </c>
      <c r="K8" s="44" t="s">
        <v>42</v>
      </c>
      <c r="L8" s="14" t="s">
        <v>43</v>
      </c>
      <c r="M8" s="45" t="s">
        <v>33</v>
      </c>
      <c r="N8" s="14"/>
      <c r="O8" s="14" t="s">
        <v>44</v>
      </c>
    </row>
    <row r="9">
      <c r="A9" s="40">
        <f t="array" ref="A9">COUNTIFS(
  DATEVALUE(TEXT($E$8:E9,"yyyy-mm-dd")),
  "&gt;=" &amp; EOMONTH(DATEVALUE(TEXT(E9,"yyyy-mm-dd")),-1)+1,
  DATEVALUE(TEXT($E$8:E9,"yyyy-mm-dd")),
  "&lt;=" &amp; EOMONTH(DATEVALUE(TEXT(E9,"yyyy-mm-dd")),0)
)
</f>
        <v>2</v>
      </c>
      <c r="B9" s="41">
        <v>1.077604149E11</v>
      </c>
      <c r="D9" s="41" t="s">
        <v>37</v>
      </c>
      <c r="E9" s="42">
        <v>45993.0</v>
      </c>
      <c r="F9" s="41" t="s">
        <v>45</v>
      </c>
      <c r="G9" s="41" t="s">
        <v>46</v>
      </c>
      <c r="H9" s="41">
        <v>2.5060017E7</v>
      </c>
      <c r="I9" s="43" t="s">
        <v>2</v>
      </c>
      <c r="J9" s="41" t="s">
        <v>47</v>
      </c>
      <c r="K9" s="44" t="s">
        <v>42</v>
      </c>
      <c r="L9" s="14" t="s">
        <v>43</v>
      </c>
      <c r="M9" s="40" t="s">
        <v>33</v>
      </c>
      <c r="N9" s="14"/>
      <c r="O9" s="14" t="s">
        <v>48</v>
      </c>
    </row>
    <row r="10">
      <c r="A10" s="40">
        <f t="array" ref="A10">COUNTIFS(
  DATEVALUE(TEXT($E$8:E10,"yyyy-mm-dd")),
  "&gt;=" &amp; EOMONTH(DATEVALUE(TEXT(E10,"yyyy-mm-dd")),-1)+1,
  DATEVALUE(TEXT($E$8:E10,"yyyy-mm-dd")),
  "&lt;=" &amp; EOMONTH(DATEVALUE(TEXT(E10,"yyyy-mm-dd")),0)
)
</f>
        <v>3</v>
      </c>
      <c r="B10" s="41">
        <v>1.0776044065E11</v>
      </c>
      <c r="D10" s="41" t="s">
        <v>37</v>
      </c>
      <c r="E10" s="42">
        <v>45993.0</v>
      </c>
      <c r="F10" s="41" t="s">
        <v>45</v>
      </c>
      <c r="G10" s="41" t="s">
        <v>49</v>
      </c>
      <c r="H10" s="41">
        <v>2.0251018E7</v>
      </c>
      <c r="I10" s="43" t="s">
        <v>2</v>
      </c>
      <c r="J10" s="41" t="s">
        <v>50</v>
      </c>
      <c r="K10" s="44" t="s">
        <v>42</v>
      </c>
      <c r="L10" s="14" t="s">
        <v>43</v>
      </c>
      <c r="M10" s="40" t="s">
        <v>33</v>
      </c>
      <c r="N10" s="14"/>
      <c r="O10" s="14" t="s">
        <v>51</v>
      </c>
    </row>
    <row r="11">
      <c r="A11" s="40">
        <f t="array" ref="A11">COUNTIFS(
  DATEVALUE(TEXT($E$8:E11,"yyyy-mm-dd")),
  "&gt;=" &amp; EOMONTH(DATEVALUE(TEXT(E11,"yyyy-mm-dd")),-1)+1,
  DATEVALUE(TEXT($E$8:E11,"yyyy-mm-dd")),
  "&lt;=" &amp; EOMONTH(DATEVALUE(TEXT(E11,"yyyy-mm-dd")),0)
)
</f>
        <v>4</v>
      </c>
      <c r="B11" s="41">
        <v>1.077605332E11</v>
      </c>
      <c r="D11" s="41" t="s">
        <v>37</v>
      </c>
      <c r="E11" s="42">
        <v>45993.0</v>
      </c>
      <c r="F11" s="41" t="s">
        <v>45</v>
      </c>
      <c r="G11" s="41" t="s">
        <v>52</v>
      </c>
      <c r="H11" s="41">
        <v>2.0251019E7</v>
      </c>
      <c r="I11" s="43" t="s">
        <v>2</v>
      </c>
      <c r="J11" s="41" t="s">
        <v>50</v>
      </c>
      <c r="K11" s="44" t="s">
        <v>42</v>
      </c>
      <c r="L11" s="14" t="s">
        <v>43</v>
      </c>
      <c r="M11" s="40" t="s">
        <v>33</v>
      </c>
      <c r="N11" s="14"/>
      <c r="O11" s="14" t="s">
        <v>51</v>
      </c>
    </row>
    <row r="12">
      <c r="A12" s="40">
        <f t="array" ref="A12">COUNTIFS(
  DATEVALUE(TEXT($E$8:E12,"yyyy-mm-dd")),
  "&gt;=" &amp; EOMONTH(DATEVALUE(TEXT(E12,"yyyy-mm-dd")),-1)+1,
  DATEVALUE(TEXT($E$8:E12,"yyyy-mm-dd")),
  "&lt;=" &amp; EOMONTH(DATEVALUE(TEXT(E12,"yyyy-mm-dd")),0)
)
</f>
        <v>5</v>
      </c>
      <c r="B12" s="41">
        <v>1.0776035422E11</v>
      </c>
      <c r="D12" s="41" t="s">
        <v>37</v>
      </c>
      <c r="E12" s="42">
        <v>45993.0</v>
      </c>
      <c r="F12" s="41" t="s">
        <v>45</v>
      </c>
      <c r="G12" s="41" t="s">
        <v>53</v>
      </c>
      <c r="H12" s="41">
        <v>2.025102E7</v>
      </c>
      <c r="I12" s="43" t="s">
        <v>2</v>
      </c>
      <c r="J12" s="41" t="s">
        <v>50</v>
      </c>
      <c r="K12" s="44" t="s">
        <v>42</v>
      </c>
      <c r="L12" s="14" t="s">
        <v>43</v>
      </c>
      <c r="M12" s="40" t="s">
        <v>33</v>
      </c>
      <c r="N12" s="14"/>
      <c r="O12" s="14" t="s">
        <v>51</v>
      </c>
    </row>
    <row r="13">
      <c r="A13" s="40">
        <f t="array" ref="A13">COUNTIFS(
  DATEVALUE(TEXT($E$8:E13,"yyyy-mm-dd")),
  "&gt;=" &amp; EOMONTH(DATEVALUE(TEXT(E13,"yyyy-mm-dd")),-1)+1,
  DATEVALUE(TEXT($E$8:E13,"yyyy-mm-dd")),
  "&lt;=" &amp; EOMONTH(DATEVALUE(TEXT(E13,"yyyy-mm-dd")),0)
)
</f>
        <v>6</v>
      </c>
      <c r="B13" s="41">
        <v>1.0776169833E11</v>
      </c>
      <c r="D13" s="41" t="s">
        <v>37</v>
      </c>
      <c r="E13" s="42">
        <v>45993.0</v>
      </c>
      <c r="F13" s="41" t="s">
        <v>45</v>
      </c>
      <c r="G13" s="41" t="s">
        <v>54</v>
      </c>
      <c r="H13" s="41" t="s">
        <v>55</v>
      </c>
      <c r="I13" s="43" t="s">
        <v>2</v>
      </c>
      <c r="J13" s="41" t="s">
        <v>56</v>
      </c>
      <c r="K13" s="44" t="s">
        <v>42</v>
      </c>
      <c r="L13" s="14" t="s">
        <v>57</v>
      </c>
      <c r="M13" s="40" t="s">
        <v>33</v>
      </c>
      <c r="N13" s="14"/>
      <c r="O13" s="14" t="s">
        <v>58</v>
      </c>
    </row>
    <row r="14">
      <c r="A14" s="40">
        <f t="array" ref="A14">COUNTIFS(
  DATEVALUE(TEXT($E$8:E14,"yyyy-mm-dd")),
  "&gt;=" &amp; EOMONTH(DATEVALUE(TEXT(E14,"yyyy-mm-dd")),-1)+1,
  DATEVALUE(TEXT($E$8:E14,"yyyy-mm-dd")),
  "&lt;=" &amp; EOMONTH(DATEVALUE(TEXT(E14,"yyyy-mm-dd")),0)
)
</f>
        <v>7</v>
      </c>
      <c r="B14" s="41">
        <v>1.0776501854E11</v>
      </c>
      <c r="D14" s="41" t="s">
        <v>37</v>
      </c>
      <c r="E14" s="42">
        <v>45993.0</v>
      </c>
      <c r="F14" s="41" t="s">
        <v>45</v>
      </c>
      <c r="G14" s="41">
        <v>1.32500040822882E14</v>
      </c>
      <c r="H14" s="41" t="s">
        <v>59</v>
      </c>
      <c r="I14" s="43" t="s">
        <v>2</v>
      </c>
      <c r="J14" s="41" t="s">
        <v>60</v>
      </c>
      <c r="K14" s="41" t="s">
        <v>61</v>
      </c>
      <c r="L14" s="14" t="s">
        <v>43</v>
      </c>
      <c r="M14" s="40" t="s">
        <v>33</v>
      </c>
      <c r="N14" s="14"/>
      <c r="O14" s="14" t="s">
        <v>62</v>
      </c>
    </row>
    <row r="15">
      <c r="A15" s="40">
        <f t="array" ref="A15">COUNTIFS(
  DATEVALUE(TEXT($E$8:E15,"yyyy-mm-dd")),
  "&gt;=" &amp; EOMONTH(DATEVALUE(TEXT(E15,"yyyy-mm-dd")),-1)+1,
  DATEVALUE(TEXT($E$8:E15,"yyyy-mm-dd")),
  "&lt;=" &amp; EOMONTH(DATEVALUE(TEXT(E15,"yyyy-mm-dd")),0)
)
</f>
        <v>8</v>
      </c>
      <c r="B15" s="41">
        <v>1.0776906782E11</v>
      </c>
      <c r="D15" s="41" t="s">
        <v>37</v>
      </c>
      <c r="E15" s="42">
        <v>45996.0</v>
      </c>
      <c r="F15" s="41" t="s">
        <v>45</v>
      </c>
      <c r="G15" s="41" t="s">
        <v>63</v>
      </c>
      <c r="H15" s="41">
        <v>2.0251021E7</v>
      </c>
      <c r="I15" s="43" t="s">
        <v>2</v>
      </c>
      <c r="J15" s="41" t="s">
        <v>50</v>
      </c>
      <c r="K15" s="44" t="s">
        <v>42</v>
      </c>
      <c r="L15" s="14" t="s">
        <v>43</v>
      </c>
      <c r="M15" s="40" t="s">
        <v>33</v>
      </c>
      <c r="N15" s="14"/>
      <c r="O15" s="14" t="s">
        <v>51</v>
      </c>
    </row>
    <row r="16">
      <c r="A16" s="40">
        <f t="array" ref="A16">COUNTIFS(
  DATEVALUE(TEXT($E$8:E16,"yyyy-mm-dd")),
  "&gt;=" &amp; EOMONTH(DATEVALUE(TEXT(E16,"yyyy-mm-dd")),-1)+1,
  DATEVALUE(TEXT($E$8:E16,"yyyy-mm-dd")),
  "&lt;=" &amp; EOMONTH(DATEVALUE(TEXT(E16,"yyyy-mm-dd")),0)
)
</f>
        <v>9</v>
      </c>
      <c r="B16" s="41">
        <v>1.0777985611E11</v>
      </c>
      <c r="D16" s="41" t="s">
        <v>37</v>
      </c>
      <c r="E16" s="42">
        <v>45999.0</v>
      </c>
      <c r="F16" s="41" t="s">
        <v>45</v>
      </c>
      <c r="G16" s="41">
        <v>1.32500041026525E14</v>
      </c>
      <c r="H16" s="41" t="s">
        <v>64</v>
      </c>
      <c r="I16" s="43" t="s">
        <v>2</v>
      </c>
      <c r="J16" s="41" t="s">
        <v>60</v>
      </c>
      <c r="K16" s="41" t="s">
        <v>61</v>
      </c>
      <c r="L16" s="14" t="s">
        <v>43</v>
      </c>
      <c r="M16" s="40" t="s">
        <v>33</v>
      </c>
      <c r="N16" s="14"/>
      <c r="O16" s="14" t="s">
        <v>65</v>
      </c>
    </row>
    <row r="17">
      <c r="A17" s="40">
        <f t="array" ref="A17">COUNTIFS(
  DATEVALUE(TEXT($E$8:E17,"yyyy-mm-dd")),
  "&gt;=" &amp; EOMONTH(DATEVALUE(TEXT(E17,"yyyy-mm-dd")),-1)+1,
  DATEVALUE(TEXT($E$8:E17,"yyyy-mm-dd")),
  "&lt;=" &amp; EOMONTH(DATEVALUE(TEXT(E17,"yyyy-mm-dd")),0)
)
</f>
        <v>10</v>
      </c>
      <c r="B17" s="41">
        <v>1.0777985821E11</v>
      </c>
      <c r="D17" s="41" t="s">
        <v>37</v>
      </c>
      <c r="E17" s="42">
        <v>45999.0</v>
      </c>
      <c r="F17" s="41" t="s">
        <v>45</v>
      </c>
      <c r="G17" s="41">
        <v>1.3250004102644E14</v>
      </c>
      <c r="H17" s="41">
        <v>928.0</v>
      </c>
      <c r="I17" s="43" t="s">
        <v>2</v>
      </c>
      <c r="J17" s="41" t="s">
        <v>60</v>
      </c>
      <c r="K17" s="41" t="s">
        <v>61</v>
      </c>
      <c r="L17" s="14" t="s">
        <v>43</v>
      </c>
      <c r="M17" s="40" t="s">
        <v>33</v>
      </c>
      <c r="N17" s="14"/>
      <c r="O17" s="14" t="s">
        <v>65</v>
      </c>
    </row>
    <row r="18">
      <c r="A18" s="40">
        <f t="array" ref="A18">COUNTIFS(
  DATEVALUE(TEXT($E$8:E18,"yyyy-mm-dd")),
  "&gt;=" &amp; EOMONTH(DATEVALUE(TEXT(E18,"yyyy-mm-dd")),-1)+1,
  DATEVALUE(TEXT($E$8:E18,"yyyy-mm-dd")),
  "&lt;=" &amp; EOMONTH(DATEVALUE(TEXT(E18,"yyyy-mm-dd")),0)
)
</f>
        <v>11</v>
      </c>
      <c r="B18" s="41">
        <v>1.0778032592E11</v>
      </c>
      <c r="D18" s="41" t="s">
        <v>37</v>
      </c>
      <c r="E18" s="42">
        <v>45999.0</v>
      </c>
      <c r="F18" s="41" t="s">
        <v>45</v>
      </c>
      <c r="G18" s="41">
        <v>1.32500041031933E14</v>
      </c>
      <c r="H18" s="41" t="s">
        <v>66</v>
      </c>
      <c r="I18" s="43" t="s">
        <v>2</v>
      </c>
      <c r="J18" s="41" t="s">
        <v>60</v>
      </c>
      <c r="K18" s="41" t="s">
        <v>61</v>
      </c>
      <c r="L18" s="14" t="s">
        <v>43</v>
      </c>
      <c r="M18" s="40" t="s">
        <v>33</v>
      </c>
      <c r="N18" s="14"/>
      <c r="O18" s="14" t="s">
        <v>67</v>
      </c>
    </row>
    <row r="19">
      <c r="A19" s="40">
        <f t="array" ref="A19">COUNTIFS(
  DATEVALUE(TEXT($E$8:E19,"yyyy-mm-dd")),
  "&gt;=" &amp; EOMONTH(DATEVALUE(TEXT(E19,"yyyy-mm-dd")),-1)+1,
  DATEVALUE(TEXT($E$8:E19,"yyyy-mm-dd")),
  "&lt;=" &amp; EOMONTH(DATEVALUE(TEXT(E19,"yyyy-mm-dd")),0)
)
</f>
        <v>12</v>
      </c>
      <c r="B19" s="41">
        <v>1.0778077392E11</v>
      </c>
      <c r="D19" s="41" t="s">
        <v>37</v>
      </c>
      <c r="E19" s="42">
        <v>45999.0</v>
      </c>
      <c r="F19" s="41" t="s">
        <v>45</v>
      </c>
      <c r="G19" s="41">
        <v>1.32500041034338E14</v>
      </c>
      <c r="H19" s="41" t="s">
        <v>68</v>
      </c>
      <c r="I19" s="43" t="s">
        <v>2</v>
      </c>
      <c r="J19" s="41" t="s">
        <v>60</v>
      </c>
      <c r="K19" s="41" t="s">
        <v>61</v>
      </c>
      <c r="L19" s="14" t="s">
        <v>43</v>
      </c>
      <c r="M19" s="40" t="s">
        <v>33</v>
      </c>
      <c r="N19" s="14"/>
      <c r="O19" s="14" t="s">
        <v>69</v>
      </c>
    </row>
    <row r="20">
      <c r="A20" s="40">
        <f t="array" ref="A20">COUNTIFS(
  DATEVALUE(TEXT($E$8:E20,"yyyy-mm-dd")),
  "&gt;=" &amp; EOMONTH(DATEVALUE(TEXT(E20,"yyyy-mm-dd")),-1)+1,
  DATEVALUE(TEXT($E$8:E20,"yyyy-mm-dd")),
  "&lt;=" &amp; EOMONTH(DATEVALUE(TEXT(E20,"yyyy-mm-dd")),0)
)
</f>
        <v>13</v>
      </c>
      <c r="B20" s="41">
        <v>1.0778021882E11</v>
      </c>
      <c r="D20" s="41" t="s">
        <v>37</v>
      </c>
      <c r="E20" s="42">
        <v>45999.0</v>
      </c>
      <c r="F20" s="41" t="s">
        <v>45</v>
      </c>
      <c r="G20" s="41" t="s">
        <v>70</v>
      </c>
      <c r="H20" s="41" t="s">
        <v>71</v>
      </c>
      <c r="I20" s="43" t="s">
        <v>2</v>
      </c>
      <c r="J20" s="41" t="s">
        <v>72</v>
      </c>
      <c r="K20" s="46" t="s">
        <v>42</v>
      </c>
      <c r="L20" s="14" t="s">
        <v>57</v>
      </c>
      <c r="M20" s="40" t="s">
        <v>33</v>
      </c>
      <c r="N20" s="14" t="s">
        <v>73</v>
      </c>
      <c r="O20" s="14" t="s">
        <v>74</v>
      </c>
    </row>
    <row r="21">
      <c r="A21" s="40">
        <f t="array" ref="A21">COUNTIFS(
  DATEVALUE(TEXT($E$8:E21,"yyyy-mm-dd")),
  "&gt;=" &amp; EOMONTH(DATEVALUE(TEXT(E21,"yyyy-mm-dd")),-1)+1,
  DATEVALUE(TEXT($E$8:E21,"yyyy-mm-dd")),
  "&lt;=" &amp; EOMONTH(DATEVALUE(TEXT(E21,"yyyy-mm-dd")),0)
)
</f>
        <v>14</v>
      </c>
      <c r="B21" s="41">
        <v>1.0778271281E11</v>
      </c>
      <c r="D21" s="41" t="s">
        <v>37</v>
      </c>
      <c r="E21" s="42">
        <v>46000.0</v>
      </c>
      <c r="F21" s="41" t="s">
        <v>45</v>
      </c>
      <c r="G21" s="41" t="s">
        <v>75</v>
      </c>
      <c r="H21" s="41" t="s">
        <v>76</v>
      </c>
      <c r="I21" s="43" t="s">
        <v>2</v>
      </c>
      <c r="J21" s="41" t="s">
        <v>77</v>
      </c>
      <c r="K21" s="46" t="s">
        <v>42</v>
      </c>
      <c r="L21" s="14" t="s">
        <v>43</v>
      </c>
      <c r="M21" s="40" t="s">
        <v>33</v>
      </c>
      <c r="N21" s="14"/>
      <c r="O21" s="14" t="s">
        <v>78</v>
      </c>
    </row>
    <row r="22">
      <c r="A22" s="40">
        <f t="array" ref="A22">COUNTIFS(
  DATEVALUE(TEXT($E$8:E22,"yyyy-mm-dd")),
  "&gt;=" &amp; EOMONTH(DATEVALUE(TEXT(E22,"yyyy-mm-dd")),-1)+1,
  DATEVALUE(TEXT($E$8:E22,"yyyy-mm-dd")),
  "&lt;=" &amp; EOMONTH(DATEVALUE(TEXT(E22,"yyyy-mm-dd")),0)
)
</f>
        <v>15</v>
      </c>
      <c r="B22" s="41">
        <v>1.0778693193E11</v>
      </c>
      <c r="D22" s="41" t="s">
        <v>79</v>
      </c>
      <c r="E22" s="42">
        <v>46001.0</v>
      </c>
      <c r="F22" s="41" t="s">
        <v>38</v>
      </c>
      <c r="G22" s="41" t="s">
        <v>80</v>
      </c>
      <c r="H22" s="41" t="s">
        <v>81</v>
      </c>
      <c r="I22" s="43" t="s">
        <v>4</v>
      </c>
      <c r="J22" s="41" t="s">
        <v>82</v>
      </c>
      <c r="K22" s="46" t="s">
        <v>83</v>
      </c>
      <c r="L22" s="14" t="s">
        <v>43</v>
      </c>
      <c r="M22" s="40" t="s">
        <v>33</v>
      </c>
      <c r="N22" s="14"/>
      <c r="O22" s="14" t="s">
        <v>84</v>
      </c>
    </row>
    <row r="23">
      <c r="A23" s="40">
        <f t="array" ref="A23">COUNTIFS(
  DATEVALUE(TEXT($E$8:E23,"yyyy-mm-dd")),
  "&gt;=" &amp; EOMONTH(DATEVALUE(TEXT(E23,"yyyy-mm-dd")),-1)+1,
  DATEVALUE(TEXT($E$8:E23,"yyyy-mm-dd")),
  "&lt;=" &amp; EOMONTH(DATEVALUE(TEXT(E23,"yyyy-mm-dd")),0)
)
</f>
        <v>16</v>
      </c>
      <c r="B23" s="41">
        <v>1.0778717505E11</v>
      </c>
      <c r="D23" s="41" t="s">
        <v>37</v>
      </c>
      <c r="E23" s="42">
        <v>46001.0</v>
      </c>
      <c r="F23" s="41" t="s">
        <v>45</v>
      </c>
      <c r="G23" s="41" t="s">
        <v>85</v>
      </c>
      <c r="H23" s="41" t="s">
        <v>86</v>
      </c>
      <c r="I23" s="43" t="s">
        <v>2</v>
      </c>
      <c r="J23" s="41" t="s">
        <v>87</v>
      </c>
      <c r="K23" s="46" t="s">
        <v>42</v>
      </c>
      <c r="L23" s="14" t="s">
        <v>57</v>
      </c>
      <c r="M23" s="40" t="s">
        <v>33</v>
      </c>
      <c r="N23" s="14" t="s">
        <v>88</v>
      </c>
      <c r="O23" s="14" t="s">
        <v>89</v>
      </c>
    </row>
    <row r="24">
      <c r="A24" s="40">
        <f t="array" ref="A24">COUNTIFS(
  DATEVALUE(TEXT($E$8:E24,"yyyy-mm-dd")),
  "&gt;=" &amp; EOMONTH(DATEVALUE(TEXT(E24,"yyyy-mm-dd")),-1)+1,
  DATEVALUE(TEXT($E$8:E24,"yyyy-mm-dd")),
  "&lt;=" &amp; EOMONTH(DATEVALUE(TEXT(E24,"yyyy-mm-dd")),0)
)
</f>
        <v>17</v>
      </c>
      <c r="B24" s="41">
        <v>1.07788207E11</v>
      </c>
      <c r="D24" s="41" t="s">
        <v>90</v>
      </c>
      <c r="E24" s="42">
        <v>46001.0</v>
      </c>
      <c r="F24" s="41" t="s">
        <v>45</v>
      </c>
      <c r="G24" s="41" t="s">
        <v>85</v>
      </c>
      <c r="H24" s="41" t="s">
        <v>86</v>
      </c>
      <c r="I24" s="43" t="s">
        <v>2</v>
      </c>
      <c r="J24" s="41" t="s">
        <v>87</v>
      </c>
      <c r="K24" s="46" t="s">
        <v>42</v>
      </c>
      <c r="L24" s="14" t="s">
        <v>43</v>
      </c>
      <c r="M24" s="40" t="s">
        <v>33</v>
      </c>
      <c r="N24" s="14" t="s">
        <v>88</v>
      </c>
      <c r="O24" s="14" t="s">
        <v>91</v>
      </c>
    </row>
    <row r="25">
      <c r="A25" s="40">
        <f t="array" ref="A25">COUNTIFS(
  DATEVALUE(TEXT($E$8:E25,"yyyy-mm-dd")),
  "&gt;=" &amp; EOMONTH(DATEVALUE(TEXT(E25,"yyyy-mm-dd")),-1)+1,
  DATEVALUE(TEXT($E$8:E25,"yyyy-mm-dd")),
  "&lt;=" &amp; EOMONTH(DATEVALUE(TEXT(E25,"yyyy-mm-dd")),0)
)
</f>
        <v>18</v>
      </c>
      <c r="B25" s="41">
        <v>1.0778364381E11</v>
      </c>
      <c r="D25" s="41" t="s">
        <v>37</v>
      </c>
      <c r="E25" s="42">
        <v>46001.0</v>
      </c>
      <c r="F25" s="41" t="s">
        <v>45</v>
      </c>
      <c r="G25" s="41" t="s">
        <v>92</v>
      </c>
      <c r="H25" s="41" t="s">
        <v>93</v>
      </c>
      <c r="I25" s="43" t="s">
        <v>2</v>
      </c>
      <c r="J25" s="41" t="s">
        <v>94</v>
      </c>
      <c r="K25" s="46" t="s">
        <v>42</v>
      </c>
      <c r="L25" s="14" t="s">
        <v>57</v>
      </c>
      <c r="M25" s="40" t="s">
        <v>33</v>
      </c>
      <c r="N25" s="14" t="s">
        <v>95</v>
      </c>
      <c r="O25" s="14" t="s">
        <v>96</v>
      </c>
    </row>
    <row r="26">
      <c r="A26" s="40">
        <f t="array" ref="A26">COUNTIFS(
  DATEVALUE(TEXT($E$8:E26,"yyyy-mm-dd")),
  "&gt;=" &amp; EOMONTH(DATEVALUE(TEXT(E26,"yyyy-mm-dd")),-1)+1,
  DATEVALUE(TEXT($E$8:E26,"yyyy-mm-dd")),
  "&lt;=" &amp; EOMONTH(DATEVALUE(TEXT(E26,"yyyy-mm-dd")),0)
)
</f>
        <v>19</v>
      </c>
      <c r="B26" s="41">
        <v>1.0778365534E11</v>
      </c>
      <c r="D26" s="41" t="s">
        <v>37</v>
      </c>
      <c r="E26" s="42">
        <v>46001.0</v>
      </c>
      <c r="F26" s="41" t="s">
        <v>45</v>
      </c>
      <c r="G26" s="41" t="s">
        <v>92</v>
      </c>
      <c r="H26" s="41" t="s">
        <v>97</v>
      </c>
      <c r="I26" s="43" t="s">
        <v>2</v>
      </c>
      <c r="J26" s="41" t="s">
        <v>94</v>
      </c>
      <c r="K26" s="46" t="s">
        <v>42</v>
      </c>
      <c r="L26" s="14" t="s">
        <v>43</v>
      </c>
      <c r="M26" s="40" t="s">
        <v>33</v>
      </c>
      <c r="N26" s="14" t="s">
        <v>95</v>
      </c>
      <c r="O26" s="14" t="s">
        <v>96</v>
      </c>
    </row>
    <row r="27">
      <c r="A27" s="40">
        <f t="array" ref="A27">COUNTIFS(
  DATEVALUE(TEXT($E$8:E27,"yyyy-mm-dd")),
  "&gt;=" &amp; EOMONTH(DATEVALUE(TEXT(E27,"yyyy-mm-dd")),-1)+1,
  DATEVALUE(TEXT($E$8:E27,"yyyy-mm-dd")),
  "&lt;=" &amp; EOMONTH(DATEVALUE(TEXT(E27,"yyyy-mm-dd")),0)
)
</f>
        <v>20</v>
      </c>
      <c r="B27" s="41">
        <v>1.0778894933E11</v>
      </c>
      <c r="D27" s="41" t="s">
        <v>37</v>
      </c>
      <c r="E27" s="42">
        <v>46001.0</v>
      </c>
      <c r="F27" s="41" t="s">
        <v>45</v>
      </c>
      <c r="G27" s="41" t="s">
        <v>98</v>
      </c>
      <c r="H27" s="41" t="s">
        <v>99</v>
      </c>
      <c r="I27" s="43" t="s">
        <v>2</v>
      </c>
      <c r="J27" s="41" t="s">
        <v>100</v>
      </c>
      <c r="K27" s="44" t="s">
        <v>101</v>
      </c>
      <c r="L27" s="14" t="s">
        <v>57</v>
      </c>
      <c r="M27" s="40" t="s">
        <v>33</v>
      </c>
      <c r="N27" s="14"/>
      <c r="O27" s="14" t="s">
        <v>102</v>
      </c>
    </row>
    <row r="28">
      <c r="A28" s="40">
        <f t="array" ref="A28">COUNTIFS(
  DATEVALUE(TEXT($E$8:E28,"yyyy-mm-dd")),
  "&gt;=" &amp; EOMONTH(DATEVALUE(TEXT(E28,"yyyy-mm-dd")),-1)+1,
  DATEVALUE(TEXT($E$8:E28,"yyyy-mm-dd")),
  "&lt;=" &amp; EOMONTH(DATEVALUE(TEXT(E28,"yyyy-mm-dd")),0)
)
</f>
        <v>21</v>
      </c>
      <c r="B28" s="41">
        <v>1.0779035014E11</v>
      </c>
      <c r="D28" s="41" t="s">
        <v>37</v>
      </c>
      <c r="E28" s="42">
        <v>46002.0</v>
      </c>
      <c r="F28" s="41" t="s">
        <v>45</v>
      </c>
      <c r="G28" s="41">
        <v>2.51215673E8</v>
      </c>
      <c r="H28" s="41" t="s">
        <v>103</v>
      </c>
      <c r="I28" s="43" t="s">
        <v>2</v>
      </c>
      <c r="J28" s="41" t="s">
        <v>104</v>
      </c>
      <c r="K28" s="44" t="s">
        <v>101</v>
      </c>
      <c r="L28" s="14" t="s">
        <v>57</v>
      </c>
      <c r="M28" s="40" t="s">
        <v>33</v>
      </c>
      <c r="N28" s="14"/>
      <c r="O28" s="14" t="s">
        <v>105</v>
      </c>
    </row>
    <row r="29">
      <c r="A29" s="40">
        <f t="array" ref="A29">COUNTIFS(
  DATEVALUE(TEXT($E$8:E29,"yyyy-mm-dd")),
  "&gt;=" &amp; EOMONTH(DATEVALUE(TEXT(E29,"yyyy-mm-dd")),-1)+1,
  DATEVALUE(TEXT($E$8:E29,"yyyy-mm-dd")),
  "&lt;=" &amp; EOMONTH(DATEVALUE(TEXT(E29,"yyyy-mm-dd")),0)
)
</f>
        <v>22</v>
      </c>
      <c r="B29" s="41">
        <v>1.0780019225E11</v>
      </c>
      <c r="D29" s="41" t="s">
        <v>37</v>
      </c>
      <c r="E29" s="42">
        <v>46006.0</v>
      </c>
      <c r="F29" s="41" t="s">
        <v>45</v>
      </c>
      <c r="G29" s="41" t="s">
        <v>106</v>
      </c>
      <c r="H29" s="41" t="s">
        <v>107</v>
      </c>
      <c r="I29" s="43" t="s">
        <v>2</v>
      </c>
      <c r="J29" s="41" t="s">
        <v>104</v>
      </c>
      <c r="K29" s="44" t="s">
        <v>83</v>
      </c>
      <c r="L29" s="14" t="s">
        <v>57</v>
      </c>
      <c r="M29" s="40" t="s">
        <v>33</v>
      </c>
      <c r="N29" s="14"/>
      <c r="O29" s="14" t="s">
        <v>105</v>
      </c>
    </row>
    <row r="30">
      <c r="A30" s="40">
        <f t="array" ref="A30">COUNTIFS(
  DATEVALUE(TEXT($E$8:E30,"yyyy-mm-dd")),
  "&gt;=" &amp; EOMONTH(DATEVALUE(TEXT(E30,"yyyy-mm-dd")),-1)+1,
  DATEVALUE(TEXT($E$8:E30,"yyyy-mm-dd")),
  "&lt;=" &amp; EOMONTH(DATEVALUE(TEXT(E30,"yyyy-mm-dd")),0)
)
</f>
        <v>23</v>
      </c>
      <c r="B30" s="41">
        <v>1.0780652331E11</v>
      </c>
      <c r="D30" s="41" t="s">
        <v>37</v>
      </c>
      <c r="E30" s="42">
        <v>46007.0</v>
      </c>
      <c r="F30" s="41" t="s">
        <v>45</v>
      </c>
      <c r="G30" s="41">
        <v>1.32500041372807E14</v>
      </c>
      <c r="H30" s="41" t="s">
        <v>108</v>
      </c>
      <c r="I30" s="43" t="s">
        <v>2</v>
      </c>
      <c r="J30" s="41" t="s">
        <v>60</v>
      </c>
      <c r="K30" s="41" t="s">
        <v>61</v>
      </c>
      <c r="L30" s="14" t="s">
        <v>43</v>
      </c>
      <c r="M30" s="40" t="s">
        <v>33</v>
      </c>
      <c r="N30" s="14"/>
      <c r="O30" s="14" t="s">
        <v>109</v>
      </c>
    </row>
    <row r="31">
      <c r="A31" s="40">
        <f t="array" ref="A31">COUNTIFS(
  DATEVALUE(TEXT($E$8:E31,"yyyy-mm-dd")),
  "&gt;=" &amp; EOMONTH(DATEVALUE(TEXT(E31,"yyyy-mm-dd")),-1)+1,
  DATEVALUE(TEXT($E$8:E31,"yyyy-mm-dd")),
  "&lt;=" &amp; EOMONTH(DATEVALUE(TEXT(E31,"yyyy-mm-dd")),0)
)
</f>
        <v>24</v>
      </c>
      <c r="B31" s="41">
        <v>1.0780663262E11</v>
      </c>
      <c r="D31" s="41" t="s">
        <v>37</v>
      </c>
      <c r="E31" s="42">
        <v>46007.0</v>
      </c>
      <c r="F31" s="41" t="s">
        <v>45</v>
      </c>
      <c r="G31" s="41">
        <v>1.32500041374492E14</v>
      </c>
      <c r="H31" s="41" t="s">
        <v>110</v>
      </c>
      <c r="I31" s="43" t="s">
        <v>2</v>
      </c>
      <c r="J31" s="41" t="s">
        <v>60</v>
      </c>
      <c r="K31" s="41" t="s">
        <v>61</v>
      </c>
      <c r="L31" s="14" t="s">
        <v>43</v>
      </c>
      <c r="M31" s="40" t="s">
        <v>33</v>
      </c>
      <c r="N31" s="14"/>
      <c r="O31" s="14" t="s">
        <v>109</v>
      </c>
    </row>
    <row r="32">
      <c r="A32" s="40">
        <f t="array" ref="A32">COUNTIFS(
  DATEVALUE(TEXT($E$8:E32,"yyyy-mm-dd")),
  "&gt;=" &amp; EOMONTH(DATEVALUE(TEXT(E32,"yyyy-mm-dd")),-1)+1,
  DATEVALUE(TEXT($E$8:E32,"yyyy-mm-dd")),
  "&lt;=" &amp; EOMONTH(DATEVALUE(TEXT(E32,"yyyy-mm-dd")),0)
)
</f>
        <v>25</v>
      </c>
      <c r="B32" s="41">
        <v>1.0781174166E11</v>
      </c>
      <c r="D32" s="41" t="s">
        <v>37</v>
      </c>
      <c r="E32" s="42">
        <v>46009.0</v>
      </c>
      <c r="F32" s="41" t="s">
        <v>45</v>
      </c>
      <c r="G32" s="41">
        <v>1.32500041439429E14</v>
      </c>
      <c r="H32" s="41">
        <v>969.0</v>
      </c>
      <c r="I32" s="43" t="s">
        <v>2</v>
      </c>
      <c r="J32" s="41" t="s">
        <v>60</v>
      </c>
      <c r="K32" s="41" t="s">
        <v>61</v>
      </c>
      <c r="L32" s="14" t="s">
        <v>43</v>
      </c>
      <c r="M32" s="40" t="s">
        <v>33</v>
      </c>
      <c r="N32" s="14"/>
      <c r="O32" s="14" t="s">
        <v>69</v>
      </c>
    </row>
    <row r="33">
      <c r="A33" s="40">
        <f t="array" ref="A33">COUNTIFS(
  DATEVALUE(TEXT($E$8:E33,"yyyy-mm-dd")),
  "&gt;=" &amp; EOMONTH(DATEVALUE(TEXT(E33,"yyyy-mm-dd")),-1)+1,
  DATEVALUE(TEXT($E$8:E33,"yyyy-mm-dd")),
  "&lt;=" &amp; EOMONTH(DATEVALUE(TEXT(E33,"yyyy-mm-dd")),0)
)
</f>
        <v>26</v>
      </c>
      <c r="B33" s="41">
        <v>1.0782311773E11</v>
      </c>
      <c r="D33" s="41" t="s">
        <v>37</v>
      </c>
      <c r="E33" s="42">
        <v>46013.0</v>
      </c>
      <c r="F33" s="41" t="s">
        <v>45</v>
      </c>
      <c r="G33" s="41">
        <v>1.32500041602169E14</v>
      </c>
      <c r="H33" s="41">
        <v>975.0</v>
      </c>
      <c r="I33" s="43" t="s">
        <v>2</v>
      </c>
      <c r="J33" s="41" t="s">
        <v>60</v>
      </c>
      <c r="K33" s="41" t="s">
        <v>61</v>
      </c>
      <c r="L33" s="14" t="s">
        <v>43</v>
      </c>
      <c r="M33" s="40" t="s">
        <v>33</v>
      </c>
      <c r="N33" s="14"/>
      <c r="O33" s="14" t="s">
        <v>109</v>
      </c>
    </row>
    <row r="34">
      <c r="A34" s="40">
        <f t="array" ref="A34">COUNTIFS(
  DATEVALUE(TEXT($E$8:E34,"yyyy-mm-dd")),
  "&gt;=" &amp; EOMONTH(DATEVALUE(TEXT(E34,"yyyy-mm-dd")),-1)+1,
  DATEVALUE(TEXT($E$8:E34,"yyyy-mm-dd")),
  "&lt;=" &amp; EOMONTH(DATEVALUE(TEXT(E34,"yyyy-mm-dd")),0)
)
</f>
        <v>27</v>
      </c>
      <c r="B34" s="41">
        <v>1.0782339014E11</v>
      </c>
      <c r="D34" s="41" t="s">
        <v>90</v>
      </c>
      <c r="E34" s="42">
        <v>46013.0</v>
      </c>
      <c r="F34" s="41" t="s">
        <v>45</v>
      </c>
      <c r="G34" s="41" t="s">
        <v>111</v>
      </c>
      <c r="H34" s="41" t="s">
        <v>112</v>
      </c>
      <c r="I34" s="43" t="s">
        <v>2</v>
      </c>
      <c r="J34" s="41" t="s">
        <v>113</v>
      </c>
      <c r="K34" s="41" t="s">
        <v>83</v>
      </c>
      <c r="L34" s="14" t="s">
        <v>57</v>
      </c>
      <c r="M34" s="40" t="s">
        <v>33</v>
      </c>
      <c r="N34" s="14"/>
      <c r="O34" s="14" t="s">
        <v>114</v>
      </c>
    </row>
    <row r="35">
      <c r="A35" s="40">
        <f t="array" ref="A35">COUNTIFS(
  DATEVALUE(TEXT($E$8:E35,"yyyy-mm-dd")),
  "&gt;=" &amp; EOMONTH(DATEVALUE(TEXT(E35,"yyyy-mm-dd")),-1)+1,
  DATEVALUE(TEXT($E$8:E35,"yyyy-mm-dd")),
  "&lt;=" &amp; EOMONTH(DATEVALUE(TEXT(E35,"yyyy-mm-dd")),0)
)
</f>
        <v>28</v>
      </c>
      <c r="B35" s="41">
        <v>1.078277206E11</v>
      </c>
      <c r="D35" s="41" t="s">
        <v>37</v>
      </c>
      <c r="E35" s="42">
        <v>46014.0</v>
      </c>
      <c r="F35" s="41" t="s">
        <v>115</v>
      </c>
      <c r="G35" s="41">
        <v>1.32500041657058E14</v>
      </c>
      <c r="H35" s="47" t="s">
        <v>116</v>
      </c>
      <c r="I35" s="43" t="s">
        <v>6</v>
      </c>
      <c r="J35" s="41" t="s">
        <v>11</v>
      </c>
      <c r="K35" s="41" t="s">
        <v>61</v>
      </c>
      <c r="L35" s="14" t="s">
        <v>43</v>
      </c>
      <c r="M35" s="45" t="s">
        <v>33</v>
      </c>
      <c r="N35" s="14"/>
      <c r="O35" s="14" t="s">
        <v>117</v>
      </c>
    </row>
    <row r="36">
      <c r="A36" s="40">
        <f t="array" ref="A36">COUNTIFS(
  DATEVALUE(TEXT($E$8:E36,"yyyy-mm-dd")),
  "&gt;=" &amp; EOMONTH(DATEVALUE(TEXT(E36,"yyyy-mm-dd")),-1)+1,
  DATEVALUE(TEXT($E$8:E36,"yyyy-mm-dd")),
  "&lt;=" &amp; EOMONTH(DATEVALUE(TEXT(E36,"yyyy-mm-dd")),0)
)
</f>
        <v>29</v>
      </c>
      <c r="B36" s="41">
        <v>1.0782771916E11</v>
      </c>
      <c r="D36" s="41" t="s">
        <v>37</v>
      </c>
      <c r="E36" s="42">
        <v>46016.0</v>
      </c>
      <c r="F36" s="41" t="s">
        <v>45</v>
      </c>
      <c r="G36" s="41" t="s">
        <v>118</v>
      </c>
      <c r="H36" s="41" t="s">
        <v>119</v>
      </c>
      <c r="I36" s="43" t="s">
        <v>2</v>
      </c>
      <c r="J36" s="41" t="s">
        <v>120</v>
      </c>
      <c r="K36" s="46" t="s">
        <v>42</v>
      </c>
      <c r="L36" s="14" t="s">
        <v>43</v>
      </c>
      <c r="M36" s="40" t="s">
        <v>33</v>
      </c>
      <c r="N36" s="14"/>
      <c r="O36" s="14" t="s">
        <v>121</v>
      </c>
    </row>
    <row r="37" ht="16.5" customHeight="1">
      <c r="A37" s="40">
        <f t="array" ref="A37">COUNTIFS(
  DATEVALUE(TEXT($E$8:E37,"yyyy-mm-dd")),
  "&gt;=" &amp; EOMONTH(DATEVALUE(TEXT(E37,"yyyy-mm-dd")),-1)+1,
  DATEVALUE(TEXT($E$8:E37,"yyyy-mm-dd")),
  "&lt;=" &amp; EOMONTH(DATEVALUE(TEXT(E37,"yyyy-mm-dd")),0)
)
</f>
        <v>30</v>
      </c>
      <c r="B37" s="41">
        <v>1.0782779933E11</v>
      </c>
      <c r="D37" s="41" t="s">
        <v>37</v>
      </c>
      <c r="E37" s="42">
        <v>46016.0</v>
      </c>
      <c r="F37" s="41" t="s">
        <v>45</v>
      </c>
      <c r="G37" s="41" t="s">
        <v>122</v>
      </c>
      <c r="H37" s="41" t="s">
        <v>123</v>
      </c>
      <c r="I37" s="43" t="s">
        <v>2</v>
      </c>
      <c r="J37" s="41" t="s">
        <v>120</v>
      </c>
      <c r="K37" s="46" t="s">
        <v>42</v>
      </c>
      <c r="L37" s="14" t="s">
        <v>43</v>
      </c>
      <c r="M37" s="40" t="s">
        <v>33</v>
      </c>
      <c r="N37" s="14"/>
      <c r="O37" s="14" t="s">
        <v>124</v>
      </c>
    </row>
    <row r="38">
      <c r="A38" s="40">
        <f t="array" ref="A38">COUNTIFS(
  DATEVALUE(TEXT($E$8:E38,"yyyy-mm-dd")),
  "&gt;=" &amp; EOMONTH(DATEVALUE(TEXT(E38,"yyyy-mm-dd")),-1)+1,
  DATEVALUE(TEXT($E$8:E38,"yyyy-mm-dd")),
  "&lt;=" &amp; EOMONTH(DATEVALUE(TEXT(E38,"yyyy-mm-dd")),0)
)
</f>
        <v>31</v>
      </c>
      <c r="B38" s="41">
        <v>1.0782904743E11</v>
      </c>
      <c r="D38" s="41" t="s">
        <v>37</v>
      </c>
      <c r="E38" s="42">
        <v>46014.0</v>
      </c>
      <c r="F38" s="41" t="s">
        <v>45</v>
      </c>
      <c r="G38" s="41" t="s">
        <v>125</v>
      </c>
      <c r="H38" s="41" t="s">
        <v>126</v>
      </c>
      <c r="I38" s="43" t="s">
        <v>2</v>
      </c>
      <c r="J38" s="41" t="s">
        <v>127</v>
      </c>
      <c r="K38" s="46" t="s">
        <v>42</v>
      </c>
      <c r="L38" s="14" t="s">
        <v>43</v>
      </c>
      <c r="M38" s="40" t="s">
        <v>33</v>
      </c>
      <c r="N38" s="14"/>
      <c r="O38" s="14" t="s">
        <v>128</v>
      </c>
    </row>
    <row r="39">
      <c r="A39" s="40">
        <f t="array" ref="A39">COUNTIFS(
  DATEVALUE(TEXT($E$8:E39,"yyyy-mm-dd")),
  "&gt;=" &amp; EOMONTH(DATEVALUE(TEXT(E39,"yyyy-mm-dd")),-1)+1,
  DATEVALUE(TEXT($E$8:E39,"yyyy-mm-dd")),
  "&lt;=" &amp; EOMONTH(DATEVALUE(TEXT(E39,"yyyy-mm-dd")),0)
)
</f>
        <v>32</v>
      </c>
      <c r="B39" s="41">
        <v>1.0782982211E11</v>
      </c>
      <c r="D39" s="41" t="s">
        <v>37</v>
      </c>
      <c r="E39" s="42">
        <v>46014.0</v>
      </c>
      <c r="F39" s="41" t="s">
        <v>45</v>
      </c>
      <c r="G39" s="41">
        <v>1.32500041683149E14</v>
      </c>
      <c r="H39" s="41" t="s">
        <v>129</v>
      </c>
      <c r="I39" s="43" t="s">
        <v>2</v>
      </c>
      <c r="J39" s="41" t="s">
        <v>60</v>
      </c>
      <c r="K39" s="41" t="s">
        <v>61</v>
      </c>
      <c r="L39" s="14" t="s">
        <v>43</v>
      </c>
      <c r="M39" s="40" t="s">
        <v>33</v>
      </c>
      <c r="N39" s="14"/>
      <c r="O39" s="14" t="s">
        <v>130</v>
      </c>
    </row>
    <row r="40">
      <c r="A40" s="40">
        <f t="array" ref="A40">COUNTIFS(
  DATEVALUE(TEXT($E$8:E40,"yyyy-mm-dd")),
  "&gt;=" &amp; EOMONTH(DATEVALUE(TEXT(E40,"yyyy-mm-dd")),-1)+1,
  DATEVALUE(TEXT($E$8:E40,"yyyy-mm-dd")),
  "&lt;=" &amp; EOMONTH(DATEVALUE(TEXT(E40,"yyyy-mm-dd")),0)
)
</f>
        <v>33</v>
      </c>
      <c r="B40" s="41">
        <v>1.0782968432E11</v>
      </c>
      <c r="D40" s="41" t="s">
        <v>37</v>
      </c>
      <c r="E40" s="42">
        <v>46014.0</v>
      </c>
      <c r="F40" s="41" t="s">
        <v>45</v>
      </c>
      <c r="G40" s="41">
        <v>1.32500041682438E14</v>
      </c>
      <c r="H40" s="41">
        <v>982.0</v>
      </c>
      <c r="I40" s="43" t="s">
        <v>2</v>
      </c>
      <c r="J40" s="41" t="s">
        <v>60</v>
      </c>
      <c r="K40" s="41" t="s">
        <v>61</v>
      </c>
      <c r="L40" s="14" t="s">
        <v>43</v>
      </c>
      <c r="M40" s="40" t="s">
        <v>33</v>
      </c>
      <c r="N40" s="14"/>
      <c r="O40" s="14" t="s">
        <v>130</v>
      </c>
    </row>
    <row r="41">
      <c r="A41" s="40">
        <f t="array" ref="A41">COUNTIFS(
  DATEVALUE(TEXT($E$8:E41,"yyyy-mm-dd")),
  "&gt;=" &amp; EOMONTH(DATEVALUE(TEXT(E41,"yyyy-mm-dd")),-1)+1,
  DATEVALUE(TEXT($E$8:E41,"yyyy-mm-dd")),
  "&lt;=" &amp; EOMONTH(DATEVALUE(TEXT(E41,"yyyy-mm-dd")),0)
)
</f>
        <v>34</v>
      </c>
      <c r="B41" s="41">
        <v>1.0782967721E11</v>
      </c>
      <c r="D41" s="41" t="s">
        <v>37</v>
      </c>
      <c r="E41" s="42">
        <v>46014.0</v>
      </c>
      <c r="F41" s="41" t="s">
        <v>45</v>
      </c>
      <c r="G41" s="41">
        <v>1.32500041682235E14</v>
      </c>
      <c r="H41" s="41">
        <v>981.0</v>
      </c>
      <c r="I41" s="43" t="s">
        <v>2</v>
      </c>
      <c r="J41" s="41" t="s">
        <v>60</v>
      </c>
      <c r="K41" s="41" t="s">
        <v>61</v>
      </c>
      <c r="L41" s="14" t="s">
        <v>43</v>
      </c>
      <c r="M41" s="40" t="s">
        <v>33</v>
      </c>
      <c r="N41" s="14"/>
      <c r="O41" s="14" t="s">
        <v>130</v>
      </c>
    </row>
    <row r="42">
      <c r="A42" s="40">
        <f t="array" ref="A42">COUNTIFS(
  DATEVALUE(TEXT($E$8:E42,"yyyy-mm-dd")),
  "&gt;=" &amp; EOMONTH(DATEVALUE(TEXT(E42,"yyyy-mm-dd")),-1)+1,
  DATEVALUE(TEXT($E$8:E42,"yyyy-mm-dd")),
  "&lt;=" &amp; EOMONTH(DATEVALUE(TEXT(E42,"yyyy-mm-dd")),0)
)
</f>
        <v>35</v>
      </c>
      <c r="B42" s="41">
        <v>1.0782951245E11</v>
      </c>
      <c r="D42" s="41" t="s">
        <v>37</v>
      </c>
      <c r="E42" s="42">
        <v>46014.0</v>
      </c>
      <c r="F42" s="41" t="s">
        <v>45</v>
      </c>
      <c r="G42" s="41">
        <v>1.3250004167994E14</v>
      </c>
      <c r="H42" s="41">
        <v>983.0</v>
      </c>
      <c r="I42" s="43" t="s">
        <v>2</v>
      </c>
      <c r="J42" s="41" t="s">
        <v>60</v>
      </c>
      <c r="K42" s="41" t="s">
        <v>61</v>
      </c>
      <c r="L42" s="14" t="s">
        <v>43</v>
      </c>
      <c r="M42" s="40" t="s">
        <v>33</v>
      </c>
      <c r="N42" s="14"/>
      <c r="O42" s="14" t="s">
        <v>130</v>
      </c>
    </row>
    <row r="43">
      <c r="A43" s="40">
        <f t="array" ref="A43">COUNTIFS(
  DATEVALUE(TEXT($E$8:E43,"yyyy-mm-dd")),
  "&gt;=" &amp; EOMONTH(DATEVALUE(TEXT(E43,"yyyy-mm-dd")),-1)+1,
  DATEVALUE(TEXT($E$8:E43,"yyyy-mm-dd")),
  "&lt;=" &amp; EOMONTH(DATEVALUE(TEXT(E43,"yyyy-mm-dd")),0)
)
</f>
        <v>36</v>
      </c>
      <c r="B43" s="41">
        <v>1.0782940594E11</v>
      </c>
      <c r="D43" s="41" t="s">
        <v>37</v>
      </c>
      <c r="E43" s="42">
        <v>46014.0</v>
      </c>
      <c r="F43" s="41" t="s">
        <v>45</v>
      </c>
      <c r="G43" s="41">
        <v>1.32500041678737E14</v>
      </c>
      <c r="H43" s="41" t="s">
        <v>131</v>
      </c>
      <c r="I43" s="43" t="s">
        <v>2</v>
      </c>
      <c r="J43" s="41" t="s">
        <v>60</v>
      </c>
      <c r="K43" s="41" t="s">
        <v>61</v>
      </c>
      <c r="L43" s="14" t="s">
        <v>43</v>
      </c>
      <c r="M43" s="40" t="s">
        <v>33</v>
      </c>
      <c r="N43" s="14"/>
      <c r="O43" s="14" t="s">
        <v>130</v>
      </c>
    </row>
    <row r="44">
      <c r="A44" s="40">
        <f t="array" ref="A44">COUNTIFS(
  DATEVALUE(TEXT($E$8:E44,"yyyy-mm-dd")),
  "&gt;=" &amp; EOMONTH(DATEVALUE(TEXT(E44,"yyyy-mm-dd")),-1)+1,
  DATEVALUE(TEXT($E$8:E44,"yyyy-mm-dd")),
  "&lt;=" &amp; EOMONTH(DATEVALUE(TEXT(E44,"yyyy-mm-dd")),0)
)
</f>
        <v>37</v>
      </c>
      <c r="B44" s="41">
        <v>1.0784233892E11</v>
      </c>
      <c r="D44" s="41" t="s">
        <v>37</v>
      </c>
      <c r="E44" s="42">
        <v>46017.0</v>
      </c>
      <c r="F44" s="41" t="s">
        <v>45</v>
      </c>
      <c r="G44" s="41" t="s">
        <v>132</v>
      </c>
      <c r="H44" s="41">
        <v>9.18619236E8</v>
      </c>
      <c r="I44" s="43" t="s">
        <v>2</v>
      </c>
      <c r="J44" s="41" t="s">
        <v>133</v>
      </c>
      <c r="K44" s="44" t="s">
        <v>101</v>
      </c>
      <c r="L44" s="14" t="s">
        <v>57</v>
      </c>
      <c r="M44" s="40" t="s">
        <v>33</v>
      </c>
      <c r="N44" s="14"/>
      <c r="O44" s="14" t="s">
        <v>134</v>
      </c>
    </row>
    <row r="45">
      <c r="A45" s="40">
        <f t="array" ref="A45">COUNTIFS(
  DATEVALUE(TEXT($E$8:E45,"yyyy-mm-dd")),
  "&gt;=" &amp; EOMONTH(DATEVALUE(TEXT(E45,"yyyy-mm-dd")),-1)+1,
  DATEVALUE(TEXT($E$8:E45,"yyyy-mm-dd")),
  "&lt;=" &amp; EOMONTH(DATEVALUE(TEXT(E45,"yyyy-mm-dd")),0)
)
</f>
        <v>38</v>
      </c>
      <c r="B45" s="41">
        <v>1.0783129476E11</v>
      </c>
      <c r="D45" s="41" t="s">
        <v>37</v>
      </c>
      <c r="E45" s="42">
        <v>46015.0</v>
      </c>
      <c r="F45" s="41" t="s">
        <v>45</v>
      </c>
      <c r="G45" s="41">
        <v>3.706379762E9</v>
      </c>
      <c r="H45" s="41" t="s">
        <v>135</v>
      </c>
      <c r="I45" s="43" t="s">
        <v>2</v>
      </c>
      <c r="J45" s="41" t="s">
        <v>120</v>
      </c>
      <c r="K45" s="44" t="s">
        <v>101</v>
      </c>
      <c r="L45" s="14" t="s">
        <v>43</v>
      </c>
      <c r="M45" s="40" t="s">
        <v>33</v>
      </c>
      <c r="N45" s="14"/>
      <c r="O45" s="14" t="s">
        <v>136</v>
      </c>
    </row>
    <row r="46">
      <c r="A46" s="40">
        <f t="array" ref="A46">COUNTIFS(
  DATEVALUE(TEXT($E$8:E46,"yyyy-mm-dd")),
  "&gt;=" &amp; EOMONTH(DATEVALUE(TEXT(E46,"yyyy-mm-dd")),-1)+1,
  DATEVALUE(TEXT($E$8:E46,"yyyy-mm-dd")),
  "&lt;=" &amp; EOMONTH(DATEVALUE(TEXT(E46,"yyyy-mm-dd")),0)
)
</f>
        <v>39</v>
      </c>
      <c r="B46" s="41">
        <v>1.0783367012E11</v>
      </c>
      <c r="D46" s="41" t="s">
        <v>137</v>
      </c>
      <c r="E46" s="42">
        <v>46015.0</v>
      </c>
      <c r="F46" s="41" t="s">
        <v>138</v>
      </c>
      <c r="G46" s="41" t="s">
        <v>139</v>
      </c>
      <c r="H46" s="41" t="s">
        <v>140</v>
      </c>
      <c r="I46" s="43" t="s">
        <v>8</v>
      </c>
      <c r="J46" s="41" t="s">
        <v>141</v>
      </c>
      <c r="K46" s="46" t="s">
        <v>42</v>
      </c>
      <c r="L46" s="14" t="s">
        <v>43</v>
      </c>
      <c r="M46" s="45" t="s">
        <v>33</v>
      </c>
      <c r="N46" s="14"/>
      <c r="O46" s="14" t="s">
        <v>142</v>
      </c>
    </row>
    <row r="47">
      <c r="A47" s="40">
        <f t="array" ref="A47">COUNTIFS(
  DATEVALUE(TEXT($E$8:E47,"yyyy-mm-dd")),
  "&gt;=" &amp; EOMONTH(DATEVALUE(TEXT(E47,"yyyy-mm-dd")),-1)+1,
  DATEVALUE(TEXT($E$8:E47,"yyyy-mm-dd")),
  "&lt;=" &amp; EOMONTH(DATEVALUE(TEXT(E47,"yyyy-mm-dd")),0)
)
</f>
        <v>40</v>
      </c>
      <c r="B47" s="41">
        <v>1.0783357304E11</v>
      </c>
      <c r="D47" s="41" t="s">
        <v>37</v>
      </c>
      <c r="E47" s="42">
        <v>46017.0</v>
      </c>
      <c r="F47" s="41" t="s">
        <v>45</v>
      </c>
      <c r="G47" s="41">
        <v>1.51225262636764E14</v>
      </c>
      <c r="H47" s="41" t="s">
        <v>143</v>
      </c>
      <c r="I47" s="43" t="s">
        <v>2</v>
      </c>
      <c r="J47" s="41" t="s">
        <v>144</v>
      </c>
      <c r="K47" s="46" t="s">
        <v>42</v>
      </c>
      <c r="L47" s="14" t="s">
        <v>43</v>
      </c>
      <c r="M47" s="40" t="s">
        <v>33</v>
      </c>
      <c r="N47" s="14"/>
      <c r="O47" s="14" t="s">
        <v>145</v>
      </c>
    </row>
    <row r="48">
      <c r="A48" s="40">
        <f t="array" ref="A48">COUNTIFS(
  DATEVALUE(TEXT($E$8:E48,"yyyy-mm-dd")),
  "&gt;=" &amp; EOMONTH(DATEVALUE(TEXT(E48,"yyyy-mm-dd")),-1)+1,
  DATEVALUE(TEXT($E$8:E48,"yyyy-mm-dd")),
  "&lt;=" &amp; EOMONTH(DATEVALUE(TEXT(E48,"yyyy-mm-dd")),0)
)
</f>
        <v>41</v>
      </c>
      <c r="B48" s="41">
        <v>1.078354857E11</v>
      </c>
      <c r="D48" s="41" t="s">
        <v>137</v>
      </c>
      <c r="E48" s="42">
        <v>46016.0</v>
      </c>
      <c r="F48" s="41" t="s">
        <v>138</v>
      </c>
      <c r="G48" s="41">
        <v>1.1201699622E10</v>
      </c>
      <c r="H48" s="41" t="s">
        <v>146</v>
      </c>
      <c r="I48" s="43" t="s">
        <v>10</v>
      </c>
      <c r="J48" s="41" t="s">
        <v>147</v>
      </c>
      <c r="K48" s="46" t="s">
        <v>101</v>
      </c>
      <c r="L48" s="14" t="s">
        <v>43</v>
      </c>
      <c r="M48" s="40" t="s">
        <v>33</v>
      </c>
      <c r="N48" s="14"/>
      <c r="O48" s="14" t="s">
        <v>148</v>
      </c>
    </row>
    <row r="49" ht="16.5" customHeight="1">
      <c r="A49" s="40">
        <f t="array" ref="A49">COUNTIFS(
  DATEVALUE(TEXT($E$8:E49,"yyyy-mm-dd")),
  "&gt;=" &amp; EOMONTH(DATEVALUE(TEXT(E49,"yyyy-mm-dd")),-1)+1,
  DATEVALUE(TEXT($E$8:E49,"yyyy-mm-dd")),
  "&lt;=" &amp; EOMONTH(DATEVALUE(TEXT(E49,"yyyy-mm-dd")),0)
)
</f>
        <v>42</v>
      </c>
      <c r="B49" s="41">
        <v>1.0783684834E11</v>
      </c>
      <c r="D49" s="41" t="s">
        <v>90</v>
      </c>
      <c r="E49" s="42">
        <v>46016.0</v>
      </c>
      <c r="F49" s="41" t="s">
        <v>45</v>
      </c>
      <c r="G49" s="41" t="s">
        <v>149</v>
      </c>
      <c r="H49" s="41" t="s">
        <v>150</v>
      </c>
      <c r="I49" s="43" t="s">
        <v>2</v>
      </c>
      <c r="J49" s="41" t="s">
        <v>151</v>
      </c>
      <c r="K49" s="44" t="s">
        <v>83</v>
      </c>
      <c r="L49" s="14" t="s">
        <v>57</v>
      </c>
      <c r="M49" s="40" t="s">
        <v>33</v>
      </c>
      <c r="N49" s="14"/>
      <c r="O49" s="14" t="s">
        <v>152</v>
      </c>
    </row>
    <row r="50" ht="16.5" customHeight="1">
      <c r="A50" s="40">
        <f t="array" ref="A50">COUNTIFS(
  DATEVALUE(TEXT($E$8:E50,"yyyy-mm-dd")),
  "&gt;=" &amp; EOMONTH(DATEVALUE(TEXT(E50,"yyyy-mm-dd")),-1)+1,
  DATEVALUE(TEXT($E$8:E50,"yyyy-mm-dd")),
  "&lt;=" &amp; EOMONTH(DATEVALUE(TEXT(E50,"yyyy-mm-dd")),0)
)
</f>
        <v>43</v>
      </c>
      <c r="B50" s="41">
        <v>1.0783684171E11</v>
      </c>
      <c r="D50" s="41" t="s">
        <v>90</v>
      </c>
      <c r="E50" s="42">
        <v>46016.0</v>
      </c>
      <c r="F50" s="41" t="s">
        <v>45</v>
      </c>
      <c r="G50" s="41" t="s">
        <v>149</v>
      </c>
      <c r="H50" s="41" t="s">
        <v>153</v>
      </c>
      <c r="I50" s="43" t="s">
        <v>2</v>
      </c>
      <c r="J50" s="41" t="s">
        <v>151</v>
      </c>
      <c r="K50" s="44" t="s">
        <v>83</v>
      </c>
      <c r="L50" s="14" t="s">
        <v>57</v>
      </c>
      <c r="M50" s="40" t="s">
        <v>33</v>
      </c>
      <c r="N50" s="14"/>
      <c r="O50" s="14" t="s">
        <v>152</v>
      </c>
    </row>
    <row r="51">
      <c r="A51" s="40">
        <f t="array" ref="A51">COUNTIFS(
  DATEVALUE(TEXT($E$8:E51,"yyyy-mm-dd")),
  "&gt;=" &amp; EOMONTH(DATEVALUE(TEXT(E51,"yyyy-mm-dd")),-1)+1,
  DATEVALUE(TEXT($E$8:E51,"yyyy-mm-dd")),
  "&lt;=" &amp; EOMONTH(DATEVALUE(TEXT(E51,"yyyy-mm-dd")),0)
)
</f>
        <v>44</v>
      </c>
      <c r="B51" s="41">
        <v>1.0783973783E11</v>
      </c>
      <c r="D51" s="41" t="s">
        <v>37</v>
      </c>
      <c r="E51" s="42">
        <v>46017.0</v>
      </c>
      <c r="F51" s="41" t="s">
        <v>45</v>
      </c>
      <c r="G51" s="41">
        <v>1.32500041815069E14</v>
      </c>
      <c r="H51" s="41">
        <v>2579.0</v>
      </c>
      <c r="I51" s="43" t="s">
        <v>2</v>
      </c>
      <c r="J51" s="41" t="s">
        <v>154</v>
      </c>
      <c r="K51" s="41" t="s">
        <v>61</v>
      </c>
      <c r="L51" s="14" t="s">
        <v>43</v>
      </c>
      <c r="M51" s="40" t="s">
        <v>33</v>
      </c>
      <c r="N51" s="14"/>
      <c r="O51" s="14" t="s">
        <v>155</v>
      </c>
    </row>
    <row r="52">
      <c r="A52" s="40">
        <f t="array" ref="A52">COUNTIFS(
  DATEVALUE(TEXT($E$8:E52,"yyyy-mm-dd")),
  "&gt;=" &amp; EOMONTH(DATEVALUE(TEXT(E52,"yyyy-mm-dd")),-1)+1,
  DATEVALUE(TEXT($E$8:E52,"yyyy-mm-dd")),
  "&lt;=" &amp; EOMONTH(DATEVALUE(TEXT(E52,"yyyy-mm-dd")),0)
)
</f>
        <v>45</v>
      </c>
      <c r="B52" s="41">
        <v>1.0784149553E11</v>
      </c>
      <c r="D52" s="41" t="s">
        <v>156</v>
      </c>
      <c r="E52" s="42">
        <v>46017.0</v>
      </c>
      <c r="F52" s="41" t="s">
        <v>45</v>
      </c>
      <c r="G52" s="41" t="s">
        <v>157</v>
      </c>
      <c r="H52" s="41" t="s">
        <v>158</v>
      </c>
      <c r="I52" s="43" t="s">
        <v>2</v>
      </c>
      <c r="J52" s="41" t="s">
        <v>159</v>
      </c>
      <c r="K52" s="41" t="s">
        <v>42</v>
      </c>
      <c r="L52" s="14" t="s">
        <v>43</v>
      </c>
      <c r="M52" s="40" t="s">
        <v>33</v>
      </c>
      <c r="N52" s="14"/>
      <c r="O52" s="14" t="s">
        <v>160</v>
      </c>
    </row>
    <row r="53">
      <c r="A53" s="40">
        <f t="array" ref="A53">COUNTIFS(
  DATEVALUE(TEXT($E$8:E53,"yyyy-mm-dd")),
  "&gt;=" &amp; EOMONTH(DATEVALUE(TEXT(E53,"yyyy-mm-dd")),-1)+1,
  DATEVALUE(TEXT($E$8:E53,"yyyy-mm-dd")),
  "&lt;=" &amp; EOMONTH(DATEVALUE(TEXT(E53,"yyyy-mm-dd")),0)
)
</f>
        <v>46</v>
      </c>
      <c r="B53" s="41">
        <v>1.0784596923E11</v>
      </c>
      <c r="D53" s="41" t="s">
        <v>37</v>
      </c>
      <c r="E53" s="42">
        <v>46020.0</v>
      </c>
      <c r="F53" s="41" t="s">
        <v>45</v>
      </c>
      <c r="G53" s="41" t="s">
        <v>161</v>
      </c>
      <c r="H53" s="41" t="s">
        <v>162</v>
      </c>
      <c r="I53" s="43" t="s">
        <v>2</v>
      </c>
      <c r="J53" s="41" t="s">
        <v>163</v>
      </c>
      <c r="K53" s="41" t="s">
        <v>42</v>
      </c>
      <c r="L53" s="14" t="s">
        <v>164</v>
      </c>
      <c r="M53" s="40" t="s">
        <v>33</v>
      </c>
      <c r="N53" s="14"/>
      <c r="O53" s="14" t="s">
        <v>165</v>
      </c>
    </row>
    <row r="54">
      <c r="A54" s="40">
        <f t="array" ref="A54">COUNTIFS(
  DATEVALUE(TEXT($E$8:E54,"yyyy-mm-dd")),
  "&gt;=" &amp; EOMONTH(DATEVALUE(TEXT(E54,"yyyy-mm-dd")),-1)+1,
  DATEVALUE(TEXT($E$8:E54,"yyyy-mm-dd")),
  "&lt;=" &amp; EOMONTH(DATEVALUE(TEXT(E54,"yyyy-mm-dd")),0)
)
</f>
        <v>47</v>
      </c>
      <c r="B54" s="41">
        <v>1.0784724054E11</v>
      </c>
      <c r="D54" s="41" t="s">
        <v>37</v>
      </c>
      <c r="E54" s="42">
        <v>46020.0</v>
      </c>
      <c r="F54" s="41" t="s">
        <v>45</v>
      </c>
      <c r="G54" s="41" t="s">
        <v>166</v>
      </c>
      <c r="H54" s="41" t="s">
        <v>167</v>
      </c>
      <c r="I54" s="43" t="s">
        <v>2</v>
      </c>
      <c r="J54" s="41" t="s">
        <v>104</v>
      </c>
      <c r="K54" s="44" t="s">
        <v>83</v>
      </c>
      <c r="L54" s="14" t="s">
        <v>57</v>
      </c>
      <c r="M54" s="40" t="s">
        <v>33</v>
      </c>
      <c r="N54" s="14"/>
      <c r="O54" s="14" t="s">
        <v>165</v>
      </c>
    </row>
    <row r="55">
      <c r="A55" s="40">
        <f t="array" ref="A55">COUNTIFS(
  DATEVALUE(TEXT($E$8:E55,"yyyy-mm-dd")),
  "&gt;=" &amp; EOMONTH(DATEVALUE(TEXT(E55,"yyyy-mm-dd")),-1)+1,
  DATEVALUE(TEXT($E$8:E55,"yyyy-mm-dd")),
  "&lt;=" &amp; EOMONTH(DATEVALUE(TEXT(E55,"yyyy-mm-dd")),0)
)
</f>
        <v>48</v>
      </c>
      <c r="B55" s="41">
        <v>1.0784596061E11</v>
      </c>
      <c r="D55" s="41" t="s">
        <v>37</v>
      </c>
      <c r="E55" s="42">
        <v>46020.0</v>
      </c>
      <c r="F55" s="41" t="s">
        <v>45</v>
      </c>
      <c r="G55" s="41" t="s">
        <v>161</v>
      </c>
      <c r="H55" s="41" t="s">
        <v>168</v>
      </c>
      <c r="I55" s="43" t="s">
        <v>2</v>
      </c>
      <c r="J55" s="41" t="s">
        <v>163</v>
      </c>
      <c r="K55" s="41" t="s">
        <v>42</v>
      </c>
      <c r="L55" s="14" t="s">
        <v>43</v>
      </c>
      <c r="M55" s="40" t="s">
        <v>33</v>
      </c>
      <c r="N55" s="14"/>
      <c r="O55" s="14" t="s">
        <v>169</v>
      </c>
    </row>
    <row r="56">
      <c r="A56" s="40">
        <f t="array" ref="A56">COUNTIFS(
  DATEVALUE(TEXT($E$8:E56,"yyyy-mm-dd")),
  "&gt;=" &amp; EOMONTH(DATEVALUE(TEXT(E56,"yyyy-mm-dd")),-1)+1,
  DATEVALUE(TEXT($E$8:E56,"yyyy-mm-dd")),
  "&lt;=" &amp; EOMONTH(DATEVALUE(TEXT(E56,"yyyy-mm-dd")),0)
)
</f>
        <v>49</v>
      </c>
      <c r="B56" s="41">
        <v>1.0784981654E11</v>
      </c>
      <c r="D56" s="41" t="s">
        <v>170</v>
      </c>
      <c r="E56" s="42">
        <v>46021.0</v>
      </c>
      <c r="F56" s="41" t="s">
        <v>171</v>
      </c>
      <c r="G56" s="41" t="s">
        <v>172</v>
      </c>
      <c r="H56" s="41">
        <v>2.025009E7</v>
      </c>
      <c r="I56" s="43" t="s">
        <v>9</v>
      </c>
      <c r="J56" s="41" t="s">
        <v>173</v>
      </c>
      <c r="K56" s="41" t="s">
        <v>42</v>
      </c>
      <c r="L56" s="14" t="s">
        <v>43</v>
      </c>
      <c r="M56" s="40" t="s">
        <v>174</v>
      </c>
      <c r="N56" s="14"/>
      <c r="O56" s="14" t="s">
        <v>175</v>
      </c>
    </row>
    <row r="57">
      <c r="A57" s="40">
        <f t="array" ref="A57">COUNTIFS(
  DATEVALUE(TEXT($E$8:E57,"yyyy-mm-dd")),
  "&gt;=" &amp; EOMONTH(DATEVALUE(TEXT(E57,"yyyy-mm-dd")),-1)+1,
  DATEVALUE(TEXT($E$8:E57,"yyyy-mm-dd")),
  "&lt;=" &amp; EOMONTH(DATEVALUE(TEXT(E57,"yyyy-mm-dd")),0)
)
</f>
        <v>1</v>
      </c>
      <c r="B57" s="43">
        <v>1.0785141125E11</v>
      </c>
      <c r="C57" s="48"/>
      <c r="D57" s="49" t="s">
        <v>79</v>
      </c>
      <c r="E57" s="42">
        <v>46027.0</v>
      </c>
      <c r="F57" s="49" t="s">
        <v>38</v>
      </c>
      <c r="G57" s="43" t="s">
        <v>176</v>
      </c>
      <c r="H57" s="50">
        <v>2.181463E7</v>
      </c>
      <c r="I57" s="49" t="s">
        <v>11</v>
      </c>
      <c r="J57" s="49" t="s">
        <v>177</v>
      </c>
      <c r="K57" s="49" t="s">
        <v>42</v>
      </c>
      <c r="L57" s="14" t="s">
        <v>43</v>
      </c>
      <c r="M57" s="45" t="s">
        <v>33</v>
      </c>
      <c r="N57" s="14"/>
      <c r="O57" s="51" t="s">
        <v>178</v>
      </c>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row>
    <row r="58">
      <c r="A58" s="40">
        <f t="array" ref="A58">COUNTIFS(
  DATEVALUE(TEXT($E$8:E58,"yyyy-mm-dd")),
  "&gt;=" &amp; EOMONTH(DATEVALUE(TEXT(E58,"yyyy-mm-dd")),-1)+1,
  DATEVALUE(TEXT($E$8:E58,"yyyy-mm-dd")),
  "&lt;=" &amp; EOMONTH(DATEVALUE(TEXT(E58,"yyyy-mm-dd")),0)
)
</f>
        <v>2</v>
      </c>
      <c r="B58" s="43">
        <v>1.07861112441E11</v>
      </c>
      <c r="C58" s="48"/>
      <c r="D58" s="49" t="s">
        <v>156</v>
      </c>
      <c r="E58" s="42">
        <v>46027.0</v>
      </c>
      <c r="F58" s="41" t="s">
        <v>45</v>
      </c>
      <c r="G58" s="43" t="s">
        <v>179</v>
      </c>
      <c r="H58" s="50">
        <v>2.0251212E7</v>
      </c>
      <c r="I58" s="43" t="s">
        <v>2</v>
      </c>
      <c r="J58" s="49" t="s">
        <v>180</v>
      </c>
      <c r="K58" s="49" t="s">
        <v>42</v>
      </c>
      <c r="L58" s="14" t="s">
        <v>43</v>
      </c>
      <c r="M58" s="45" t="s">
        <v>33</v>
      </c>
      <c r="N58" s="14"/>
      <c r="O58" s="51" t="s">
        <v>181</v>
      </c>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row>
    <row r="59">
      <c r="A59" s="40">
        <f t="array" ref="A59">COUNTIFS(
  DATEVALUE(TEXT($E$8:E59,"yyyy-mm-dd")),
  "&gt;=" &amp; EOMONTH(DATEVALUE(TEXT(E59,"yyyy-mm-dd")),-1)+1,
  DATEVALUE(TEXT($E$8:E59,"yyyy-mm-dd")),
  "&lt;=" &amp; EOMONTH(DATEVALUE(TEXT(E59,"yyyy-mm-dd")),0)
)
</f>
        <v>3</v>
      </c>
      <c r="B59" s="43">
        <v>1.0786896891E11</v>
      </c>
      <c r="C59" s="48"/>
      <c r="D59" s="49" t="s">
        <v>37</v>
      </c>
      <c r="E59" s="42">
        <v>46029.0</v>
      </c>
      <c r="F59" s="41" t="s">
        <v>45</v>
      </c>
      <c r="G59" s="43" t="s">
        <v>182</v>
      </c>
      <c r="H59" s="50">
        <v>2.5120114E7</v>
      </c>
      <c r="I59" s="43" t="s">
        <v>2</v>
      </c>
      <c r="J59" s="49" t="s">
        <v>183</v>
      </c>
      <c r="K59" s="46" t="s">
        <v>101</v>
      </c>
      <c r="L59" s="14" t="s">
        <v>57</v>
      </c>
      <c r="M59" s="45" t="s">
        <v>33</v>
      </c>
      <c r="N59" s="14"/>
      <c r="O59" s="51" t="s">
        <v>184</v>
      </c>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row>
    <row r="60">
      <c r="A60" s="40">
        <f t="array" ref="A60">COUNTIFS(
  DATEVALUE(TEXT($E$8:E60,"yyyy-mm-dd")),
  "&gt;=" &amp; EOMONTH(DATEVALUE(TEXT(E60,"yyyy-mm-dd")),-1)+1,
  DATEVALUE(TEXT($E$8:E60,"yyyy-mm-dd")),
  "&lt;=" &amp; EOMONTH(DATEVALUE(TEXT(E60,"yyyy-mm-dd")),0)
)
</f>
        <v>4</v>
      </c>
      <c r="B60" s="43">
        <v>1.0786896504E11</v>
      </c>
      <c r="C60" s="48"/>
      <c r="D60" s="49" t="s">
        <v>37</v>
      </c>
      <c r="E60" s="42">
        <v>46029.0</v>
      </c>
      <c r="F60" s="41" t="s">
        <v>45</v>
      </c>
      <c r="G60" s="43" t="s">
        <v>182</v>
      </c>
      <c r="H60" s="50">
        <v>2.5120039E7</v>
      </c>
      <c r="I60" s="43" t="s">
        <v>2</v>
      </c>
      <c r="J60" s="49" t="s">
        <v>183</v>
      </c>
      <c r="K60" s="46" t="s">
        <v>101</v>
      </c>
      <c r="L60" s="14" t="s">
        <v>57</v>
      </c>
      <c r="M60" s="45" t="s">
        <v>33</v>
      </c>
      <c r="N60" s="14"/>
      <c r="O60" s="51" t="s">
        <v>184</v>
      </c>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row>
    <row r="61">
      <c r="A61" s="40">
        <f t="array" ref="A61">COUNTIFS(
  DATEVALUE(TEXT($E$8:E61,"yyyy-mm-dd")),
  "&gt;=" &amp; EOMONTH(DATEVALUE(TEXT(E61,"yyyy-mm-dd")),-1)+1,
  DATEVALUE(TEXT($E$8:E61,"yyyy-mm-dd")),
  "&lt;=" &amp; EOMONTH(DATEVALUE(TEXT(E61,"yyyy-mm-dd")),0)
)
</f>
        <v>5</v>
      </c>
      <c r="B61" s="43">
        <v>1.0787818566E11</v>
      </c>
      <c r="C61" s="48"/>
      <c r="D61" s="49" t="s">
        <v>37</v>
      </c>
      <c r="E61" s="42">
        <v>46031.0</v>
      </c>
      <c r="F61" s="41" t="s">
        <v>45</v>
      </c>
      <c r="G61" s="43">
        <v>1.32600035812188E14</v>
      </c>
      <c r="H61" s="50">
        <v>5.0</v>
      </c>
      <c r="I61" s="43" t="s">
        <v>2</v>
      </c>
      <c r="J61" s="41" t="s">
        <v>60</v>
      </c>
      <c r="K61" s="41" t="s">
        <v>61</v>
      </c>
      <c r="L61" s="14" t="s">
        <v>43</v>
      </c>
      <c r="M61" s="45" t="s">
        <v>33</v>
      </c>
      <c r="N61" s="14"/>
      <c r="O61" s="51" t="s">
        <v>69</v>
      </c>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c r="DI61" s="52"/>
    </row>
    <row r="62">
      <c r="A62" s="40">
        <f t="array" ref="A62">COUNTIFS(
  DATEVALUE(TEXT($E$8:E62,"yyyy-mm-dd")),
  "&gt;=" &amp; EOMONTH(DATEVALUE(TEXT(E62,"yyyy-mm-dd")),-1)+1,
  DATEVALUE(TEXT($E$8:E62,"yyyy-mm-dd")),
  "&lt;=" &amp; EOMONTH(DATEVALUE(TEXT(E62,"yyyy-mm-dd")),0)
)
</f>
        <v>6</v>
      </c>
      <c r="B62" s="43">
        <v>1.0788248005E11</v>
      </c>
      <c r="C62" s="48"/>
      <c r="D62" s="49" t="s">
        <v>37</v>
      </c>
      <c r="E62" s="42">
        <v>46034.0</v>
      </c>
      <c r="F62" s="41" t="s">
        <v>45</v>
      </c>
      <c r="G62" s="43">
        <v>1.32600035882763E14</v>
      </c>
      <c r="H62" s="50" t="s">
        <v>185</v>
      </c>
      <c r="I62" s="43" t="s">
        <v>2</v>
      </c>
      <c r="J62" s="41" t="s">
        <v>60</v>
      </c>
      <c r="K62" s="41" t="s">
        <v>61</v>
      </c>
      <c r="L62" s="14" t="s">
        <v>43</v>
      </c>
      <c r="M62" s="45" t="s">
        <v>33</v>
      </c>
      <c r="N62" s="14"/>
      <c r="O62" s="51" t="s">
        <v>186</v>
      </c>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row>
    <row r="63">
      <c r="A63" s="40">
        <f t="array" ref="A63">COUNTIFS(
  DATEVALUE(TEXT($E$8:E63,"yyyy-mm-dd")),
  "&gt;=" &amp; EOMONTH(DATEVALUE(TEXT(E63,"yyyy-mm-dd")),-1)+1,
  DATEVALUE(TEXT($E$8:E63,"yyyy-mm-dd")),
  "&lt;=" &amp; EOMONTH(DATEVALUE(TEXT(E63,"yyyy-mm-dd")),0)
)
</f>
        <v>7</v>
      </c>
      <c r="B63" s="43">
        <v>1.0788429891E11</v>
      </c>
      <c r="C63" s="48"/>
      <c r="D63" s="49" t="s">
        <v>37</v>
      </c>
      <c r="E63" s="42">
        <v>46034.0</v>
      </c>
      <c r="F63" s="41" t="s">
        <v>45</v>
      </c>
      <c r="G63" s="43" t="s">
        <v>187</v>
      </c>
      <c r="H63" s="50" t="s">
        <v>188</v>
      </c>
      <c r="I63" s="43" t="s">
        <v>2</v>
      </c>
      <c r="J63" s="49" t="s">
        <v>104</v>
      </c>
      <c r="K63" s="44" t="s">
        <v>83</v>
      </c>
      <c r="L63" s="14" t="s">
        <v>57</v>
      </c>
      <c r="M63" s="45" t="s">
        <v>33</v>
      </c>
      <c r="N63" s="14"/>
      <c r="O63" s="51" t="s">
        <v>165</v>
      </c>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row>
    <row r="64">
      <c r="A64" s="40">
        <f t="array" ref="A64">COUNTIFS(
  DATEVALUE(TEXT($E$8:E64,"yyyy-mm-dd")),
  "&gt;=" &amp; EOMONTH(DATEVALUE(TEXT(E64,"yyyy-mm-dd")),-1)+1,
  DATEVALUE(TEXT($E$8:E64,"yyyy-mm-dd")),
  "&lt;=" &amp; EOMONTH(DATEVALUE(TEXT(E64,"yyyy-mm-dd")),0)
)
</f>
        <v>8</v>
      </c>
      <c r="B64" s="43">
        <v>1.0788443504E11</v>
      </c>
      <c r="C64" s="48"/>
      <c r="D64" s="49" t="s">
        <v>37</v>
      </c>
      <c r="E64" s="42">
        <v>46034.0</v>
      </c>
      <c r="F64" s="41" t="s">
        <v>45</v>
      </c>
      <c r="G64" s="43" t="s">
        <v>189</v>
      </c>
      <c r="H64" s="50" t="s">
        <v>190</v>
      </c>
      <c r="I64" s="43" t="s">
        <v>2</v>
      </c>
      <c r="J64" s="49" t="s">
        <v>191</v>
      </c>
      <c r="K64" s="49" t="s">
        <v>42</v>
      </c>
      <c r="L64" s="14" t="s">
        <v>43</v>
      </c>
      <c r="M64" s="45" t="s">
        <v>33</v>
      </c>
      <c r="N64" s="14" t="s">
        <v>192</v>
      </c>
      <c r="O64" s="51" t="s">
        <v>193</v>
      </c>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row>
    <row r="65">
      <c r="A65" s="40"/>
      <c r="B65" s="43"/>
      <c r="C65" s="48"/>
      <c r="D65" s="49"/>
      <c r="E65" s="42"/>
      <c r="F65" s="41"/>
      <c r="G65" s="43"/>
      <c r="H65" s="50"/>
      <c r="I65" s="43"/>
      <c r="J65" s="49"/>
      <c r="K65" s="49"/>
      <c r="L65" s="14"/>
      <c r="M65" s="45"/>
      <c r="N65" s="14"/>
      <c r="O65" s="51"/>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52"/>
      <c r="DI65" s="52"/>
    </row>
    <row r="66">
      <c r="A66" s="40"/>
      <c r="B66" s="43"/>
      <c r="C66" s="48"/>
      <c r="D66" s="49"/>
      <c r="E66" s="42"/>
      <c r="F66" s="41"/>
      <c r="G66" s="43"/>
      <c r="H66" s="50"/>
      <c r="I66" s="43"/>
      <c r="J66" s="49"/>
      <c r="K66" s="49"/>
      <c r="L66" s="14"/>
      <c r="M66" s="45"/>
      <c r="N66" s="14"/>
      <c r="O66" s="51"/>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row>
    <row r="67">
      <c r="A67" s="40"/>
      <c r="B67" s="43"/>
      <c r="C67" s="48"/>
      <c r="D67" s="49"/>
      <c r="E67" s="42"/>
      <c r="F67" s="41"/>
      <c r="G67" s="43"/>
      <c r="H67" s="50"/>
      <c r="I67" s="43"/>
      <c r="J67" s="49"/>
      <c r="K67" s="49"/>
      <c r="L67" s="14"/>
      <c r="M67" s="45"/>
      <c r="N67" s="14"/>
      <c r="O67" s="51"/>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52"/>
      <c r="DI67" s="52"/>
    </row>
    <row r="68">
      <c r="A68" s="40"/>
      <c r="B68" s="43"/>
      <c r="C68" s="48"/>
      <c r="D68" s="49"/>
      <c r="E68" s="42"/>
      <c r="F68" s="41"/>
      <c r="G68" s="43"/>
      <c r="H68" s="50"/>
      <c r="I68" s="43"/>
      <c r="J68" s="49"/>
      <c r="K68" s="49"/>
      <c r="L68" s="14"/>
      <c r="M68" s="45"/>
      <c r="N68" s="14"/>
      <c r="O68" s="51"/>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row>
    <row r="69">
      <c r="A69" s="40"/>
      <c r="B69" s="43"/>
      <c r="C69" s="48"/>
      <c r="D69" s="49"/>
      <c r="E69" s="42"/>
      <c r="F69" s="41"/>
      <c r="G69" s="43"/>
      <c r="H69" s="50"/>
      <c r="I69" s="43"/>
      <c r="J69" s="49"/>
      <c r="K69" s="49"/>
      <c r="L69" s="14"/>
      <c r="M69" s="45"/>
      <c r="N69" s="14"/>
      <c r="O69" s="51"/>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c r="DI69" s="52"/>
    </row>
    <row r="70">
      <c r="A70" s="40"/>
      <c r="B70" s="43"/>
      <c r="C70" s="48"/>
      <c r="D70" s="49"/>
      <c r="E70" s="42"/>
      <c r="F70" s="41"/>
      <c r="G70" s="43"/>
      <c r="H70" s="50"/>
      <c r="I70" s="43"/>
      <c r="J70" s="49"/>
      <c r="K70" s="49"/>
      <c r="L70" s="14"/>
      <c r="M70" s="45"/>
      <c r="N70" s="14"/>
      <c r="O70" s="51"/>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row>
    <row r="71">
      <c r="A71" s="40"/>
      <c r="B71" s="43"/>
      <c r="C71" s="48"/>
      <c r="D71" s="49"/>
      <c r="E71" s="42"/>
      <c r="F71" s="41"/>
      <c r="G71" s="43"/>
      <c r="H71" s="50"/>
      <c r="I71" s="43"/>
      <c r="J71" s="49"/>
      <c r="K71" s="49"/>
      <c r="L71" s="14"/>
      <c r="M71" s="45"/>
      <c r="N71" s="14"/>
      <c r="O71" s="51"/>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52"/>
      <c r="DI71" s="52"/>
    </row>
    <row r="72">
      <c r="A72" s="22"/>
      <c r="M72" s="22"/>
    </row>
    <row r="73">
      <c r="A73" s="22"/>
      <c r="M73" s="22"/>
    </row>
    <row r="74">
      <c r="A74" s="22"/>
      <c r="M74" s="22"/>
    </row>
    <row r="75">
      <c r="A75" s="22"/>
      <c r="M75" s="22"/>
    </row>
    <row r="76">
      <c r="A76" s="22"/>
      <c r="M76" s="22"/>
    </row>
    <row r="77">
      <c r="A77" s="22"/>
      <c r="M77" s="22"/>
    </row>
    <row r="78">
      <c r="A78" s="22"/>
      <c r="M78" s="22"/>
    </row>
    <row r="79">
      <c r="A79" s="22"/>
      <c r="M79" s="22"/>
    </row>
    <row r="80">
      <c r="A80" s="22"/>
      <c r="M80" s="22"/>
    </row>
    <row r="81">
      <c r="A81" s="22"/>
      <c r="M81" s="22"/>
    </row>
    <row r="82">
      <c r="A82" s="22"/>
      <c r="M82" s="22"/>
    </row>
    <row r="83">
      <c r="A83" s="22"/>
      <c r="M83" s="22"/>
    </row>
    <row r="84">
      <c r="A84" s="22"/>
      <c r="M84" s="22"/>
    </row>
    <row r="85">
      <c r="A85" s="22"/>
      <c r="M85" s="22"/>
    </row>
    <row r="86">
      <c r="A86" s="22"/>
      <c r="M86" s="22"/>
    </row>
    <row r="87">
      <c r="A87" s="22"/>
      <c r="M87" s="22"/>
    </row>
    <row r="88">
      <c r="A88" s="22"/>
      <c r="M88" s="22"/>
    </row>
    <row r="89">
      <c r="A89" s="22"/>
      <c r="M89" s="22"/>
    </row>
    <row r="90">
      <c r="A90" s="22"/>
      <c r="M90" s="22"/>
    </row>
    <row r="91">
      <c r="A91" s="22"/>
      <c r="M91" s="22"/>
    </row>
    <row r="92">
      <c r="A92" s="22"/>
      <c r="M92" s="22"/>
    </row>
    <row r="93">
      <c r="A93" s="22"/>
      <c r="M93" s="22"/>
    </row>
    <row r="94">
      <c r="A94" s="22"/>
      <c r="M94" s="22"/>
    </row>
    <row r="95">
      <c r="A95" s="22"/>
      <c r="M95" s="22"/>
    </row>
    <row r="96">
      <c r="A96" s="22"/>
      <c r="M96" s="22"/>
    </row>
    <row r="97">
      <c r="A97" s="22"/>
      <c r="M97" s="22"/>
    </row>
    <row r="98">
      <c r="A98" s="22"/>
      <c r="M98" s="22"/>
    </row>
    <row r="99">
      <c r="A99" s="22"/>
      <c r="M99" s="22"/>
    </row>
    <row r="100">
      <c r="A100" s="22"/>
      <c r="M100" s="22"/>
    </row>
    <row r="101">
      <c r="A101" s="22"/>
      <c r="M101" s="22"/>
    </row>
    <row r="102">
      <c r="A102" s="22"/>
      <c r="M102" s="22"/>
    </row>
    <row r="103">
      <c r="A103" s="22"/>
      <c r="M103" s="22"/>
    </row>
    <row r="104">
      <c r="A104" s="22"/>
      <c r="M104" s="22"/>
    </row>
    <row r="105">
      <c r="A105" s="22"/>
      <c r="M105" s="22"/>
    </row>
    <row r="106">
      <c r="A106" s="22"/>
      <c r="M106" s="22"/>
    </row>
    <row r="107">
      <c r="A107" s="22"/>
      <c r="M107" s="22"/>
    </row>
    <row r="108">
      <c r="A108" s="22"/>
      <c r="M108" s="22"/>
    </row>
    <row r="109">
      <c r="A109" s="22"/>
      <c r="M109" s="22"/>
    </row>
    <row r="110">
      <c r="A110" s="22"/>
      <c r="M110" s="22"/>
    </row>
    <row r="111">
      <c r="A111" s="22"/>
      <c r="M111" s="22"/>
    </row>
    <row r="112">
      <c r="A112" s="22"/>
      <c r="M112" s="22"/>
    </row>
    <row r="113">
      <c r="A113" s="22"/>
      <c r="M113" s="22"/>
    </row>
    <row r="114">
      <c r="A114" s="22"/>
      <c r="M114" s="22"/>
    </row>
    <row r="115">
      <c r="A115" s="22"/>
      <c r="M115" s="22"/>
    </row>
    <row r="116">
      <c r="A116" s="22"/>
      <c r="M116" s="22"/>
    </row>
    <row r="117">
      <c r="A117" s="22"/>
      <c r="M117" s="22"/>
    </row>
    <row r="118">
      <c r="A118" s="22"/>
      <c r="M118" s="22"/>
    </row>
    <row r="119">
      <c r="A119" s="22"/>
      <c r="M119" s="22"/>
    </row>
    <row r="120">
      <c r="A120" s="22"/>
      <c r="M120" s="22"/>
    </row>
    <row r="121">
      <c r="A121" s="22"/>
      <c r="M121" s="22"/>
    </row>
    <row r="122">
      <c r="A122" s="22"/>
      <c r="M122" s="22"/>
    </row>
    <row r="123">
      <c r="A123" s="22"/>
      <c r="M123" s="22"/>
    </row>
    <row r="124">
      <c r="A124" s="22"/>
      <c r="M124" s="22"/>
    </row>
    <row r="125">
      <c r="A125" s="22"/>
      <c r="M125" s="22"/>
    </row>
    <row r="126">
      <c r="A126" s="22"/>
      <c r="M126" s="22"/>
    </row>
    <row r="127">
      <c r="A127" s="22"/>
      <c r="M127" s="22"/>
    </row>
    <row r="128">
      <c r="A128" s="22"/>
      <c r="M128" s="22"/>
    </row>
    <row r="129">
      <c r="A129" s="22"/>
      <c r="M129" s="22"/>
    </row>
    <row r="130">
      <c r="A130" s="22"/>
      <c r="M130" s="22"/>
    </row>
    <row r="131">
      <c r="A131" s="22"/>
      <c r="M131" s="22"/>
    </row>
    <row r="132">
      <c r="A132" s="22"/>
      <c r="M132" s="22"/>
    </row>
    <row r="133">
      <c r="A133" s="22"/>
      <c r="M133" s="22"/>
    </row>
    <row r="134">
      <c r="A134" s="22"/>
      <c r="M134" s="22"/>
    </row>
    <row r="135">
      <c r="A135" s="22"/>
      <c r="M135" s="22"/>
    </row>
    <row r="136">
      <c r="A136" s="22"/>
      <c r="M136" s="22"/>
    </row>
    <row r="137">
      <c r="A137" s="22"/>
      <c r="M137" s="22"/>
    </row>
    <row r="138">
      <c r="A138" s="22"/>
      <c r="M138" s="22"/>
    </row>
    <row r="139">
      <c r="A139" s="22"/>
      <c r="M139" s="22"/>
    </row>
    <row r="140">
      <c r="A140" s="22"/>
      <c r="M140" s="22"/>
    </row>
    <row r="141">
      <c r="A141" s="22"/>
      <c r="M141" s="22"/>
    </row>
    <row r="142">
      <c r="A142" s="22"/>
      <c r="M142" s="22"/>
    </row>
    <row r="143">
      <c r="A143" s="22"/>
      <c r="M143" s="22"/>
    </row>
    <row r="144">
      <c r="A144" s="22"/>
      <c r="M144" s="22"/>
    </row>
    <row r="145">
      <c r="A145" s="22"/>
      <c r="M145" s="22"/>
    </row>
    <row r="146">
      <c r="A146" s="22"/>
      <c r="M146" s="22"/>
    </row>
    <row r="147">
      <c r="A147" s="22"/>
      <c r="M147" s="22"/>
    </row>
    <row r="148">
      <c r="A148" s="22"/>
      <c r="M148" s="22"/>
    </row>
    <row r="149">
      <c r="A149" s="22"/>
      <c r="M149" s="22"/>
    </row>
    <row r="150">
      <c r="A150" s="22"/>
      <c r="M150" s="22"/>
    </row>
    <row r="151">
      <c r="A151" s="22"/>
      <c r="M151" s="22"/>
    </row>
    <row r="152">
      <c r="A152" s="22"/>
      <c r="M152" s="22"/>
    </row>
    <row r="153">
      <c r="A153" s="22"/>
      <c r="M153" s="22"/>
    </row>
    <row r="154">
      <c r="A154" s="22"/>
      <c r="M154" s="22"/>
    </row>
    <row r="155">
      <c r="A155" s="22"/>
      <c r="M155" s="22"/>
    </row>
    <row r="156">
      <c r="A156" s="22"/>
      <c r="M156" s="22"/>
    </row>
    <row r="157">
      <c r="A157" s="22"/>
      <c r="M157" s="22"/>
    </row>
    <row r="158">
      <c r="A158" s="22"/>
      <c r="M158" s="22"/>
    </row>
    <row r="159">
      <c r="A159" s="22"/>
      <c r="M159" s="22"/>
    </row>
    <row r="160">
      <c r="A160" s="22"/>
      <c r="M160" s="22"/>
    </row>
    <row r="161">
      <c r="A161" s="22"/>
      <c r="M161" s="22"/>
    </row>
    <row r="162">
      <c r="A162" s="22"/>
      <c r="M162" s="22"/>
    </row>
    <row r="163">
      <c r="A163" s="22"/>
      <c r="M163" s="22"/>
    </row>
    <row r="164">
      <c r="A164" s="22"/>
      <c r="M164" s="22"/>
    </row>
    <row r="165">
      <c r="A165" s="22"/>
      <c r="M165" s="22"/>
    </row>
    <row r="166">
      <c r="A166" s="22"/>
      <c r="M166" s="22"/>
    </row>
    <row r="167">
      <c r="A167" s="22"/>
      <c r="M167" s="22"/>
    </row>
    <row r="168">
      <c r="A168" s="22"/>
      <c r="M168" s="22"/>
    </row>
    <row r="169">
      <c r="A169" s="22"/>
      <c r="M169" s="22"/>
    </row>
    <row r="170">
      <c r="A170" s="22"/>
      <c r="M170" s="22"/>
    </row>
    <row r="171">
      <c r="A171" s="22"/>
      <c r="M171" s="22"/>
    </row>
    <row r="172">
      <c r="A172" s="22"/>
      <c r="M172" s="22"/>
    </row>
    <row r="173">
      <c r="A173" s="22"/>
      <c r="M173" s="22"/>
    </row>
    <row r="174">
      <c r="A174" s="22"/>
      <c r="M174" s="22"/>
    </row>
    <row r="175">
      <c r="A175" s="22"/>
      <c r="M175" s="22"/>
    </row>
    <row r="176">
      <c r="A176" s="22"/>
      <c r="M176" s="22"/>
    </row>
    <row r="177">
      <c r="A177" s="22"/>
      <c r="M177" s="22"/>
    </row>
    <row r="178">
      <c r="A178" s="22"/>
      <c r="M178" s="22"/>
    </row>
    <row r="179">
      <c r="A179" s="22"/>
      <c r="M179" s="22"/>
    </row>
    <row r="180">
      <c r="A180" s="22"/>
      <c r="M180" s="22"/>
    </row>
    <row r="181">
      <c r="A181" s="22"/>
      <c r="M181" s="22"/>
    </row>
    <row r="182">
      <c r="A182" s="22"/>
      <c r="M182" s="22"/>
    </row>
    <row r="183">
      <c r="A183" s="22"/>
      <c r="M183" s="22"/>
    </row>
    <row r="184">
      <c r="A184" s="22"/>
      <c r="M184" s="22"/>
    </row>
    <row r="185">
      <c r="A185" s="22"/>
      <c r="M185" s="22"/>
    </row>
    <row r="186">
      <c r="A186" s="22"/>
      <c r="M186" s="22"/>
    </row>
    <row r="187">
      <c r="A187" s="22"/>
      <c r="M187" s="22"/>
    </row>
    <row r="188">
      <c r="A188" s="22"/>
      <c r="M188" s="22"/>
    </row>
    <row r="189">
      <c r="A189" s="22"/>
      <c r="M189" s="22"/>
    </row>
    <row r="190">
      <c r="A190" s="22"/>
      <c r="M190" s="22"/>
    </row>
    <row r="191">
      <c r="A191" s="22"/>
      <c r="M191" s="22"/>
    </row>
    <row r="192">
      <c r="A192" s="22"/>
      <c r="M192" s="22"/>
    </row>
    <row r="193">
      <c r="A193" s="22"/>
      <c r="M193" s="22"/>
    </row>
    <row r="194">
      <c r="A194" s="22"/>
      <c r="M194" s="22"/>
    </row>
    <row r="195">
      <c r="A195" s="22"/>
      <c r="M195" s="22"/>
    </row>
    <row r="196">
      <c r="A196" s="22"/>
      <c r="M196" s="22"/>
    </row>
    <row r="197">
      <c r="A197" s="22"/>
      <c r="M197" s="22"/>
    </row>
    <row r="198">
      <c r="A198" s="22"/>
      <c r="M198" s="22"/>
    </row>
    <row r="199">
      <c r="A199" s="22"/>
      <c r="M199" s="22"/>
    </row>
    <row r="200">
      <c r="A200" s="22"/>
      <c r="M200" s="22"/>
    </row>
    <row r="201">
      <c r="A201" s="22"/>
      <c r="M201" s="22"/>
    </row>
    <row r="202">
      <c r="A202" s="22"/>
      <c r="M202" s="22"/>
    </row>
    <row r="203">
      <c r="A203" s="22"/>
      <c r="M203" s="22"/>
    </row>
    <row r="204">
      <c r="A204" s="22"/>
      <c r="M204" s="22"/>
    </row>
    <row r="205">
      <c r="A205" s="22"/>
      <c r="M205" s="22"/>
    </row>
    <row r="206">
      <c r="A206" s="22"/>
      <c r="M206" s="22"/>
    </row>
    <row r="207">
      <c r="A207" s="22"/>
      <c r="M207" s="22"/>
    </row>
    <row r="208">
      <c r="A208" s="22"/>
      <c r="M208" s="22"/>
    </row>
    <row r="209">
      <c r="A209" s="22"/>
      <c r="M209" s="22"/>
    </row>
    <row r="210">
      <c r="A210" s="22"/>
      <c r="M210" s="22"/>
    </row>
    <row r="211">
      <c r="A211" s="22"/>
      <c r="M211" s="22"/>
    </row>
    <row r="212">
      <c r="A212" s="22"/>
      <c r="M212" s="22"/>
    </row>
    <row r="213">
      <c r="A213" s="22"/>
      <c r="M213" s="22"/>
    </row>
    <row r="214">
      <c r="A214" s="22"/>
      <c r="M214" s="22"/>
    </row>
    <row r="215">
      <c r="A215" s="22"/>
      <c r="M215" s="22"/>
    </row>
    <row r="216">
      <c r="A216" s="22"/>
      <c r="M216" s="22"/>
    </row>
    <row r="217">
      <c r="A217" s="22"/>
      <c r="M217" s="22"/>
    </row>
    <row r="218">
      <c r="A218" s="22"/>
      <c r="M218" s="22"/>
    </row>
    <row r="219">
      <c r="A219" s="22"/>
      <c r="M219" s="22"/>
    </row>
    <row r="220">
      <c r="A220" s="22"/>
      <c r="M220" s="22"/>
    </row>
    <row r="221">
      <c r="A221" s="22"/>
      <c r="M221" s="22"/>
    </row>
    <row r="222">
      <c r="A222" s="22"/>
      <c r="M222" s="22"/>
    </row>
    <row r="223">
      <c r="A223" s="22"/>
      <c r="M223" s="22"/>
    </row>
    <row r="224">
      <c r="A224" s="22"/>
      <c r="M224" s="22"/>
    </row>
    <row r="225">
      <c r="A225" s="22"/>
      <c r="M225" s="22"/>
    </row>
    <row r="226">
      <c r="A226" s="22"/>
      <c r="M226" s="22"/>
    </row>
    <row r="227">
      <c r="A227" s="22"/>
      <c r="M227" s="22"/>
    </row>
    <row r="228">
      <c r="A228" s="22"/>
      <c r="M228" s="22"/>
    </row>
    <row r="229">
      <c r="A229" s="22"/>
      <c r="M229" s="22"/>
    </row>
    <row r="230">
      <c r="A230" s="22"/>
      <c r="M230" s="22"/>
    </row>
    <row r="231">
      <c r="A231" s="22"/>
      <c r="M231" s="22"/>
    </row>
    <row r="232">
      <c r="A232" s="22"/>
      <c r="M232" s="22"/>
    </row>
    <row r="233">
      <c r="A233" s="22"/>
      <c r="M233" s="22"/>
    </row>
    <row r="234">
      <c r="A234" s="22"/>
      <c r="M234" s="22"/>
    </row>
    <row r="235">
      <c r="A235" s="22"/>
      <c r="M235" s="22"/>
    </row>
    <row r="236">
      <c r="A236" s="22"/>
      <c r="M236" s="22"/>
    </row>
    <row r="237">
      <c r="A237" s="22"/>
      <c r="M237" s="22"/>
    </row>
    <row r="238">
      <c r="A238" s="22"/>
      <c r="M238" s="22"/>
    </row>
    <row r="239">
      <c r="A239" s="22"/>
      <c r="M239" s="22"/>
    </row>
    <row r="240">
      <c r="A240" s="22"/>
      <c r="M240" s="22"/>
    </row>
    <row r="241">
      <c r="A241" s="22"/>
      <c r="M241" s="22"/>
    </row>
    <row r="242">
      <c r="A242" s="22"/>
      <c r="M242" s="22"/>
    </row>
    <row r="243">
      <c r="A243" s="22"/>
      <c r="M243" s="22"/>
    </row>
    <row r="244">
      <c r="A244" s="22"/>
      <c r="M244" s="22"/>
    </row>
    <row r="245">
      <c r="A245" s="22"/>
      <c r="M245" s="22"/>
    </row>
    <row r="246">
      <c r="A246" s="22"/>
      <c r="M246" s="22"/>
    </row>
    <row r="247">
      <c r="A247" s="22"/>
      <c r="M247" s="22"/>
    </row>
    <row r="248">
      <c r="A248" s="22"/>
      <c r="M248" s="22"/>
    </row>
    <row r="249">
      <c r="A249" s="22"/>
      <c r="M249" s="22"/>
    </row>
    <row r="250">
      <c r="A250" s="22"/>
      <c r="M250" s="22"/>
    </row>
    <row r="251">
      <c r="A251" s="22"/>
      <c r="M251" s="22"/>
    </row>
    <row r="252">
      <c r="A252" s="22"/>
      <c r="M252" s="22"/>
    </row>
    <row r="253">
      <c r="A253" s="22"/>
      <c r="M253" s="22"/>
    </row>
    <row r="254">
      <c r="A254" s="22"/>
      <c r="M254" s="22"/>
    </row>
    <row r="255">
      <c r="A255" s="22"/>
      <c r="M255" s="22"/>
    </row>
    <row r="256">
      <c r="A256" s="22"/>
      <c r="M256" s="22"/>
    </row>
    <row r="257">
      <c r="A257" s="22"/>
      <c r="M257" s="22"/>
    </row>
    <row r="258">
      <c r="A258" s="22"/>
      <c r="M258" s="22"/>
    </row>
    <row r="259">
      <c r="A259" s="22"/>
      <c r="M259" s="22"/>
    </row>
    <row r="260">
      <c r="A260" s="22"/>
      <c r="M260" s="22"/>
    </row>
    <row r="261">
      <c r="A261" s="22"/>
      <c r="M261" s="22"/>
    </row>
    <row r="262">
      <c r="A262" s="22"/>
      <c r="M262" s="22"/>
    </row>
    <row r="263">
      <c r="A263" s="22"/>
      <c r="M263" s="22"/>
    </row>
    <row r="264">
      <c r="A264" s="22"/>
      <c r="M264" s="22"/>
    </row>
    <row r="265">
      <c r="A265" s="22"/>
      <c r="M265" s="22"/>
    </row>
    <row r="266">
      <c r="A266" s="22"/>
      <c r="M266" s="22"/>
    </row>
    <row r="267">
      <c r="A267" s="22"/>
      <c r="M267" s="22"/>
    </row>
    <row r="268">
      <c r="A268" s="22"/>
      <c r="M268" s="22"/>
    </row>
    <row r="269">
      <c r="A269" s="22"/>
      <c r="M269" s="22"/>
    </row>
    <row r="270">
      <c r="A270" s="22"/>
      <c r="M270" s="22"/>
    </row>
    <row r="271">
      <c r="A271" s="22"/>
      <c r="M271" s="22"/>
    </row>
    <row r="272">
      <c r="A272" s="22"/>
      <c r="M272" s="22"/>
    </row>
    <row r="273">
      <c r="A273" s="22"/>
      <c r="M273" s="22"/>
    </row>
    <row r="274">
      <c r="A274" s="22"/>
      <c r="M274" s="22"/>
    </row>
    <row r="275">
      <c r="A275" s="22"/>
      <c r="M275" s="22"/>
    </row>
    <row r="276">
      <c r="A276" s="22"/>
      <c r="M276" s="22"/>
    </row>
    <row r="277">
      <c r="A277" s="22"/>
      <c r="M277" s="22"/>
    </row>
    <row r="278">
      <c r="A278" s="22"/>
      <c r="M278" s="22"/>
    </row>
    <row r="279">
      <c r="A279" s="22"/>
      <c r="M279" s="22"/>
    </row>
    <row r="280">
      <c r="A280" s="22"/>
      <c r="M280" s="22"/>
    </row>
    <row r="281">
      <c r="A281" s="22"/>
      <c r="M281" s="22"/>
    </row>
    <row r="282">
      <c r="A282" s="22"/>
      <c r="M282" s="22"/>
    </row>
    <row r="283">
      <c r="A283" s="22"/>
      <c r="M283" s="22"/>
    </row>
    <row r="284">
      <c r="A284" s="22"/>
      <c r="M284" s="22"/>
    </row>
    <row r="285">
      <c r="A285" s="22"/>
      <c r="M285" s="22"/>
    </row>
    <row r="286">
      <c r="A286" s="22"/>
      <c r="M286" s="22"/>
    </row>
    <row r="287">
      <c r="A287" s="22"/>
      <c r="M287" s="22"/>
    </row>
    <row r="288">
      <c r="A288" s="22"/>
      <c r="M288" s="22"/>
    </row>
    <row r="289">
      <c r="A289" s="22"/>
      <c r="M289" s="22"/>
    </row>
    <row r="290">
      <c r="A290" s="22"/>
      <c r="M290" s="22"/>
    </row>
    <row r="291">
      <c r="A291" s="22"/>
      <c r="M291" s="22"/>
    </row>
    <row r="292">
      <c r="A292" s="22"/>
      <c r="M292" s="22"/>
    </row>
    <row r="293">
      <c r="A293" s="22"/>
      <c r="M293" s="22"/>
    </row>
    <row r="294">
      <c r="A294" s="22"/>
      <c r="M294" s="22"/>
    </row>
    <row r="295">
      <c r="A295" s="22"/>
      <c r="M295" s="22"/>
    </row>
    <row r="296">
      <c r="A296" s="22"/>
      <c r="M296" s="22"/>
    </row>
    <row r="297">
      <c r="A297" s="22"/>
      <c r="M297" s="22"/>
    </row>
    <row r="298">
      <c r="A298" s="22"/>
      <c r="M298" s="22"/>
    </row>
    <row r="299">
      <c r="A299" s="22"/>
      <c r="M299" s="22"/>
    </row>
    <row r="300">
      <c r="A300" s="22"/>
      <c r="M300" s="22"/>
    </row>
    <row r="301">
      <c r="A301" s="22"/>
      <c r="M301" s="22"/>
    </row>
    <row r="302">
      <c r="A302" s="22"/>
      <c r="M302" s="22"/>
    </row>
    <row r="303">
      <c r="A303" s="22"/>
      <c r="M303" s="22"/>
    </row>
    <row r="304">
      <c r="A304" s="22"/>
      <c r="M304" s="22"/>
    </row>
    <row r="305">
      <c r="A305" s="22"/>
      <c r="M305" s="22"/>
    </row>
    <row r="306">
      <c r="A306" s="22"/>
      <c r="M306" s="22"/>
    </row>
    <row r="307">
      <c r="A307" s="22"/>
      <c r="M307" s="22"/>
    </row>
    <row r="308">
      <c r="A308" s="22"/>
      <c r="M308" s="22"/>
    </row>
    <row r="309">
      <c r="A309" s="22"/>
      <c r="M309" s="22"/>
    </row>
    <row r="310">
      <c r="A310" s="22"/>
      <c r="M310" s="22"/>
    </row>
    <row r="311">
      <c r="A311" s="22"/>
      <c r="M311" s="22"/>
    </row>
    <row r="312">
      <c r="A312" s="22"/>
      <c r="M312" s="22"/>
    </row>
    <row r="313">
      <c r="A313" s="22"/>
      <c r="M313" s="22"/>
    </row>
    <row r="314">
      <c r="A314" s="22"/>
      <c r="M314" s="22"/>
    </row>
    <row r="315">
      <c r="A315" s="22"/>
      <c r="M315" s="22"/>
    </row>
    <row r="316">
      <c r="A316" s="22"/>
      <c r="M316" s="22"/>
    </row>
    <row r="317">
      <c r="A317" s="22"/>
      <c r="M317" s="22"/>
    </row>
    <row r="318">
      <c r="A318" s="22"/>
      <c r="M318" s="22"/>
    </row>
    <row r="319">
      <c r="A319" s="22"/>
      <c r="M319" s="22"/>
    </row>
    <row r="320">
      <c r="A320" s="22"/>
      <c r="M320" s="22"/>
    </row>
    <row r="321">
      <c r="A321" s="22"/>
      <c r="M321" s="22"/>
    </row>
    <row r="322">
      <c r="A322" s="22"/>
      <c r="M322" s="22"/>
    </row>
    <row r="323">
      <c r="A323" s="22"/>
      <c r="M323" s="22"/>
    </row>
    <row r="324">
      <c r="A324" s="22"/>
      <c r="M324" s="22"/>
    </row>
    <row r="325">
      <c r="A325" s="22"/>
      <c r="M325" s="22"/>
    </row>
    <row r="326">
      <c r="A326" s="22"/>
      <c r="M326" s="22"/>
    </row>
    <row r="327">
      <c r="A327" s="22"/>
      <c r="M327" s="22"/>
    </row>
    <row r="328">
      <c r="A328" s="22"/>
      <c r="M328" s="22"/>
    </row>
    <row r="329">
      <c r="A329" s="22"/>
      <c r="M329" s="22"/>
    </row>
    <row r="330">
      <c r="A330" s="22"/>
      <c r="M330" s="22"/>
    </row>
    <row r="331">
      <c r="A331" s="22"/>
      <c r="M331" s="22"/>
    </row>
    <row r="332">
      <c r="A332" s="22"/>
      <c r="M332" s="22"/>
    </row>
    <row r="333">
      <c r="A333" s="22"/>
      <c r="M333" s="22"/>
    </row>
    <row r="334">
      <c r="A334" s="22"/>
      <c r="M334" s="22"/>
    </row>
    <row r="335">
      <c r="A335" s="22"/>
      <c r="M335" s="22"/>
    </row>
    <row r="336">
      <c r="A336" s="22"/>
      <c r="M336" s="22"/>
    </row>
    <row r="337">
      <c r="A337" s="22"/>
      <c r="M337" s="22"/>
    </row>
    <row r="338">
      <c r="A338" s="22"/>
      <c r="M338" s="22"/>
    </row>
    <row r="339">
      <c r="A339" s="22"/>
      <c r="M339" s="22"/>
    </row>
    <row r="340">
      <c r="A340" s="22"/>
      <c r="M340" s="22"/>
    </row>
    <row r="341">
      <c r="A341" s="22"/>
      <c r="M341" s="22"/>
    </row>
    <row r="342">
      <c r="A342" s="22"/>
      <c r="M342" s="22"/>
    </row>
    <row r="343">
      <c r="A343" s="22"/>
      <c r="M343" s="22"/>
    </row>
    <row r="344">
      <c r="A344" s="22"/>
      <c r="M344" s="22"/>
    </row>
    <row r="345">
      <c r="A345" s="22"/>
      <c r="M345" s="22"/>
    </row>
    <row r="346">
      <c r="A346" s="22"/>
      <c r="M346" s="22"/>
    </row>
    <row r="347">
      <c r="A347" s="22"/>
      <c r="M347" s="22"/>
    </row>
    <row r="348">
      <c r="A348" s="22"/>
      <c r="M348" s="22"/>
    </row>
    <row r="349">
      <c r="A349" s="22"/>
      <c r="M349" s="22"/>
    </row>
    <row r="350">
      <c r="A350" s="22"/>
      <c r="M350" s="22"/>
    </row>
    <row r="351">
      <c r="A351" s="22"/>
      <c r="M351" s="22"/>
    </row>
    <row r="352">
      <c r="A352" s="22"/>
      <c r="M352" s="22"/>
    </row>
    <row r="353">
      <c r="A353" s="22"/>
      <c r="M353" s="22"/>
    </row>
    <row r="354">
      <c r="A354" s="22"/>
      <c r="M354" s="22"/>
    </row>
    <row r="355">
      <c r="A355" s="22"/>
      <c r="M355" s="22"/>
    </row>
    <row r="356">
      <c r="A356" s="22"/>
      <c r="M356" s="22"/>
    </row>
    <row r="357">
      <c r="A357" s="22"/>
      <c r="M357" s="22"/>
    </row>
    <row r="358">
      <c r="A358" s="22"/>
      <c r="M358" s="22"/>
    </row>
    <row r="359">
      <c r="A359" s="22"/>
      <c r="M359" s="22"/>
    </row>
    <row r="360">
      <c r="A360" s="22"/>
      <c r="M360" s="22"/>
    </row>
    <row r="361">
      <c r="A361" s="22"/>
      <c r="M361" s="22"/>
    </row>
    <row r="362">
      <c r="A362" s="22"/>
      <c r="M362" s="22"/>
    </row>
    <row r="363">
      <c r="A363" s="22"/>
      <c r="M363" s="22"/>
    </row>
    <row r="364">
      <c r="A364" s="22"/>
      <c r="M364" s="22"/>
    </row>
    <row r="365">
      <c r="A365" s="22"/>
      <c r="M365" s="22"/>
    </row>
    <row r="366">
      <c r="A366" s="22"/>
      <c r="M366" s="22"/>
    </row>
    <row r="367">
      <c r="A367" s="22"/>
      <c r="M367" s="22"/>
    </row>
    <row r="368">
      <c r="A368" s="22"/>
      <c r="M368" s="22"/>
    </row>
    <row r="369">
      <c r="A369" s="22"/>
      <c r="M369" s="22"/>
    </row>
    <row r="370">
      <c r="A370" s="22"/>
      <c r="M370" s="22"/>
    </row>
    <row r="371">
      <c r="A371" s="22"/>
      <c r="M371" s="22"/>
    </row>
    <row r="372">
      <c r="A372" s="22"/>
      <c r="M372" s="22"/>
    </row>
    <row r="373">
      <c r="A373" s="22"/>
      <c r="M373" s="22"/>
    </row>
    <row r="374">
      <c r="A374" s="22"/>
      <c r="M374" s="22"/>
    </row>
    <row r="375">
      <c r="A375" s="22"/>
      <c r="M375" s="22"/>
    </row>
    <row r="376">
      <c r="A376" s="22"/>
      <c r="M376" s="22"/>
    </row>
    <row r="377">
      <c r="A377" s="22"/>
      <c r="M377" s="22"/>
    </row>
    <row r="378">
      <c r="A378" s="22"/>
      <c r="M378" s="22"/>
    </row>
    <row r="379">
      <c r="A379" s="22"/>
      <c r="M379" s="22"/>
    </row>
    <row r="380">
      <c r="A380" s="22"/>
      <c r="M380" s="22"/>
    </row>
    <row r="381">
      <c r="A381" s="22"/>
      <c r="M381" s="22"/>
    </row>
    <row r="382">
      <c r="A382" s="22"/>
      <c r="M382" s="22"/>
    </row>
    <row r="383">
      <c r="A383" s="22"/>
      <c r="M383" s="22"/>
    </row>
    <row r="384">
      <c r="A384" s="22"/>
      <c r="M384" s="22"/>
    </row>
    <row r="385">
      <c r="A385" s="22"/>
      <c r="M385" s="22"/>
    </row>
    <row r="386">
      <c r="A386" s="22"/>
      <c r="M386" s="22"/>
    </row>
    <row r="387">
      <c r="A387" s="22"/>
      <c r="M387" s="22"/>
    </row>
    <row r="388">
      <c r="A388" s="22"/>
      <c r="M388" s="22"/>
    </row>
    <row r="389">
      <c r="A389" s="22"/>
      <c r="M389" s="22"/>
    </row>
    <row r="390">
      <c r="A390" s="22"/>
      <c r="M390" s="22"/>
    </row>
    <row r="391">
      <c r="A391" s="22"/>
      <c r="M391" s="22"/>
    </row>
    <row r="392">
      <c r="A392" s="22"/>
      <c r="M392" s="22"/>
    </row>
    <row r="393">
      <c r="A393" s="22"/>
      <c r="M393" s="22"/>
    </row>
    <row r="394">
      <c r="A394" s="22"/>
      <c r="M394" s="22"/>
    </row>
    <row r="395">
      <c r="A395" s="22"/>
      <c r="M395" s="22"/>
    </row>
    <row r="396">
      <c r="A396" s="22"/>
      <c r="M396" s="22"/>
    </row>
    <row r="397">
      <c r="A397" s="22"/>
      <c r="M397" s="22"/>
    </row>
    <row r="398">
      <c r="A398" s="22"/>
      <c r="M398" s="22"/>
    </row>
    <row r="399">
      <c r="A399" s="22"/>
      <c r="M399" s="22"/>
    </row>
    <row r="400">
      <c r="A400" s="22"/>
      <c r="M400" s="22"/>
    </row>
    <row r="401">
      <c r="A401" s="22"/>
      <c r="M401" s="22"/>
    </row>
    <row r="402">
      <c r="A402" s="22"/>
      <c r="M402" s="22"/>
    </row>
    <row r="403">
      <c r="A403" s="22"/>
      <c r="M403" s="22"/>
    </row>
    <row r="404">
      <c r="A404" s="22"/>
      <c r="M404" s="22"/>
    </row>
    <row r="405">
      <c r="A405" s="22"/>
      <c r="M405" s="22"/>
    </row>
    <row r="406">
      <c r="A406" s="22"/>
      <c r="M406" s="22"/>
    </row>
    <row r="407">
      <c r="A407" s="22"/>
      <c r="M407" s="22"/>
    </row>
    <row r="408">
      <c r="A408" s="22"/>
      <c r="M408" s="22"/>
    </row>
    <row r="409">
      <c r="A409" s="22"/>
      <c r="M409" s="22"/>
    </row>
    <row r="410">
      <c r="A410" s="22"/>
      <c r="M410" s="22"/>
    </row>
    <row r="411">
      <c r="A411" s="22"/>
      <c r="M411" s="22"/>
    </row>
    <row r="412">
      <c r="A412" s="22"/>
      <c r="M412" s="22"/>
    </row>
    <row r="413">
      <c r="A413" s="22"/>
      <c r="M413" s="22"/>
    </row>
    <row r="414">
      <c r="A414" s="22"/>
      <c r="M414" s="22"/>
    </row>
    <row r="415">
      <c r="A415" s="22"/>
      <c r="M415" s="22"/>
    </row>
    <row r="416">
      <c r="A416" s="22"/>
      <c r="M416" s="22"/>
    </row>
    <row r="417">
      <c r="A417" s="22"/>
      <c r="M417" s="22"/>
    </row>
    <row r="418">
      <c r="A418" s="22"/>
      <c r="M418" s="22"/>
    </row>
    <row r="419">
      <c r="A419" s="22"/>
      <c r="M419" s="22"/>
    </row>
    <row r="420">
      <c r="A420" s="22"/>
      <c r="M420" s="22"/>
    </row>
    <row r="421">
      <c r="A421" s="22"/>
      <c r="M421" s="22"/>
    </row>
    <row r="422">
      <c r="A422" s="22"/>
      <c r="M422" s="22"/>
    </row>
    <row r="423">
      <c r="A423" s="22"/>
      <c r="M423" s="22"/>
    </row>
    <row r="424">
      <c r="A424" s="22"/>
      <c r="M424" s="22"/>
    </row>
    <row r="425">
      <c r="A425" s="22"/>
      <c r="M425" s="22"/>
    </row>
    <row r="426">
      <c r="A426" s="22"/>
      <c r="M426" s="22"/>
    </row>
    <row r="427">
      <c r="A427" s="22"/>
      <c r="M427" s="22"/>
    </row>
    <row r="428">
      <c r="A428" s="22"/>
      <c r="M428" s="22"/>
    </row>
    <row r="429">
      <c r="A429" s="22"/>
      <c r="M429" s="22"/>
    </row>
    <row r="430">
      <c r="A430" s="22"/>
      <c r="M430" s="22"/>
    </row>
    <row r="431">
      <c r="A431" s="22"/>
      <c r="M431" s="22"/>
    </row>
    <row r="432">
      <c r="A432" s="22"/>
      <c r="M432" s="22"/>
    </row>
    <row r="433">
      <c r="A433" s="22"/>
      <c r="M433" s="22"/>
    </row>
    <row r="434">
      <c r="A434" s="22"/>
      <c r="M434" s="22"/>
    </row>
    <row r="435">
      <c r="A435" s="22"/>
      <c r="M435" s="22"/>
    </row>
    <row r="436">
      <c r="A436" s="22"/>
      <c r="M436" s="22"/>
    </row>
    <row r="437">
      <c r="A437" s="22"/>
      <c r="M437" s="22"/>
    </row>
    <row r="438">
      <c r="A438" s="22"/>
      <c r="M438" s="22"/>
    </row>
    <row r="439">
      <c r="A439" s="22"/>
      <c r="M439" s="22"/>
    </row>
    <row r="440">
      <c r="A440" s="22"/>
      <c r="M440" s="22"/>
    </row>
    <row r="441">
      <c r="A441" s="22"/>
      <c r="M441" s="22"/>
    </row>
    <row r="442">
      <c r="A442" s="22"/>
      <c r="M442" s="22"/>
    </row>
    <row r="443">
      <c r="A443" s="22"/>
      <c r="M443" s="22"/>
    </row>
    <row r="444">
      <c r="A444" s="22"/>
      <c r="M444" s="22"/>
    </row>
    <row r="445">
      <c r="A445" s="22"/>
      <c r="M445" s="22"/>
    </row>
    <row r="446">
      <c r="A446" s="22"/>
      <c r="M446" s="22"/>
    </row>
    <row r="447">
      <c r="A447" s="22"/>
      <c r="M447" s="22"/>
    </row>
    <row r="448">
      <c r="A448" s="22"/>
      <c r="M448" s="22"/>
    </row>
    <row r="449">
      <c r="A449" s="22"/>
      <c r="M449" s="22"/>
    </row>
    <row r="450">
      <c r="A450" s="22"/>
      <c r="M450" s="22"/>
    </row>
    <row r="451">
      <c r="A451" s="22"/>
      <c r="M451" s="22"/>
    </row>
    <row r="452">
      <c r="A452" s="22"/>
      <c r="M452" s="22"/>
    </row>
    <row r="453">
      <c r="A453" s="22"/>
      <c r="M453" s="22"/>
    </row>
    <row r="454">
      <c r="A454" s="22"/>
      <c r="M454" s="22"/>
    </row>
    <row r="455">
      <c r="A455" s="22"/>
      <c r="M455" s="22"/>
    </row>
    <row r="456">
      <c r="A456" s="22"/>
      <c r="M456" s="22"/>
    </row>
    <row r="457">
      <c r="A457" s="22"/>
      <c r="M457" s="22"/>
    </row>
    <row r="458">
      <c r="A458" s="22"/>
      <c r="M458" s="22"/>
    </row>
    <row r="459">
      <c r="A459" s="22"/>
      <c r="M459" s="22"/>
    </row>
    <row r="460">
      <c r="A460" s="22"/>
      <c r="M460" s="22"/>
    </row>
    <row r="461">
      <c r="A461" s="22"/>
      <c r="M461" s="22"/>
    </row>
    <row r="462">
      <c r="A462" s="22"/>
      <c r="M462" s="22"/>
    </row>
    <row r="463">
      <c r="A463" s="22"/>
      <c r="M463" s="22"/>
    </row>
    <row r="464">
      <c r="A464" s="22"/>
      <c r="M464" s="22"/>
    </row>
    <row r="465">
      <c r="A465" s="22"/>
      <c r="M465" s="22"/>
    </row>
    <row r="466">
      <c r="A466" s="22"/>
      <c r="M466" s="22"/>
    </row>
    <row r="467">
      <c r="A467" s="22"/>
      <c r="M467" s="22"/>
    </row>
    <row r="468">
      <c r="A468" s="22"/>
      <c r="M468" s="22"/>
    </row>
    <row r="469">
      <c r="A469" s="22"/>
      <c r="M469" s="22"/>
    </row>
    <row r="470">
      <c r="A470" s="22"/>
      <c r="M470" s="22"/>
    </row>
    <row r="471">
      <c r="A471" s="22"/>
      <c r="M471" s="22"/>
    </row>
    <row r="472">
      <c r="A472" s="22"/>
      <c r="M472" s="22"/>
    </row>
    <row r="473">
      <c r="A473" s="22"/>
      <c r="M473" s="22"/>
    </row>
    <row r="474">
      <c r="A474" s="22"/>
      <c r="M474" s="22"/>
    </row>
    <row r="475">
      <c r="A475" s="22"/>
      <c r="M475" s="22"/>
    </row>
    <row r="476">
      <c r="A476" s="22"/>
      <c r="M476" s="22"/>
    </row>
    <row r="477">
      <c r="A477" s="22"/>
      <c r="M477" s="22"/>
    </row>
    <row r="478">
      <c r="A478" s="22"/>
      <c r="M478" s="22"/>
    </row>
    <row r="479">
      <c r="A479" s="22"/>
      <c r="M479" s="22"/>
    </row>
    <row r="480">
      <c r="A480" s="22"/>
      <c r="M480" s="22"/>
    </row>
    <row r="481">
      <c r="A481" s="22"/>
      <c r="M481" s="22"/>
    </row>
    <row r="482">
      <c r="A482" s="22"/>
      <c r="M482" s="22"/>
    </row>
    <row r="483">
      <c r="A483" s="22"/>
      <c r="M483" s="22"/>
    </row>
    <row r="484">
      <c r="A484" s="22"/>
      <c r="M484" s="22"/>
    </row>
    <row r="485">
      <c r="A485" s="22"/>
      <c r="M485" s="22"/>
    </row>
    <row r="486">
      <c r="A486" s="22"/>
      <c r="M486" s="22"/>
    </row>
    <row r="487">
      <c r="A487" s="22"/>
      <c r="M487" s="22"/>
    </row>
    <row r="488">
      <c r="A488" s="22"/>
      <c r="M488" s="22"/>
    </row>
    <row r="489">
      <c r="A489" s="22"/>
      <c r="M489" s="22"/>
    </row>
    <row r="490">
      <c r="A490" s="22"/>
      <c r="M490" s="22"/>
    </row>
    <row r="491">
      <c r="A491" s="22"/>
      <c r="M491" s="22"/>
    </row>
    <row r="492">
      <c r="A492" s="22"/>
      <c r="M492" s="22"/>
    </row>
    <row r="493">
      <c r="A493" s="22"/>
      <c r="M493" s="22"/>
    </row>
    <row r="494">
      <c r="A494" s="22"/>
      <c r="M494" s="22"/>
    </row>
    <row r="495">
      <c r="A495" s="22"/>
      <c r="M495" s="22"/>
    </row>
    <row r="496">
      <c r="A496" s="22"/>
      <c r="M496" s="22"/>
    </row>
    <row r="497">
      <c r="A497" s="22"/>
      <c r="M497" s="22"/>
    </row>
    <row r="498">
      <c r="A498" s="22"/>
      <c r="M498" s="22"/>
    </row>
    <row r="499">
      <c r="A499" s="22"/>
      <c r="M499" s="22"/>
    </row>
    <row r="500">
      <c r="A500" s="22"/>
      <c r="M500" s="22"/>
    </row>
    <row r="501">
      <c r="A501" s="22"/>
      <c r="M501" s="22"/>
    </row>
    <row r="502">
      <c r="A502" s="22"/>
      <c r="M502" s="22"/>
    </row>
    <row r="503">
      <c r="A503" s="22"/>
      <c r="M503" s="22"/>
    </row>
    <row r="504">
      <c r="A504" s="22"/>
      <c r="M504" s="22"/>
    </row>
    <row r="505">
      <c r="A505" s="22"/>
      <c r="M505" s="22"/>
    </row>
    <row r="506">
      <c r="A506" s="22"/>
      <c r="M506" s="22"/>
    </row>
    <row r="507">
      <c r="A507" s="22"/>
      <c r="M507" s="22"/>
    </row>
    <row r="508">
      <c r="A508" s="22"/>
      <c r="M508" s="22"/>
    </row>
    <row r="509">
      <c r="A509" s="22"/>
      <c r="M509" s="22"/>
    </row>
    <row r="510">
      <c r="A510" s="22"/>
      <c r="M510" s="22"/>
    </row>
    <row r="511">
      <c r="A511" s="22"/>
      <c r="M511" s="22"/>
    </row>
    <row r="512">
      <c r="A512" s="22"/>
      <c r="M512" s="22"/>
    </row>
    <row r="513">
      <c r="A513" s="22"/>
      <c r="M513" s="22"/>
    </row>
    <row r="514">
      <c r="A514" s="22"/>
      <c r="M514" s="22"/>
    </row>
    <row r="515">
      <c r="A515" s="22"/>
      <c r="M515" s="22"/>
    </row>
    <row r="516">
      <c r="A516" s="22"/>
      <c r="M516" s="22"/>
    </row>
    <row r="517">
      <c r="A517" s="22"/>
      <c r="M517" s="22"/>
    </row>
    <row r="518">
      <c r="A518" s="22"/>
      <c r="M518" s="22"/>
    </row>
    <row r="519">
      <c r="A519" s="22"/>
      <c r="M519" s="22"/>
    </row>
    <row r="520">
      <c r="A520" s="22"/>
      <c r="M520" s="22"/>
    </row>
    <row r="521">
      <c r="A521" s="22"/>
      <c r="M521" s="22"/>
    </row>
    <row r="522">
      <c r="A522" s="22"/>
      <c r="M522" s="22"/>
    </row>
    <row r="523">
      <c r="A523" s="22"/>
      <c r="M523" s="22"/>
    </row>
    <row r="524">
      <c r="A524" s="22"/>
      <c r="M524" s="22"/>
    </row>
    <row r="525">
      <c r="A525" s="22"/>
      <c r="M525" s="22"/>
    </row>
    <row r="526">
      <c r="A526" s="22"/>
      <c r="M526" s="22"/>
    </row>
    <row r="527">
      <c r="A527" s="22"/>
      <c r="M527" s="22"/>
    </row>
    <row r="528">
      <c r="A528" s="22"/>
      <c r="M528" s="22"/>
    </row>
    <row r="529">
      <c r="A529" s="22"/>
      <c r="M529" s="22"/>
    </row>
    <row r="530">
      <c r="A530" s="22"/>
      <c r="M530" s="22"/>
    </row>
    <row r="531">
      <c r="A531" s="22"/>
      <c r="M531" s="22"/>
    </row>
    <row r="532">
      <c r="A532" s="22"/>
      <c r="M532" s="22"/>
    </row>
    <row r="533">
      <c r="A533" s="22"/>
      <c r="M533" s="22"/>
    </row>
    <row r="534">
      <c r="A534" s="22"/>
      <c r="M534" s="22"/>
    </row>
    <row r="535">
      <c r="A535" s="22"/>
      <c r="M535" s="22"/>
    </row>
    <row r="536">
      <c r="A536" s="22"/>
      <c r="M536" s="22"/>
    </row>
    <row r="537">
      <c r="A537" s="22"/>
      <c r="M537" s="22"/>
    </row>
    <row r="538">
      <c r="A538" s="22"/>
      <c r="M538" s="22"/>
    </row>
    <row r="539">
      <c r="A539" s="22"/>
      <c r="M539" s="22"/>
    </row>
    <row r="540">
      <c r="A540" s="22"/>
      <c r="M540" s="22"/>
    </row>
    <row r="541">
      <c r="A541" s="22"/>
      <c r="M541" s="22"/>
    </row>
    <row r="542">
      <c r="A542" s="22"/>
      <c r="M542" s="22"/>
    </row>
    <row r="543">
      <c r="A543" s="22"/>
      <c r="M543" s="22"/>
    </row>
    <row r="544">
      <c r="A544" s="22"/>
      <c r="M544" s="22"/>
    </row>
    <row r="545">
      <c r="A545" s="22"/>
      <c r="M545" s="22"/>
    </row>
    <row r="546">
      <c r="A546" s="22"/>
      <c r="M546" s="22"/>
    </row>
    <row r="547">
      <c r="A547" s="22"/>
      <c r="M547" s="22"/>
    </row>
    <row r="548">
      <c r="A548" s="22"/>
      <c r="M548" s="22"/>
    </row>
    <row r="549">
      <c r="A549" s="22"/>
      <c r="M549" s="22"/>
    </row>
    <row r="550">
      <c r="A550" s="22"/>
      <c r="M550" s="22"/>
    </row>
    <row r="551">
      <c r="A551" s="22"/>
      <c r="M551" s="22"/>
    </row>
    <row r="552">
      <c r="A552" s="22"/>
      <c r="M552" s="22"/>
    </row>
    <row r="553">
      <c r="A553" s="22"/>
      <c r="M553" s="22"/>
    </row>
    <row r="554">
      <c r="A554" s="22"/>
      <c r="M554" s="22"/>
    </row>
    <row r="555">
      <c r="A555" s="22"/>
      <c r="M555" s="22"/>
    </row>
    <row r="556">
      <c r="A556" s="22"/>
      <c r="M556" s="22"/>
    </row>
    <row r="557">
      <c r="A557" s="22"/>
      <c r="M557" s="22"/>
    </row>
    <row r="558">
      <c r="A558" s="22"/>
      <c r="M558" s="22"/>
    </row>
    <row r="559">
      <c r="A559" s="22"/>
      <c r="M559" s="22"/>
    </row>
    <row r="560">
      <c r="A560" s="22"/>
      <c r="M560" s="22"/>
    </row>
    <row r="561">
      <c r="A561" s="22"/>
      <c r="M561" s="22"/>
    </row>
    <row r="562">
      <c r="A562" s="22"/>
      <c r="M562" s="22"/>
    </row>
    <row r="563">
      <c r="A563" s="22"/>
      <c r="M563" s="22"/>
    </row>
    <row r="564">
      <c r="A564" s="22"/>
      <c r="M564" s="22"/>
    </row>
    <row r="565">
      <c r="A565" s="22"/>
      <c r="M565" s="22"/>
    </row>
    <row r="566">
      <c r="A566" s="22"/>
      <c r="M566" s="22"/>
    </row>
    <row r="567">
      <c r="A567" s="22"/>
      <c r="M567" s="22"/>
    </row>
    <row r="568">
      <c r="A568" s="22"/>
      <c r="M568" s="22"/>
    </row>
    <row r="569">
      <c r="A569" s="22"/>
      <c r="M569" s="22"/>
    </row>
    <row r="570">
      <c r="A570" s="22"/>
      <c r="M570" s="22"/>
    </row>
    <row r="571">
      <c r="A571" s="22"/>
      <c r="M571" s="22"/>
    </row>
    <row r="572">
      <c r="A572" s="22"/>
      <c r="M572" s="22"/>
    </row>
    <row r="573">
      <c r="A573" s="22"/>
      <c r="M573" s="22"/>
    </row>
    <row r="574">
      <c r="A574" s="22"/>
      <c r="M574" s="22"/>
    </row>
    <row r="575">
      <c r="A575" s="22"/>
      <c r="M575" s="22"/>
    </row>
    <row r="576">
      <c r="A576" s="22"/>
      <c r="M576" s="22"/>
    </row>
    <row r="577">
      <c r="A577" s="22"/>
      <c r="M577" s="22"/>
    </row>
    <row r="578">
      <c r="A578" s="22"/>
      <c r="M578" s="22"/>
    </row>
    <row r="579">
      <c r="A579" s="22"/>
      <c r="M579" s="22"/>
    </row>
    <row r="580">
      <c r="A580" s="22"/>
      <c r="M580" s="22"/>
    </row>
    <row r="581">
      <c r="A581" s="22"/>
      <c r="M581" s="22"/>
    </row>
    <row r="582">
      <c r="A582" s="22"/>
      <c r="M582" s="22"/>
    </row>
    <row r="583">
      <c r="A583" s="22"/>
      <c r="M583" s="22"/>
    </row>
    <row r="584">
      <c r="A584" s="22"/>
      <c r="M584" s="22"/>
    </row>
    <row r="585">
      <c r="A585" s="22"/>
      <c r="M585" s="22"/>
    </row>
    <row r="586">
      <c r="A586" s="22"/>
      <c r="M586" s="22"/>
    </row>
    <row r="587">
      <c r="A587" s="22"/>
      <c r="M587" s="22"/>
    </row>
    <row r="588">
      <c r="A588" s="22"/>
      <c r="M588" s="22"/>
    </row>
    <row r="589">
      <c r="A589" s="22"/>
      <c r="M589" s="22"/>
    </row>
    <row r="590">
      <c r="A590" s="22"/>
      <c r="M590" s="22"/>
    </row>
    <row r="591">
      <c r="A591" s="22"/>
      <c r="M591" s="22"/>
    </row>
    <row r="592">
      <c r="A592" s="22"/>
      <c r="M592" s="22"/>
    </row>
    <row r="593">
      <c r="A593" s="22"/>
      <c r="M593" s="22"/>
    </row>
    <row r="594">
      <c r="A594" s="22"/>
      <c r="M594" s="22"/>
    </row>
    <row r="595">
      <c r="A595" s="22"/>
      <c r="M595" s="22"/>
    </row>
    <row r="596">
      <c r="A596" s="22"/>
      <c r="M596" s="22"/>
    </row>
    <row r="597">
      <c r="A597" s="22"/>
      <c r="M597" s="22"/>
    </row>
    <row r="598">
      <c r="A598" s="22"/>
      <c r="M598" s="22"/>
    </row>
    <row r="599">
      <c r="A599" s="22"/>
      <c r="M599" s="22"/>
    </row>
    <row r="600">
      <c r="A600" s="22"/>
      <c r="M600" s="22"/>
    </row>
    <row r="601">
      <c r="A601" s="22"/>
      <c r="M601" s="22"/>
    </row>
    <row r="602">
      <c r="A602" s="22"/>
      <c r="M602" s="22"/>
    </row>
    <row r="603">
      <c r="A603" s="22"/>
      <c r="M603" s="22"/>
    </row>
    <row r="604">
      <c r="A604" s="22"/>
      <c r="M604" s="22"/>
    </row>
    <row r="605">
      <c r="A605" s="22"/>
      <c r="M605" s="22"/>
    </row>
    <row r="606">
      <c r="A606" s="22"/>
      <c r="M606" s="22"/>
    </row>
    <row r="607">
      <c r="A607" s="22"/>
      <c r="M607" s="22"/>
    </row>
    <row r="608">
      <c r="A608" s="22"/>
      <c r="M608" s="22"/>
    </row>
    <row r="609">
      <c r="A609" s="22"/>
      <c r="M609" s="22"/>
    </row>
    <row r="610">
      <c r="A610" s="22"/>
      <c r="M610" s="22"/>
    </row>
    <row r="611">
      <c r="A611" s="22"/>
      <c r="M611" s="22"/>
    </row>
    <row r="612">
      <c r="A612" s="22"/>
      <c r="M612" s="22"/>
    </row>
    <row r="613">
      <c r="A613" s="22"/>
      <c r="M613" s="22"/>
    </row>
    <row r="614">
      <c r="A614" s="22"/>
      <c r="M614" s="22"/>
    </row>
    <row r="615">
      <c r="A615" s="22"/>
      <c r="M615" s="22"/>
    </row>
    <row r="616">
      <c r="A616" s="22"/>
      <c r="M616" s="22"/>
    </row>
    <row r="617">
      <c r="A617" s="22"/>
      <c r="M617" s="22"/>
    </row>
    <row r="618">
      <c r="A618" s="22"/>
      <c r="M618" s="22"/>
    </row>
    <row r="619">
      <c r="A619" s="22"/>
      <c r="M619" s="22"/>
    </row>
    <row r="620">
      <c r="A620" s="22"/>
      <c r="M620" s="22"/>
    </row>
    <row r="621">
      <c r="A621" s="22"/>
      <c r="M621" s="22"/>
    </row>
    <row r="622">
      <c r="A622" s="22"/>
      <c r="M622" s="22"/>
    </row>
    <row r="623">
      <c r="A623" s="22"/>
      <c r="M623" s="22"/>
    </row>
    <row r="624">
      <c r="A624" s="22"/>
      <c r="M624" s="22"/>
    </row>
    <row r="625">
      <c r="A625" s="22"/>
      <c r="M625" s="22"/>
    </row>
    <row r="626">
      <c r="A626" s="22"/>
      <c r="M626" s="22"/>
    </row>
    <row r="627">
      <c r="A627" s="22"/>
      <c r="M627" s="22"/>
    </row>
    <row r="628">
      <c r="A628" s="22"/>
      <c r="M628" s="22"/>
    </row>
    <row r="629">
      <c r="A629" s="22"/>
      <c r="M629" s="22"/>
    </row>
    <row r="630">
      <c r="A630" s="22"/>
      <c r="M630" s="22"/>
    </row>
    <row r="631">
      <c r="A631" s="22"/>
      <c r="M631" s="22"/>
    </row>
    <row r="632">
      <c r="A632" s="22"/>
      <c r="M632" s="22"/>
    </row>
    <row r="633">
      <c r="A633" s="22"/>
      <c r="M633" s="22"/>
    </row>
    <row r="634">
      <c r="A634" s="22"/>
      <c r="M634" s="22"/>
    </row>
    <row r="635">
      <c r="A635" s="22"/>
      <c r="M635" s="22"/>
    </row>
    <row r="636">
      <c r="A636" s="22"/>
      <c r="M636" s="22"/>
    </row>
    <row r="637">
      <c r="A637" s="22"/>
      <c r="M637" s="22"/>
    </row>
    <row r="638">
      <c r="A638" s="22"/>
      <c r="M638" s="22"/>
    </row>
    <row r="639">
      <c r="A639" s="22"/>
      <c r="M639" s="22"/>
    </row>
    <row r="640">
      <c r="A640" s="22"/>
      <c r="M640" s="22"/>
    </row>
    <row r="641">
      <c r="A641" s="22"/>
      <c r="M641" s="22"/>
    </row>
    <row r="642">
      <c r="A642" s="22"/>
      <c r="M642" s="22"/>
    </row>
    <row r="643">
      <c r="A643" s="22"/>
      <c r="M643" s="22"/>
    </row>
    <row r="644">
      <c r="A644" s="22"/>
      <c r="M644" s="22"/>
    </row>
    <row r="645">
      <c r="A645" s="22"/>
      <c r="M645" s="22"/>
    </row>
    <row r="646">
      <c r="A646" s="22"/>
      <c r="M646" s="22"/>
    </row>
    <row r="647">
      <c r="A647" s="22"/>
      <c r="M647" s="22"/>
    </row>
    <row r="648">
      <c r="A648" s="22"/>
      <c r="M648" s="22"/>
    </row>
    <row r="649">
      <c r="A649" s="22"/>
      <c r="M649" s="22"/>
    </row>
    <row r="650">
      <c r="A650" s="22"/>
      <c r="M650" s="22"/>
    </row>
    <row r="651">
      <c r="A651" s="22"/>
      <c r="M651" s="22"/>
    </row>
    <row r="652">
      <c r="A652" s="22"/>
      <c r="M652" s="22"/>
    </row>
    <row r="653">
      <c r="A653" s="22"/>
      <c r="M653" s="22"/>
    </row>
    <row r="654">
      <c r="A654" s="22"/>
      <c r="M654" s="22"/>
    </row>
    <row r="655">
      <c r="A655" s="22"/>
      <c r="M655" s="22"/>
    </row>
    <row r="656">
      <c r="A656" s="22"/>
      <c r="M656" s="22"/>
    </row>
    <row r="657">
      <c r="A657" s="22"/>
      <c r="M657" s="22"/>
    </row>
    <row r="658">
      <c r="A658" s="22"/>
      <c r="M658" s="22"/>
    </row>
    <row r="659">
      <c r="A659" s="22"/>
      <c r="M659" s="22"/>
    </row>
    <row r="660">
      <c r="A660" s="22"/>
      <c r="M660" s="22"/>
    </row>
    <row r="661">
      <c r="A661" s="22"/>
      <c r="M661" s="22"/>
    </row>
    <row r="662">
      <c r="A662" s="22"/>
      <c r="M662" s="22"/>
    </row>
    <row r="663">
      <c r="A663" s="22"/>
      <c r="M663" s="22"/>
    </row>
    <row r="664">
      <c r="A664" s="22"/>
      <c r="M664" s="22"/>
    </row>
    <row r="665">
      <c r="A665" s="22"/>
      <c r="M665" s="22"/>
    </row>
    <row r="666">
      <c r="A666" s="22"/>
      <c r="M666" s="22"/>
    </row>
    <row r="667">
      <c r="A667" s="22"/>
      <c r="M667" s="22"/>
    </row>
    <row r="668">
      <c r="A668" s="22"/>
      <c r="M668" s="22"/>
    </row>
    <row r="669">
      <c r="A669" s="22"/>
      <c r="M669" s="22"/>
    </row>
    <row r="670">
      <c r="A670" s="22"/>
      <c r="M670" s="22"/>
    </row>
    <row r="671">
      <c r="A671" s="22"/>
      <c r="M671" s="22"/>
    </row>
    <row r="672">
      <c r="A672" s="22"/>
      <c r="M672" s="22"/>
    </row>
    <row r="673">
      <c r="A673" s="22"/>
      <c r="M673" s="22"/>
    </row>
    <row r="674">
      <c r="A674" s="22"/>
      <c r="M674" s="22"/>
    </row>
    <row r="675">
      <c r="A675" s="22"/>
      <c r="M675" s="22"/>
    </row>
    <row r="676">
      <c r="A676" s="22"/>
      <c r="M676" s="22"/>
    </row>
    <row r="677">
      <c r="A677" s="22"/>
      <c r="M677" s="22"/>
    </row>
    <row r="678">
      <c r="A678" s="22"/>
      <c r="M678" s="22"/>
    </row>
    <row r="679">
      <c r="A679" s="22"/>
      <c r="M679" s="22"/>
    </row>
    <row r="680">
      <c r="A680" s="22"/>
      <c r="M680" s="22"/>
    </row>
    <row r="681">
      <c r="A681" s="22"/>
      <c r="M681" s="22"/>
    </row>
    <row r="682">
      <c r="A682" s="22"/>
      <c r="M682" s="22"/>
    </row>
    <row r="683">
      <c r="A683" s="22"/>
      <c r="M683" s="22"/>
    </row>
    <row r="684">
      <c r="A684" s="22"/>
      <c r="M684" s="22"/>
    </row>
    <row r="685">
      <c r="A685" s="22"/>
      <c r="M685" s="22"/>
    </row>
    <row r="686">
      <c r="A686" s="22"/>
      <c r="M686" s="22"/>
    </row>
    <row r="687">
      <c r="A687" s="22"/>
      <c r="M687" s="22"/>
    </row>
    <row r="688">
      <c r="A688" s="22"/>
      <c r="M688" s="22"/>
    </row>
    <row r="689">
      <c r="A689" s="22"/>
      <c r="M689" s="22"/>
    </row>
    <row r="690">
      <c r="A690" s="22"/>
      <c r="M690" s="22"/>
    </row>
    <row r="691">
      <c r="A691" s="22"/>
      <c r="M691" s="22"/>
    </row>
    <row r="692">
      <c r="A692" s="22"/>
      <c r="M692" s="22"/>
    </row>
    <row r="693">
      <c r="A693" s="22"/>
      <c r="M693" s="22"/>
    </row>
    <row r="694">
      <c r="A694" s="22"/>
      <c r="M694" s="22"/>
    </row>
    <row r="695">
      <c r="A695" s="22"/>
      <c r="M695" s="22"/>
    </row>
    <row r="696">
      <c r="A696" s="22"/>
      <c r="M696" s="22"/>
    </row>
    <row r="697">
      <c r="A697" s="22"/>
      <c r="M697" s="22"/>
    </row>
    <row r="698">
      <c r="A698" s="22"/>
      <c r="M698" s="22"/>
    </row>
    <row r="699">
      <c r="A699" s="22"/>
      <c r="M699" s="22"/>
    </row>
    <row r="700">
      <c r="A700" s="22"/>
      <c r="M700" s="22"/>
    </row>
    <row r="701">
      <c r="A701" s="22"/>
      <c r="M701" s="22"/>
    </row>
    <row r="702">
      <c r="A702" s="22"/>
      <c r="M702" s="22"/>
    </row>
    <row r="703">
      <c r="A703" s="22"/>
      <c r="M703" s="22"/>
    </row>
    <row r="704">
      <c r="A704" s="22"/>
      <c r="M704" s="22"/>
    </row>
    <row r="705">
      <c r="A705" s="22"/>
      <c r="M705" s="22"/>
    </row>
    <row r="706">
      <c r="A706" s="22"/>
      <c r="M706" s="22"/>
    </row>
    <row r="707">
      <c r="A707" s="22"/>
      <c r="M707" s="22"/>
    </row>
    <row r="708">
      <c r="A708" s="22"/>
      <c r="M708" s="22"/>
    </row>
    <row r="709">
      <c r="A709" s="22"/>
      <c r="M709" s="22"/>
    </row>
    <row r="710">
      <c r="A710" s="22"/>
      <c r="M710" s="22"/>
    </row>
    <row r="711">
      <c r="A711" s="22"/>
      <c r="M711" s="22"/>
    </row>
    <row r="712">
      <c r="A712" s="22"/>
      <c r="M712" s="22"/>
    </row>
    <row r="713">
      <c r="A713" s="22"/>
      <c r="M713" s="22"/>
    </row>
    <row r="714">
      <c r="A714" s="22"/>
      <c r="M714" s="22"/>
    </row>
    <row r="715">
      <c r="A715" s="22"/>
      <c r="M715" s="22"/>
    </row>
    <row r="716">
      <c r="A716" s="22"/>
      <c r="M716" s="22"/>
    </row>
    <row r="717">
      <c r="A717" s="22"/>
      <c r="M717" s="22"/>
    </row>
    <row r="718">
      <c r="A718" s="22"/>
      <c r="M718" s="22"/>
    </row>
    <row r="719">
      <c r="A719" s="22"/>
      <c r="M719" s="22"/>
    </row>
    <row r="720">
      <c r="A720" s="22"/>
      <c r="M720" s="22"/>
    </row>
    <row r="721">
      <c r="A721" s="22"/>
      <c r="M721" s="22"/>
    </row>
    <row r="722">
      <c r="A722" s="22"/>
      <c r="M722" s="22"/>
    </row>
    <row r="723">
      <c r="A723" s="22"/>
      <c r="M723" s="22"/>
    </row>
    <row r="724">
      <c r="A724" s="22"/>
      <c r="M724" s="22"/>
    </row>
    <row r="725">
      <c r="A725" s="22"/>
      <c r="M725" s="22"/>
    </row>
    <row r="726">
      <c r="A726" s="22"/>
      <c r="M726" s="22"/>
    </row>
    <row r="727">
      <c r="A727" s="22"/>
      <c r="M727" s="22"/>
    </row>
    <row r="728">
      <c r="A728" s="22"/>
      <c r="M728" s="22"/>
    </row>
    <row r="729">
      <c r="A729" s="22"/>
      <c r="M729" s="22"/>
    </row>
    <row r="730">
      <c r="A730" s="22"/>
      <c r="M730" s="22"/>
    </row>
    <row r="731">
      <c r="A731" s="22"/>
      <c r="M731" s="22"/>
    </row>
    <row r="732">
      <c r="A732" s="22"/>
      <c r="M732" s="22"/>
    </row>
    <row r="733">
      <c r="A733" s="22"/>
      <c r="M733" s="22"/>
    </row>
    <row r="734">
      <c r="A734" s="22"/>
      <c r="M734" s="22"/>
    </row>
    <row r="735">
      <c r="A735" s="22"/>
      <c r="M735" s="22"/>
    </row>
    <row r="736">
      <c r="A736" s="22"/>
      <c r="M736" s="22"/>
    </row>
    <row r="737">
      <c r="A737" s="22"/>
      <c r="M737" s="22"/>
    </row>
    <row r="738">
      <c r="A738" s="22"/>
      <c r="M738" s="22"/>
    </row>
    <row r="739">
      <c r="A739" s="22"/>
      <c r="M739" s="22"/>
    </row>
    <row r="740">
      <c r="A740" s="22"/>
      <c r="M740" s="22"/>
    </row>
    <row r="741">
      <c r="A741" s="22"/>
      <c r="M741" s="22"/>
    </row>
    <row r="742">
      <c r="A742" s="22"/>
      <c r="M742" s="22"/>
    </row>
    <row r="743">
      <c r="A743" s="22"/>
      <c r="M743" s="22"/>
    </row>
    <row r="744">
      <c r="A744" s="22"/>
      <c r="M744" s="22"/>
    </row>
    <row r="745">
      <c r="A745" s="22"/>
      <c r="M745" s="22"/>
    </row>
    <row r="746">
      <c r="A746" s="22"/>
      <c r="M746" s="22"/>
    </row>
    <row r="747">
      <c r="A747" s="22"/>
      <c r="M747" s="22"/>
    </row>
    <row r="748">
      <c r="A748" s="22"/>
      <c r="M748" s="22"/>
    </row>
    <row r="749">
      <c r="A749" s="22"/>
      <c r="M749" s="22"/>
    </row>
    <row r="750">
      <c r="A750" s="22"/>
      <c r="M750" s="22"/>
    </row>
    <row r="751">
      <c r="A751" s="22"/>
      <c r="M751" s="22"/>
    </row>
    <row r="752">
      <c r="A752" s="22"/>
      <c r="M752" s="22"/>
    </row>
    <row r="753">
      <c r="A753" s="22"/>
      <c r="M753" s="22"/>
    </row>
    <row r="754">
      <c r="A754" s="22"/>
      <c r="M754" s="22"/>
    </row>
    <row r="755">
      <c r="A755" s="22"/>
      <c r="M755" s="22"/>
    </row>
    <row r="756">
      <c r="A756" s="22"/>
      <c r="M756" s="22"/>
    </row>
    <row r="757">
      <c r="A757" s="22"/>
      <c r="M757" s="22"/>
    </row>
    <row r="758">
      <c r="A758" s="22"/>
      <c r="M758" s="22"/>
    </row>
    <row r="759">
      <c r="A759" s="22"/>
      <c r="M759" s="22"/>
    </row>
    <row r="760">
      <c r="A760" s="22"/>
      <c r="M760" s="22"/>
    </row>
    <row r="761">
      <c r="A761" s="22"/>
      <c r="M761" s="22"/>
    </row>
    <row r="762">
      <c r="A762" s="22"/>
      <c r="M762" s="22"/>
    </row>
    <row r="763">
      <c r="A763" s="22"/>
      <c r="M763" s="22"/>
    </row>
    <row r="764">
      <c r="A764" s="22"/>
      <c r="M764" s="22"/>
    </row>
    <row r="765">
      <c r="A765" s="22"/>
      <c r="M765" s="22"/>
    </row>
    <row r="766">
      <c r="A766" s="22"/>
      <c r="M766" s="22"/>
    </row>
    <row r="767">
      <c r="A767" s="22"/>
      <c r="M767" s="22"/>
    </row>
    <row r="768">
      <c r="A768" s="22"/>
      <c r="M768" s="22"/>
    </row>
    <row r="769">
      <c r="A769" s="22"/>
      <c r="M769" s="22"/>
    </row>
    <row r="770">
      <c r="A770" s="22"/>
      <c r="M770" s="22"/>
    </row>
    <row r="771">
      <c r="A771" s="22"/>
      <c r="M771" s="22"/>
    </row>
    <row r="772">
      <c r="A772" s="22"/>
      <c r="M772" s="22"/>
    </row>
    <row r="773">
      <c r="A773" s="22"/>
      <c r="M773" s="22"/>
    </row>
    <row r="774">
      <c r="A774" s="22"/>
      <c r="M774" s="22"/>
    </row>
    <row r="775">
      <c r="A775" s="22"/>
      <c r="M775" s="22"/>
    </row>
    <row r="776">
      <c r="A776" s="22"/>
      <c r="M776" s="22"/>
    </row>
    <row r="777">
      <c r="A777" s="22"/>
      <c r="M777" s="22"/>
    </row>
    <row r="778">
      <c r="A778" s="22"/>
      <c r="M778" s="22"/>
    </row>
    <row r="779">
      <c r="A779" s="22"/>
      <c r="M779" s="22"/>
    </row>
    <row r="780">
      <c r="A780" s="22"/>
      <c r="M780" s="22"/>
    </row>
    <row r="781">
      <c r="A781" s="22"/>
      <c r="M781" s="22"/>
    </row>
    <row r="782">
      <c r="A782" s="22"/>
      <c r="M782" s="22"/>
    </row>
    <row r="783">
      <c r="A783" s="22"/>
      <c r="M783" s="22"/>
    </row>
    <row r="784">
      <c r="A784" s="22"/>
      <c r="M784" s="22"/>
    </row>
    <row r="785">
      <c r="A785" s="22"/>
      <c r="M785" s="22"/>
    </row>
    <row r="786">
      <c r="A786" s="22"/>
      <c r="M786" s="22"/>
    </row>
    <row r="787">
      <c r="A787" s="22"/>
      <c r="M787" s="22"/>
    </row>
    <row r="788">
      <c r="A788" s="22"/>
      <c r="M788" s="22"/>
    </row>
    <row r="789">
      <c r="A789" s="22"/>
      <c r="M789" s="22"/>
    </row>
    <row r="790">
      <c r="A790" s="22"/>
      <c r="M790" s="22"/>
    </row>
    <row r="791">
      <c r="A791" s="22"/>
      <c r="M791" s="22"/>
    </row>
    <row r="792">
      <c r="A792" s="22"/>
      <c r="M792" s="22"/>
    </row>
    <row r="793">
      <c r="A793" s="22"/>
      <c r="M793" s="22"/>
    </row>
    <row r="794">
      <c r="A794" s="22"/>
      <c r="M794" s="22"/>
    </row>
    <row r="795">
      <c r="A795" s="22"/>
      <c r="M795" s="22"/>
    </row>
    <row r="796">
      <c r="A796" s="22"/>
      <c r="M796" s="22"/>
    </row>
    <row r="797">
      <c r="A797" s="22"/>
      <c r="M797" s="22"/>
    </row>
    <row r="798">
      <c r="A798" s="22"/>
      <c r="M798" s="22"/>
    </row>
    <row r="799">
      <c r="A799" s="22"/>
      <c r="M799" s="22"/>
    </row>
    <row r="800">
      <c r="A800" s="22"/>
      <c r="M800" s="22"/>
    </row>
    <row r="801">
      <c r="A801" s="22"/>
      <c r="M801" s="22"/>
    </row>
    <row r="802">
      <c r="A802" s="22"/>
      <c r="M802" s="22"/>
    </row>
    <row r="803">
      <c r="A803" s="22"/>
      <c r="M803" s="22"/>
    </row>
    <row r="804">
      <c r="A804" s="22"/>
      <c r="M804" s="22"/>
    </row>
    <row r="805">
      <c r="A805" s="22"/>
      <c r="M805" s="22"/>
    </row>
    <row r="806">
      <c r="A806" s="22"/>
      <c r="M806" s="22"/>
    </row>
    <row r="807">
      <c r="A807" s="22"/>
      <c r="M807" s="22"/>
    </row>
    <row r="808">
      <c r="A808" s="22"/>
      <c r="M808" s="22"/>
    </row>
    <row r="809">
      <c r="A809" s="22"/>
      <c r="M809" s="22"/>
    </row>
    <row r="810">
      <c r="A810" s="22"/>
      <c r="M810" s="22"/>
    </row>
    <row r="811">
      <c r="A811" s="22"/>
      <c r="M811" s="22"/>
    </row>
    <row r="812">
      <c r="A812" s="22"/>
      <c r="M812" s="22"/>
    </row>
    <row r="813">
      <c r="A813" s="22"/>
      <c r="M813" s="22"/>
    </row>
    <row r="814">
      <c r="A814" s="22"/>
      <c r="M814" s="22"/>
    </row>
    <row r="815">
      <c r="A815" s="22"/>
      <c r="M815" s="22"/>
    </row>
    <row r="816">
      <c r="A816" s="22"/>
      <c r="M816" s="22"/>
    </row>
    <row r="817">
      <c r="A817" s="22"/>
      <c r="M817" s="22"/>
    </row>
    <row r="818">
      <c r="A818" s="22"/>
      <c r="M818" s="22"/>
    </row>
    <row r="819">
      <c r="A819" s="22"/>
      <c r="M819" s="22"/>
    </row>
    <row r="820">
      <c r="A820" s="22"/>
      <c r="M820" s="22"/>
    </row>
    <row r="821">
      <c r="A821" s="22"/>
      <c r="M821" s="22"/>
    </row>
    <row r="822">
      <c r="A822" s="22"/>
      <c r="M822" s="22"/>
    </row>
    <row r="823">
      <c r="A823" s="22"/>
      <c r="M823" s="22"/>
    </row>
    <row r="824">
      <c r="A824" s="22"/>
      <c r="M824" s="22"/>
    </row>
    <row r="825">
      <c r="A825" s="22"/>
      <c r="M825" s="22"/>
    </row>
    <row r="826">
      <c r="A826" s="22"/>
      <c r="M826" s="22"/>
    </row>
    <row r="827">
      <c r="A827" s="22"/>
      <c r="M827" s="22"/>
    </row>
    <row r="828">
      <c r="A828" s="22"/>
      <c r="M828" s="22"/>
    </row>
    <row r="829">
      <c r="A829" s="22"/>
      <c r="M829" s="22"/>
    </row>
    <row r="830">
      <c r="A830" s="22"/>
      <c r="M830" s="22"/>
    </row>
    <row r="831">
      <c r="A831" s="22"/>
      <c r="M831" s="22"/>
    </row>
    <row r="832">
      <c r="A832" s="22"/>
      <c r="M832" s="22"/>
    </row>
    <row r="833">
      <c r="A833" s="22"/>
      <c r="M833" s="22"/>
    </row>
    <row r="834">
      <c r="A834" s="22"/>
      <c r="M834" s="22"/>
    </row>
    <row r="835">
      <c r="A835" s="22"/>
      <c r="M835" s="22"/>
    </row>
    <row r="836">
      <c r="A836" s="22"/>
      <c r="M836" s="22"/>
    </row>
    <row r="837">
      <c r="A837" s="22"/>
      <c r="M837" s="22"/>
    </row>
    <row r="838">
      <c r="A838" s="22"/>
      <c r="M838" s="22"/>
    </row>
    <row r="839">
      <c r="A839" s="22"/>
      <c r="M839" s="22"/>
    </row>
    <row r="840">
      <c r="A840" s="22"/>
      <c r="M840" s="22"/>
    </row>
    <row r="841">
      <c r="A841" s="22"/>
      <c r="M841" s="22"/>
    </row>
    <row r="842">
      <c r="A842" s="22"/>
      <c r="M842" s="22"/>
    </row>
    <row r="843">
      <c r="A843" s="22"/>
      <c r="M843" s="22"/>
    </row>
    <row r="844">
      <c r="A844" s="22"/>
      <c r="M844" s="22"/>
    </row>
    <row r="845">
      <c r="A845" s="22"/>
      <c r="M845" s="22"/>
    </row>
    <row r="846">
      <c r="A846" s="22"/>
      <c r="M846" s="22"/>
    </row>
    <row r="847">
      <c r="A847" s="22"/>
      <c r="M847" s="22"/>
    </row>
    <row r="848">
      <c r="A848" s="22"/>
      <c r="M848" s="22"/>
    </row>
    <row r="849">
      <c r="A849" s="22"/>
      <c r="M849" s="22"/>
    </row>
    <row r="850">
      <c r="A850" s="22"/>
      <c r="M850" s="22"/>
    </row>
    <row r="851">
      <c r="A851" s="22"/>
      <c r="M851" s="22"/>
    </row>
    <row r="852">
      <c r="A852" s="22"/>
      <c r="M852" s="22"/>
    </row>
    <row r="853">
      <c r="A853" s="22"/>
      <c r="M853" s="22"/>
    </row>
    <row r="854">
      <c r="A854" s="22"/>
      <c r="M854" s="22"/>
    </row>
    <row r="855">
      <c r="A855" s="22"/>
      <c r="M855" s="22"/>
    </row>
    <row r="856">
      <c r="A856" s="22"/>
      <c r="M856" s="22"/>
    </row>
    <row r="857">
      <c r="A857" s="22"/>
      <c r="M857" s="22"/>
    </row>
    <row r="858">
      <c r="A858" s="22"/>
      <c r="M858" s="22"/>
    </row>
    <row r="859">
      <c r="A859" s="22"/>
      <c r="M859" s="22"/>
    </row>
    <row r="860">
      <c r="A860" s="22"/>
      <c r="M860" s="22"/>
    </row>
  </sheetData>
  <mergeCells count="7">
    <mergeCell ref="A2:B2"/>
    <mergeCell ref="A3:B3"/>
    <mergeCell ref="C3:D3"/>
    <mergeCell ref="A4:B4"/>
    <mergeCell ref="C4:D4"/>
    <mergeCell ref="A5:B5"/>
    <mergeCell ref="A6:B6"/>
  </mergeCells>
  <conditionalFormatting sqref="L1:L860">
    <cfRule type="containsText" dxfId="0" priority="1" operator="containsText" text="Vàng">
      <formula>NOT(ISERROR(SEARCH(("Vàng"),(L1))))</formula>
    </cfRule>
  </conditionalFormatting>
  <conditionalFormatting sqref="L1:L860">
    <cfRule type="containsText" dxfId="1" priority="2" operator="containsText" text="Xanh">
      <formula>NOT(ISERROR(SEARCH(("Xanh"),(L1))))</formula>
    </cfRule>
  </conditionalFormatting>
  <conditionalFormatting sqref="L1:L860">
    <cfRule type="containsText" dxfId="2" priority="3" operator="containsText" text="Đỏ">
      <formula>NOT(ISERROR(SEARCH(("Đỏ"),(L1))))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63"/>
    <col customWidth="1" min="2" max="2" width="16.75"/>
    <col customWidth="1" hidden="1" min="3" max="3" width="11.0"/>
    <col customWidth="1" min="4" max="4" width="12.25"/>
    <col customWidth="1" min="5" max="5" width="11.63"/>
    <col customWidth="1" min="6" max="6" width="14.13"/>
    <col customWidth="1" min="7" max="7" width="20.0"/>
    <col customWidth="1" min="8" max="8" width="17.0"/>
    <col customWidth="1" min="9" max="9" width="33.13"/>
    <col customWidth="1" min="10" max="10" width="37.63"/>
    <col customWidth="1" min="11" max="11" width="23.25"/>
    <col customWidth="1" min="12" max="12" width="13.38"/>
    <col customWidth="1" min="13" max="14" width="10.75"/>
    <col customWidth="1" min="15" max="15" width="20.5"/>
    <col customWidth="1" min="16" max="16" width="20.13"/>
  </cols>
  <sheetData>
    <row r="1">
      <c r="A1" s="18" t="s">
        <v>29</v>
      </c>
      <c r="J1" s="53"/>
      <c r="K1" s="27"/>
    </row>
    <row r="2">
      <c r="A2" s="54" t="s">
        <v>30</v>
      </c>
      <c r="C2" s="25">
        <v>2026.0</v>
      </c>
      <c r="D2" s="25"/>
      <c r="E2" s="26"/>
      <c r="F2" s="27"/>
      <c r="G2" s="27"/>
      <c r="H2" s="20"/>
      <c r="I2" s="20"/>
      <c r="J2" s="20"/>
      <c r="K2" s="28"/>
    </row>
    <row r="3">
      <c r="A3" s="54" t="s">
        <v>31</v>
      </c>
      <c r="C3" s="29" t="s">
        <v>32</v>
      </c>
      <c r="E3" s="27"/>
      <c r="F3" s="28"/>
      <c r="G3" s="27"/>
      <c r="H3" s="20"/>
      <c r="I3" s="20"/>
      <c r="J3" s="20"/>
      <c r="K3" s="28"/>
    </row>
    <row r="4">
      <c r="A4" s="54" t="s">
        <v>33</v>
      </c>
      <c r="C4" s="55">
        <f> COUNTIF(M8:M907,"TT")</f>
        <v>33</v>
      </c>
      <c r="E4" s="56" t="s">
        <v>34</v>
      </c>
      <c r="F4" s="54">
        <f>COUNTIF(M8:M907,"A Tiến")</f>
        <v>0</v>
      </c>
      <c r="G4" s="23"/>
      <c r="H4" s="30"/>
      <c r="I4" s="20"/>
      <c r="J4" s="20"/>
      <c r="K4" s="27"/>
    </row>
    <row r="5">
      <c r="A5" s="54" t="s">
        <v>35</v>
      </c>
      <c r="C5" s="29">
        <v>107.0</v>
      </c>
      <c r="D5" s="55">
        <f>SUM(C4:D4)</f>
        <v>33</v>
      </c>
      <c r="E5" s="57"/>
      <c r="F5" s="27"/>
      <c r="G5" s="27"/>
      <c r="H5" s="20"/>
      <c r="I5" s="20"/>
      <c r="J5" s="20"/>
      <c r="K5" s="27"/>
    </row>
    <row r="6">
      <c r="A6" s="27"/>
      <c r="B6" s="27"/>
      <c r="C6" s="27"/>
      <c r="D6" s="27"/>
      <c r="E6" s="27"/>
      <c r="F6" s="27"/>
      <c r="G6" s="27"/>
      <c r="H6" s="20"/>
      <c r="I6" s="20"/>
      <c r="J6" s="20"/>
      <c r="K6" s="27"/>
    </row>
    <row r="7" ht="22.5" customHeight="1">
      <c r="A7" s="58" t="s">
        <v>14</v>
      </c>
      <c r="B7" s="58" t="s">
        <v>15</v>
      </c>
      <c r="C7" s="58" t="s">
        <v>16</v>
      </c>
      <c r="D7" s="58" t="s">
        <v>17</v>
      </c>
      <c r="E7" s="58" t="s">
        <v>18</v>
      </c>
      <c r="F7" s="58" t="s">
        <v>19</v>
      </c>
      <c r="G7" s="58" t="s">
        <v>20</v>
      </c>
      <c r="H7" s="58" t="s">
        <v>21</v>
      </c>
      <c r="I7" s="58" t="s">
        <v>23</v>
      </c>
      <c r="J7" s="58" t="s">
        <v>22</v>
      </c>
      <c r="K7" s="58" t="s">
        <v>36</v>
      </c>
      <c r="L7" s="58" t="s">
        <v>25</v>
      </c>
      <c r="M7" s="58" t="s">
        <v>26</v>
      </c>
      <c r="N7" s="59"/>
      <c r="O7" s="59" t="s">
        <v>28</v>
      </c>
    </row>
    <row r="8" ht="22.5" customHeight="1">
      <c r="A8" s="60">
        <f t="array" ref="A8">COUNTIFS(
  DATEVALUE(TEXT($E$8:E8,"yyyy-mm-dd")),
  "&gt;=" &amp; EOMONTH(DATEVALUE(TEXT(E8,"yyyy-mm-dd")),-1)+1,
  DATEVALUE(TEXT($E$8:E8,"yyyy-mm-dd")),
  "&lt;=" &amp; EOMONTH(DATEVALUE(TEXT(E8,"yyyy-mm-dd")),0)
)
</f>
        <v>1</v>
      </c>
      <c r="B8" s="61">
        <v>3.0801959922E11</v>
      </c>
      <c r="C8" s="62"/>
      <c r="D8" s="63" t="s">
        <v>194</v>
      </c>
      <c r="E8" s="64">
        <v>45993.0</v>
      </c>
      <c r="F8" s="63" t="s">
        <v>138</v>
      </c>
      <c r="G8" s="61">
        <v>1.32500040805664E14</v>
      </c>
      <c r="H8" s="65" t="s">
        <v>195</v>
      </c>
      <c r="I8" s="66" t="s">
        <v>196</v>
      </c>
      <c r="J8" s="66" t="s">
        <v>197</v>
      </c>
      <c r="K8" s="67" t="s">
        <v>61</v>
      </c>
      <c r="L8" s="68" t="s">
        <v>57</v>
      </c>
      <c r="M8" s="69" t="s">
        <v>33</v>
      </c>
      <c r="N8" s="40"/>
      <c r="O8" s="70" t="s">
        <v>198</v>
      </c>
      <c r="DF8" s="71"/>
    </row>
    <row r="9" ht="22.5" customHeight="1">
      <c r="A9" s="60">
        <f t="array" ref="A9">COUNTIFS(
  DATEVALUE(TEXT($E$8:E9,"yyyy-mm-dd")),
  "&gt;=" &amp; EOMONTH(DATEVALUE(TEXT(E9,"yyyy-mm-dd")),-1)+1,
  DATEVALUE(TEXT($E$8:E9,"yyyy-mm-dd")),
  "&lt;=" &amp; EOMONTH(DATEVALUE(TEXT(E9,"yyyy-mm-dd")),0)
)
</f>
        <v>2</v>
      </c>
      <c r="B9" s="61">
        <v>3.0802320315E11</v>
      </c>
      <c r="C9" s="62"/>
      <c r="D9" s="63" t="s">
        <v>194</v>
      </c>
      <c r="E9" s="64">
        <v>45994.0</v>
      </c>
      <c r="F9" s="63" t="s">
        <v>138</v>
      </c>
      <c r="G9" s="61">
        <v>1.32500040855281E14</v>
      </c>
      <c r="H9" s="65" t="s">
        <v>199</v>
      </c>
      <c r="I9" s="66" t="s">
        <v>196</v>
      </c>
      <c r="J9" s="66" t="s">
        <v>197</v>
      </c>
      <c r="K9" s="67" t="s">
        <v>61</v>
      </c>
      <c r="L9" s="68" t="s">
        <v>57</v>
      </c>
      <c r="M9" s="69" t="s">
        <v>33</v>
      </c>
      <c r="N9" s="40"/>
      <c r="O9" s="70" t="s">
        <v>198</v>
      </c>
      <c r="DF9" s="71"/>
    </row>
    <row r="10" ht="22.5" customHeight="1">
      <c r="A10" s="60">
        <f t="array" ref="A10">COUNTIFS(
  DATEVALUE(TEXT($E$8:E10,"yyyy-mm-dd")),
  "&gt;=" &amp; EOMONTH(DATEVALUE(TEXT(E10,"yyyy-mm-dd")),-1)+1,
  DATEVALUE(TEXT($E$8:E10,"yyyy-mm-dd")),
  "&lt;=" &amp; EOMONTH(DATEVALUE(TEXT(E10,"yyyy-mm-dd")),0)
)
</f>
        <v>3</v>
      </c>
      <c r="B10" s="61">
        <v>3.080333715E11</v>
      </c>
      <c r="C10" s="62"/>
      <c r="D10" s="63" t="s">
        <v>194</v>
      </c>
      <c r="E10" s="64">
        <v>45997.0</v>
      </c>
      <c r="F10" s="63" t="s">
        <v>138</v>
      </c>
      <c r="G10" s="61">
        <v>1.32500040987778E14</v>
      </c>
      <c r="H10" s="65" t="s">
        <v>200</v>
      </c>
      <c r="I10" s="66" t="s">
        <v>196</v>
      </c>
      <c r="J10" s="66" t="s">
        <v>197</v>
      </c>
      <c r="K10" s="67" t="s">
        <v>61</v>
      </c>
      <c r="L10" s="68" t="s">
        <v>57</v>
      </c>
      <c r="M10" s="69" t="s">
        <v>33</v>
      </c>
      <c r="N10" s="40"/>
      <c r="O10" s="70" t="s">
        <v>198</v>
      </c>
      <c r="DF10" s="71"/>
    </row>
    <row r="11" ht="22.5" customHeight="1">
      <c r="A11" s="60">
        <f t="array" ref="A11">COUNTIFS(
  DATEVALUE(TEXT($E$8:E11,"yyyy-mm-dd")),
  "&gt;=" &amp; EOMONTH(DATEVALUE(TEXT(E11,"yyyy-mm-dd")),-1)+1,
  DATEVALUE(TEXT($E$8:E11,"yyyy-mm-dd")),
  "&lt;=" &amp; EOMONTH(DATEVALUE(TEXT(E11,"yyyy-mm-dd")),0)
)
</f>
        <v>4</v>
      </c>
      <c r="B11" s="61">
        <v>3.0803718285E11</v>
      </c>
      <c r="C11" s="62"/>
      <c r="D11" s="63" t="s">
        <v>194</v>
      </c>
      <c r="E11" s="64">
        <v>45999.0</v>
      </c>
      <c r="F11" s="63" t="s">
        <v>138</v>
      </c>
      <c r="G11" s="61">
        <v>1.32500041040607E14</v>
      </c>
      <c r="H11" s="65" t="s">
        <v>201</v>
      </c>
      <c r="I11" s="66" t="s">
        <v>196</v>
      </c>
      <c r="J11" s="66" t="s">
        <v>197</v>
      </c>
      <c r="K11" s="67" t="s">
        <v>61</v>
      </c>
      <c r="L11" s="68" t="s">
        <v>57</v>
      </c>
      <c r="M11" s="69" t="s">
        <v>33</v>
      </c>
      <c r="N11" s="40"/>
      <c r="O11" s="70" t="s">
        <v>198</v>
      </c>
      <c r="DF11" s="71"/>
    </row>
    <row r="12" ht="22.5" customHeight="1">
      <c r="A12" s="60">
        <f t="array" ref="A12">COUNTIFS(
  DATEVALUE(TEXT($E$8:E12,"yyyy-mm-dd")),
  "&gt;=" &amp; EOMONTH(DATEVALUE(TEXT(E12,"yyyy-mm-dd")),-1)+1,
  DATEVALUE(TEXT($E$8:E12,"yyyy-mm-dd")),
  "&lt;=" &amp; EOMONTH(DATEVALUE(TEXT(E12,"yyyy-mm-dd")),0)
)
</f>
        <v>5</v>
      </c>
      <c r="B12" s="61">
        <v>3.0803760053E11</v>
      </c>
      <c r="C12" s="62"/>
      <c r="D12" s="63" t="s">
        <v>202</v>
      </c>
      <c r="E12" s="64">
        <v>46000.0</v>
      </c>
      <c r="F12" s="63" t="s">
        <v>45</v>
      </c>
      <c r="G12" s="61">
        <v>1.22500041048055E14</v>
      </c>
      <c r="H12" s="66" t="s">
        <v>203</v>
      </c>
      <c r="I12" s="66" t="s">
        <v>2</v>
      </c>
      <c r="J12" s="66" t="s">
        <v>204</v>
      </c>
      <c r="K12" s="67" t="s">
        <v>101</v>
      </c>
      <c r="L12" s="68" t="s">
        <v>57</v>
      </c>
      <c r="M12" s="69" t="s">
        <v>33</v>
      </c>
      <c r="N12" s="40"/>
      <c r="O12" s="40" t="s">
        <v>205</v>
      </c>
      <c r="DF12" s="71"/>
    </row>
    <row r="13" ht="22.5" customHeight="1">
      <c r="A13" s="60">
        <f t="array" ref="A13">COUNTIFS(
  DATEVALUE(TEXT($E$8:E13,"yyyy-mm-dd")),
  "&gt;=" &amp; EOMONTH(DATEVALUE(TEXT(E13,"yyyy-mm-dd")),-1)+1,
  DATEVALUE(TEXT($E$8:E13,"yyyy-mm-dd")),
  "&lt;=" &amp; EOMONTH(DATEVALUE(TEXT(E13,"yyyy-mm-dd")),0)
)
</f>
        <v>6</v>
      </c>
      <c r="B13" s="61">
        <v>3.0804621171E11</v>
      </c>
      <c r="C13" s="62"/>
      <c r="D13" s="63" t="s">
        <v>202</v>
      </c>
      <c r="E13" s="64">
        <v>46003.0</v>
      </c>
      <c r="F13" s="63" t="s">
        <v>45</v>
      </c>
      <c r="G13" s="61">
        <v>1.22500041166831E14</v>
      </c>
      <c r="H13" s="66" t="s">
        <v>206</v>
      </c>
      <c r="I13" s="66" t="s">
        <v>2</v>
      </c>
      <c r="J13" s="66" t="s">
        <v>207</v>
      </c>
      <c r="K13" s="67" t="s">
        <v>101</v>
      </c>
      <c r="L13" s="68" t="s">
        <v>57</v>
      </c>
      <c r="M13" s="69" t="s">
        <v>33</v>
      </c>
      <c r="N13" s="40"/>
      <c r="O13" s="40" t="s">
        <v>208</v>
      </c>
      <c r="DF13" s="71"/>
    </row>
    <row r="14" ht="22.5" customHeight="1">
      <c r="A14" s="60">
        <f t="array" ref="A14">COUNTIFS(
  DATEVALUE(TEXT($E$8:E14,"yyyy-mm-dd")),
  "&gt;=" &amp; EOMONTH(DATEVALUE(TEXT(E14,"yyyy-mm-dd")),-1)+1,
  DATEVALUE(TEXT($E$8:E14,"yyyy-mm-dd")),
  "&lt;=" &amp; EOMONTH(DATEVALUE(TEXT(E14,"yyyy-mm-dd")),0)
)
</f>
        <v>7</v>
      </c>
      <c r="B14" s="61">
        <v>3.0805218982E11</v>
      </c>
      <c r="C14" s="62"/>
      <c r="D14" s="63" t="s">
        <v>194</v>
      </c>
      <c r="E14" s="64">
        <v>46003.0</v>
      </c>
      <c r="F14" s="63" t="s">
        <v>138</v>
      </c>
      <c r="G14" s="61">
        <v>1.32500041242355E14</v>
      </c>
      <c r="H14" s="65" t="s">
        <v>209</v>
      </c>
      <c r="I14" s="66" t="s">
        <v>196</v>
      </c>
      <c r="J14" s="66" t="s">
        <v>197</v>
      </c>
      <c r="K14" s="67" t="s">
        <v>61</v>
      </c>
      <c r="L14" s="68" t="s">
        <v>57</v>
      </c>
      <c r="M14" s="69" t="s">
        <v>33</v>
      </c>
      <c r="N14" s="40"/>
      <c r="O14" s="40" t="s">
        <v>198</v>
      </c>
      <c r="DF14" s="71"/>
    </row>
    <row r="15" ht="22.5" customHeight="1">
      <c r="A15" s="60">
        <f t="array" ref="A15">COUNTIFS(
  DATEVALUE(TEXT($E$8:E15,"yyyy-mm-dd")),
  "&gt;=" &amp; EOMONTH(DATEVALUE(TEXT(E15,"yyyy-mm-dd")),-1)+1,
  DATEVALUE(TEXT($E$8:E15,"yyyy-mm-dd")),
  "&lt;=" &amp; EOMONTH(DATEVALUE(TEXT(E15,"yyyy-mm-dd")),0)
)
</f>
        <v>8</v>
      </c>
      <c r="B15" s="61">
        <v>3.0805248625E11</v>
      </c>
      <c r="C15" s="62"/>
      <c r="D15" s="63" t="s">
        <v>202</v>
      </c>
      <c r="E15" s="64">
        <v>46003.0</v>
      </c>
      <c r="F15" s="63" t="s">
        <v>45</v>
      </c>
      <c r="G15" s="61">
        <v>1.22500041244694E14</v>
      </c>
      <c r="H15" s="66" t="s">
        <v>210</v>
      </c>
      <c r="I15" s="66" t="s">
        <v>2</v>
      </c>
      <c r="J15" s="66" t="s">
        <v>204</v>
      </c>
      <c r="K15" s="67" t="s">
        <v>101</v>
      </c>
      <c r="L15" s="68" t="s">
        <v>57</v>
      </c>
      <c r="M15" s="69" t="s">
        <v>33</v>
      </c>
      <c r="N15" s="40"/>
      <c r="O15" s="40" t="s">
        <v>211</v>
      </c>
      <c r="DF15" s="71"/>
    </row>
    <row r="16" ht="22.5" customHeight="1">
      <c r="A16" s="60">
        <f t="array" ref="A16">COUNTIFS(
  DATEVALUE(TEXT($E$8:E16,"yyyy-mm-dd")),
  "&gt;=" &amp; EOMONTH(DATEVALUE(TEXT(E16,"yyyy-mm-dd")),-1)+1,
  DATEVALUE(TEXT($E$8:E16,"yyyy-mm-dd")),
  "&lt;=" &amp; EOMONTH(DATEVALUE(TEXT(E16,"yyyy-mm-dd")),0)
)
</f>
        <v>9</v>
      </c>
      <c r="B16" s="61">
        <v>3.0805827315E11</v>
      </c>
      <c r="C16" s="62"/>
      <c r="D16" s="63" t="s">
        <v>202</v>
      </c>
      <c r="E16" s="64">
        <v>46006.0</v>
      </c>
      <c r="F16" s="63" t="s">
        <v>45</v>
      </c>
      <c r="G16" s="61">
        <v>1.22500041313945E14</v>
      </c>
      <c r="H16" s="66" t="s">
        <v>210</v>
      </c>
      <c r="I16" s="66" t="s">
        <v>2</v>
      </c>
      <c r="J16" s="66" t="s">
        <v>212</v>
      </c>
      <c r="K16" s="67" t="s">
        <v>101</v>
      </c>
      <c r="L16" s="68" t="s">
        <v>57</v>
      </c>
      <c r="M16" s="69" t="s">
        <v>33</v>
      </c>
      <c r="N16" s="40"/>
      <c r="O16" s="40" t="s">
        <v>211</v>
      </c>
      <c r="DF16" s="71"/>
    </row>
    <row r="17" ht="22.5" customHeight="1">
      <c r="A17" s="60">
        <f t="array" ref="A17">COUNTIFS(
  DATEVALUE(TEXT($E$8:E17,"yyyy-mm-dd")),
  "&gt;=" &amp; EOMONTH(DATEVALUE(TEXT(E17,"yyyy-mm-dd")),-1)+1,
  DATEVALUE(TEXT($E$8:E17,"yyyy-mm-dd")),
  "&lt;=" &amp; EOMONTH(DATEVALUE(TEXT(E17,"yyyy-mm-dd")),0)
)
</f>
        <v>10</v>
      </c>
      <c r="B17" s="61">
        <v>3.0806355233E11</v>
      </c>
      <c r="C17" s="62"/>
      <c r="D17" s="63" t="s">
        <v>194</v>
      </c>
      <c r="E17" s="64">
        <v>46007.0</v>
      </c>
      <c r="F17" s="63" t="s">
        <v>138</v>
      </c>
      <c r="G17" s="61">
        <v>1.32500041383338E14</v>
      </c>
      <c r="H17" s="65" t="s">
        <v>213</v>
      </c>
      <c r="I17" s="66" t="s">
        <v>196</v>
      </c>
      <c r="J17" s="66" t="s">
        <v>197</v>
      </c>
      <c r="K17" s="67" t="s">
        <v>61</v>
      </c>
      <c r="L17" s="68" t="s">
        <v>57</v>
      </c>
      <c r="M17" s="69" t="s">
        <v>33</v>
      </c>
      <c r="N17" s="40"/>
      <c r="O17" s="40" t="s">
        <v>198</v>
      </c>
      <c r="DF17" s="71"/>
    </row>
    <row r="18" ht="22.5" customHeight="1">
      <c r="A18" s="60">
        <f t="array" ref="A18">COUNTIFS(
  DATEVALUE(TEXT($E$8:E18,"yyyy-mm-dd")),
  "&gt;=" &amp; EOMONTH(DATEVALUE(TEXT(E18,"yyyy-mm-dd")),-1)+1,
  DATEVALUE(TEXT($E$8:E18,"yyyy-mm-dd")),
  "&lt;=" &amp; EOMONTH(DATEVALUE(TEXT(E18,"yyyy-mm-dd")),0)
)
</f>
        <v>11</v>
      </c>
      <c r="B18" s="61">
        <v>3.0806422912E11</v>
      </c>
      <c r="C18" s="62"/>
      <c r="D18" s="63" t="s">
        <v>194</v>
      </c>
      <c r="E18" s="64">
        <v>46007.0</v>
      </c>
      <c r="F18" s="63" t="s">
        <v>138</v>
      </c>
      <c r="G18" s="61">
        <v>1.32500041392055E14</v>
      </c>
      <c r="H18" s="65" t="s">
        <v>214</v>
      </c>
      <c r="I18" s="66" t="s">
        <v>196</v>
      </c>
      <c r="J18" s="66" t="s">
        <v>197</v>
      </c>
      <c r="K18" s="67" t="s">
        <v>61</v>
      </c>
      <c r="L18" s="68" t="s">
        <v>57</v>
      </c>
      <c r="M18" s="69" t="s">
        <v>33</v>
      </c>
      <c r="N18" s="40"/>
      <c r="O18" s="40" t="s">
        <v>198</v>
      </c>
      <c r="DF18" s="71"/>
    </row>
    <row r="19" ht="22.5" customHeight="1">
      <c r="A19" s="60">
        <f t="array" ref="A19">COUNTIFS(
  DATEVALUE(TEXT($E$8:E19,"yyyy-mm-dd")),
  "&gt;=" &amp; EOMONTH(DATEVALUE(TEXT(E19,"yyyy-mm-dd")),-1)+1,
  DATEVALUE(TEXT($E$8:E19,"yyyy-mm-dd")),
  "&lt;=" &amp; EOMONTH(DATEVALUE(TEXT(E19,"yyyy-mm-dd")),0)
)
</f>
        <v>12</v>
      </c>
      <c r="B19" s="61">
        <v>3.0806580596E11</v>
      </c>
      <c r="C19" s="62"/>
      <c r="D19" s="63" t="s">
        <v>194</v>
      </c>
      <c r="E19" s="64">
        <v>46008.0</v>
      </c>
      <c r="F19" s="63" t="s">
        <v>138</v>
      </c>
      <c r="G19" s="61">
        <v>1.32500041413736E14</v>
      </c>
      <c r="H19" s="65" t="s">
        <v>215</v>
      </c>
      <c r="I19" s="66" t="s">
        <v>3</v>
      </c>
      <c r="J19" s="66" t="s">
        <v>216</v>
      </c>
      <c r="K19" s="67" t="s">
        <v>61</v>
      </c>
      <c r="L19" s="68" t="s">
        <v>57</v>
      </c>
      <c r="M19" s="69" t="s">
        <v>33</v>
      </c>
      <c r="N19" s="40"/>
      <c r="O19" s="40"/>
      <c r="DF19" s="71"/>
    </row>
    <row r="20" ht="22.5" customHeight="1">
      <c r="A20" s="60">
        <f t="array" ref="A20">COUNTIFS(
  DATEVALUE(TEXT($E$8:E20,"yyyy-mm-dd")),
  "&gt;=" &amp; EOMONTH(DATEVALUE(TEXT(E20,"yyyy-mm-dd")),-1)+1,
  DATEVALUE(TEXT($E$8:E20,"yyyy-mm-dd")),
  "&lt;=" &amp; EOMONTH(DATEVALUE(TEXT(E20,"yyyy-mm-dd")),0)
)
</f>
        <v>13</v>
      </c>
      <c r="B20" s="61">
        <v>3.0807589451E11</v>
      </c>
      <c r="C20" s="62"/>
      <c r="D20" s="63" t="s">
        <v>194</v>
      </c>
      <c r="E20" s="64">
        <v>46010.0</v>
      </c>
      <c r="F20" s="63" t="s">
        <v>138</v>
      </c>
      <c r="G20" s="61">
        <v>1.32500041546867E14</v>
      </c>
      <c r="H20" s="65" t="s">
        <v>217</v>
      </c>
      <c r="I20" s="66" t="s">
        <v>196</v>
      </c>
      <c r="J20" s="66" t="s">
        <v>197</v>
      </c>
      <c r="K20" s="67" t="s">
        <v>61</v>
      </c>
      <c r="L20" s="68" t="s">
        <v>57</v>
      </c>
      <c r="M20" s="69" t="s">
        <v>33</v>
      </c>
      <c r="N20" s="40"/>
      <c r="O20" s="40" t="s">
        <v>198</v>
      </c>
      <c r="DF20" s="71"/>
    </row>
    <row r="21" ht="22.5" customHeight="1">
      <c r="A21" s="60">
        <f t="array" ref="A21">COUNTIFS(
  DATEVALUE(TEXT($E$8:E21,"yyyy-mm-dd")),
  "&gt;=" &amp; EOMONTH(DATEVALUE(TEXT(E21,"yyyy-mm-dd")),-1)+1,
  DATEVALUE(TEXT($E$8:E21,"yyyy-mm-dd")),
  "&lt;=" &amp; EOMONTH(DATEVALUE(TEXT(E21,"yyyy-mm-dd")),0)
)
</f>
        <v>14</v>
      </c>
      <c r="B21" s="61">
        <v>3.080803058E11</v>
      </c>
      <c r="C21" s="62"/>
      <c r="D21" s="63" t="s">
        <v>194</v>
      </c>
      <c r="E21" s="64">
        <v>46013.0</v>
      </c>
      <c r="F21" s="63" t="s">
        <v>138</v>
      </c>
      <c r="G21" s="61">
        <v>1.32500041604999E14</v>
      </c>
      <c r="H21" s="65" t="s">
        <v>218</v>
      </c>
      <c r="I21" s="66" t="s">
        <v>3</v>
      </c>
      <c r="J21" s="66" t="s">
        <v>219</v>
      </c>
      <c r="K21" s="67" t="s">
        <v>61</v>
      </c>
      <c r="L21" s="68" t="s">
        <v>57</v>
      </c>
      <c r="M21" s="69" t="s">
        <v>33</v>
      </c>
      <c r="N21" s="40"/>
      <c r="O21" s="40"/>
      <c r="DF21" s="71"/>
    </row>
    <row r="22" ht="22.5" customHeight="1">
      <c r="A22" s="60">
        <f t="array" ref="A22">COUNTIFS(
  DATEVALUE(TEXT($E$8:E22,"yyyy-mm-dd")),
  "&gt;=" &amp; EOMONTH(DATEVALUE(TEXT(E22,"yyyy-mm-dd")),-1)+1,
  DATEVALUE(TEXT($E$8:E22,"yyyy-mm-dd")),
  "&lt;=" &amp; EOMONTH(DATEVALUE(TEXT(E22,"yyyy-mm-dd")),0)
)
</f>
        <v>15</v>
      </c>
      <c r="B22" s="61">
        <v>3.0808065823E11</v>
      </c>
      <c r="C22" s="62"/>
      <c r="D22" s="63" t="s">
        <v>194</v>
      </c>
      <c r="E22" s="64">
        <v>46013.0</v>
      </c>
      <c r="F22" s="63" t="s">
        <v>138</v>
      </c>
      <c r="G22" s="61">
        <v>1.32500041609937E14</v>
      </c>
      <c r="H22" s="65" t="s">
        <v>220</v>
      </c>
      <c r="I22" s="66" t="s">
        <v>5</v>
      </c>
      <c r="J22" s="66" t="s">
        <v>221</v>
      </c>
      <c r="K22" s="67" t="s">
        <v>61</v>
      </c>
      <c r="L22" s="68" t="s">
        <v>57</v>
      </c>
      <c r="M22" s="69" t="s">
        <v>33</v>
      </c>
      <c r="N22" s="40"/>
      <c r="O22" s="40"/>
      <c r="DF22" s="71"/>
    </row>
    <row r="23" ht="22.5" customHeight="1">
      <c r="A23" s="60">
        <f t="array" ref="A23">COUNTIFS(
  DATEVALUE(TEXT($E$8:E23,"yyyy-mm-dd")),
  "&gt;=" &amp; EOMONTH(DATEVALUE(TEXT(E23,"yyyy-mm-dd")),-1)+1,
  DATEVALUE(TEXT($E$8:E23,"yyyy-mm-dd")),
  "&lt;=" &amp; EOMONTH(DATEVALUE(TEXT(E23,"yyyy-mm-dd")),0)
)
</f>
        <v>16</v>
      </c>
      <c r="B23" s="61">
        <v>3.0808077616E11</v>
      </c>
      <c r="C23" s="62"/>
      <c r="D23" s="63" t="s">
        <v>194</v>
      </c>
      <c r="E23" s="64">
        <v>46013.0</v>
      </c>
      <c r="F23" s="63" t="s">
        <v>138</v>
      </c>
      <c r="G23" s="61">
        <v>1.32500041611281E14</v>
      </c>
      <c r="H23" s="65" t="s">
        <v>220</v>
      </c>
      <c r="I23" s="66" t="s">
        <v>5</v>
      </c>
      <c r="J23" s="66" t="s">
        <v>222</v>
      </c>
      <c r="K23" s="67" t="s">
        <v>61</v>
      </c>
      <c r="L23" s="68" t="s">
        <v>57</v>
      </c>
      <c r="M23" s="69" t="s">
        <v>33</v>
      </c>
      <c r="N23" s="40"/>
      <c r="O23" s="40"/>
      <c r="DF23" s="71"/>
    </row>
    <row r="24" ht="22.5" customHeight="1">
      <c r="A24" s="60">
        <f t="array" ref="A24">COUNTIFS(
  DATEVALUE(TEXT($E$8:E24,"yyyy-mm-dd")),
  "&gt;=" &amp; EOMONTH(DATEVALUE(TEXT(E24,"yyyy-mm-dd")),-1)+1,
  DATEVALUE(TEXT($E$8:E24,"yyyy-mm-dd")),
  "&lt;=" &amp; EOMONTH(DATEVALUE(TEXT(E24,"yyyy-mm-dd")),0)
)
</f>
        <v>17</v>
      </c>
      <c r="B24" s="61">
        <v>3.0808542173E11</v>
      </c>
      <c r="C24" s="62"/>
      <c r="D24" s="63" t="s">
        <v>194</v>
      </c>
      <c r="E24" s="64">
        <v>46014.0</v>
      </c>
      <c r="F24" s="63" t="s">
        <v>138</v>
      </c>
      <c r="G24" s="61">
        <v>1.32500041670854E14</v>
      </c>
      <c r="H24" s="65" t="s">
        <v>223</v>
      </c>
      <c r="I24" s="66" t="s">
        <v>3</v>
      </c>
      <c r="J24" s="66" t="s">
        <v>224</v>
      </c>
      <c r="K24" s="67" t="s">
        <v>61</v>
      </c>
      <c r="L24" s="68" t="s">
        <v>57</v>
      </c>
      <c r="M24" s="69" t="s">
        <v>33</v>
      </c>
      <c r="N24" s="40"/>
      <c r="O24" s="40"/>
      <c r="DF24" s="71"/>
    </row>
    <row r="25" ht="22.5" customHeight="1">
      <c r="A25" s="60">
        <f t="array" ref="A25">COUNTIFS(
  DATEVALUE(TEXT($E$8:E25,"yyyy-mm-dd")),
  "&gt;=" &amp; EOMONTH(DATEVALUE(TEXT(E25,"yyyy-mm-dd")),-1)+1,
  DATEVALUE(TEXT($E$8:E25,"yyyy-mm-dd")),
  "&lt;=" &amp; EOMONTH(DATEVALUE(TEXT(E25,"yyyy-mm-dd")),0)
)
</f>
        <v>18</v>
      </c>
      <c r="B25" s="61">
        <v>3.080845254E11</v>
      </c>
      <c r="C25" s="62"/>
      <c r="D25" s="63" t="s">
        <v>194</v>
      </c>
      <c r="E25" s="64">
        <v>46014.0</v>
      </c>
      <c r="F25" s="63" t="s">
        <v>138</v>
      </c>
      <c r="G25" s="61">
        <v>1.32500041659182E14</v>
      </c>
      <c r="H25" s="65" t="s">
        <v>225</v>
      </c>
      <c r="I25" s="66" t="s">
        <v>5</v>
      </c>
      <c r="J25" s="66" t="s">
        <v>226</v>
      </c>
      <c r="K25" s="67" t="s">
        <v>61</v>
      </c>
      <c r="L25" s="68" t="s">
        <v>57</v>
      </c>
      <c r="M25" s="69" t="s">
        <v>33</v>
      </c>
      <c r="N25" s="40"/>
      <c r="O25" s="40"/>
      <c r="DF25" s="71"/>
    </row>
    <row r="26" ht="22.5" customHeight="1">
      <c r="A26" s="60">
        <f t="array" ref="A26">COUNTIFS(
  DATEVALUE(TEXT($E$8:E26,"yyyy-mm-dd")),
  "&gt;=" &amp; EOMONTH(DATEVALUE(TEXT(E26,"yyyy-mm-dd")),-1)+1,
  DATEVALUE(TEXT($E$8:E26,"yyyy-mm-dd")),
  "&lt;=" &amp; EOMONTH(DATEVALUE(TEXT(E26,"yyyy-mm-dd")),0)
)
</f>
        <v>19</v>
      </c>
      <c r="B26" s="61">
        <v>3.0808581266E11</v>
      </c>
      <c r="C26" s="62"/>
      <c r="D26" s="63" t="s">
        <v>194</v>
      </c>
      <c r="E26" s="64">
        <v>46014.0</v>
      </c>
      <c r="F26" s="63" t="s">
        <v>138</v>
      </c>
      <c r="G26" s="61">
        <v>1.3250004167575E14</v>
      </c>
      <c r="H26" s="65" t="s">
        <v>225</v>
      </c>
      <c r="I26" s="66" t="s">
        <v>5</v>
      </c>
      <c r="J26" s="66" t="s">
        <v>227</v>
      </c>
      <c r="K26" s="67" t="s">
        <v>61</v>
      </c>
      <c r="L26" s="68" t="s">
        <v>57</v>
      </c>
      <c r="M26" s="69" t="s">
        <v>33</v>
      </c>
      <c r="N26" s="40"/>
      <c r="O26" s="40"/>
      <c r="DF26" s="71"/>
    </row>
    <row r="27" ht="22.5" customHeight="1">
      <c r="A27" s="60">
        <f t="array" ref="A27">COUNTIFS(
  DATEVALUE(TEXT($E$8:E27,"yyyy-mm-dd")),
  "&gt;=" &amp; EOMONTH(DATEVALUE(TEXT(E27,"yyyy-mm-dd")),-1)+1,
  DATEVALUE(TEXT($E$8:E27,"yyyy-mm-dd")),
  "&lt;=" &amp; EOMONTH(DATEVALUE(TEXT(E27,"yyyy-mm-dd")),0)
)
</f>
        <v>20</v>
      </c>
      <c r="B27" s="61">
        <v>3.0808873074E11</v>
      </c>
      <c r="C27" s="62"/>
      <c r="D27" s="63" t="s">
        <v>194</v>
      </c>
      <c r="E27" s="64">
        <v>46015.0</v>
      </c>
      <c r="F27" s="63" t="s">
        <v>138</v>
      </c>
      <c r="G27" s="61">
        <v>1.32500041714482E14</v>
      </c>
      <c r="H27" s="65" t="s">
        <v>228</v>
      </c>
      <c r="I27" s="66" t="s">
        <v>3</v>
      </c>
      <c r="J27" s="66" t="s">
        <v>229</v>
      </c>
      <c r="K27" s="67" t="s">
        <v>61</v>
      </c>
      <c r="L27" s="68" t="s">
        <v>57</v>
      </c>
      <c r="M27" s="69" t="s">
        <v>33</v>
      </c>
      <c r="N27" s="40"/>
      <c r="O27" s="40"/>
      <c r="DF27" s="71"/>
    </row>
    <row r="28" ht="22.5" customHeight="1">
      <c r="A28" s="60">
        <f t="array" ref="A28">COUNTIFS(
  DATEVALUE(TEXT($E$8:E28,"yyyy-mm-dd")),
  "&gt;=" &amp; EOMONTH(DATEVALUE(TEXT(E28,"yyyy-mm-dd")),-1)+1,
  DATEVALUE(TEXT($E$8:E28,"yyyy-mm-dd")),
  "&lt;=" &amp; EOMONTH(DATEVALUE(TEXT(E28,"yyyy-mm-dd")),0)
)
</f>
        <v>21</v>
      </c>
      <c r="B28" s="61">
        <v>3.0809286041E11</v>
      </c>
      <c r="C28" s="62"/>
      <c r="D28" s="63" t="s">
        <v>194</v>
      </c>
      <c r="E28" s="64">
        <v>46016.0</v>
      </c>
      <c r="F28" s="63" t="s">
        <v>45</v>
      </c>
      <c r="G28" s="61">
        <v>1.22500041771356E14</v>
      </c>
      <c r="H28" s="66">
        <v>73.0</v>
      </c>
      <c r="I28" s="66" t="s">
        <v>7</v>
      </c>
      <c r="J28" s="66" t="s">
        <v>230</v>
      </c>
      <c r="K28" s="67" t="s">
        <v>61</v>
      </c>
      <c r="L28" s="68" t="s">
        <v>231</v>
      </c>
      <c r="M28" s="69" t="s">
        <v>33</v>
      </c>
      <c r="N28" s="40"/>
      <c r="O28" s="40"/>
      <c r="DF28" s="71"/>
    </row>
    <row r="29" ht="22.5" customHeight="1">
      <c r="A29" s="60">
        <f t="array" ref="A29">COUNTIFS(
  DATEVALUE(TEXT($E$8:E29,"yyyy-mm-dd")),
  "&gt;=" &amp; EOMONTH(DATEVALUE(TEXT(E29,"yyyy-mm-dd")),-1)+1,
  DATEVALUE(TEXT($E$8:E29,"yyyy-mm-dd")),
  "&lt;=" &amp; EOMONTH(DATEVALUE(TEXT(E29,"yyyy-mm-dd")),0)
)
</f>
        <v>22</v>
      </c>
      <c r="B29" s="61">
        <v>3.0809327735E11</v>
      </c>
      <c r="C29" s="62"/>
      <c r="D29" s="63" t="s">
        <v>194</v>
      </c>
      <c r="E29" s="64">
        <v>46016.0</v>
      </c>
      <c r="F29" s="63" t="s">
        <v>138</v>
      </c>
      <c r="G29" s="61">
        <v>1.32500041774916E14</v>
      </c>
      <c r="H29" s="65" t="s">
        <v>232</v>
      </c>
      <c r="I29" s="66" t="s">
        <v>5</v>
      </c>
      <c r="J29" s="66" t="s">
        <v>233</v>
      </c>
      <c r="K29" s="67" t="s">
        <v>61</v>
      </c>
      <c r="L29" s="68" t="s">
        <v>57</v>
      </c>
      <c r="M29" s="69" t="s">
        <v>33</v>
      </c>
      <c r="N29" s="40"/>
      <c r="O29" s="40"/>
      <c r="DF29" s="71"/>
    </row>
    <row r="30" ht="22.5" customHeight="1">
      <c r="A30" s="60">
        <f t="array" ref="A30">COUNTIFS(
  DATEVALUE(TEXT($E$8:E30,"yyyy-mm-dd")),
  "&gt;=" &amp; EOMONTH(DATEVALUE(TEXT(E30,"yyyy-mm-dd")),-1)+1,
  DATEVALUE(TEXT($E$8:E30,"yyyy-mm-dd")),
  "&lt;=" &amp; EOMONTH(DATEVALUE(TEXT(E30,"yyyy-mm-dd")),0)
)
</f>
        <v>23</v>
      </c>
      <c r="B30" s="61">
        <v>3.0809327794E11</v>
      </c>
      <c r="C30" s="62"/>
      <c r="D30" s="63" t="s">
        <v>194</v>
      </c>
      <c r="E30" s="64">
        <v>46016.0</v>
      </c>
      <c r="F30" s="63" t="s">
        <v>138</v>
      </c>
      <c r="G30" s="61">
        <v>1.32500041774923E14</v>
      </c>
      <c r="H30" s="65" t="s">
        <v>234</v>
      </c>
      <c r="I30" s="66" t="s">
        <v>5</v>
      </c>
      <c r="J30" s="66" t="s">
        <v>233</v>
      </c>
      <c r="K30" s="67" t="s">
        <v>61</v>
      </c>
      <c r="L30" s="68" t="s">
        <v>57</v>
      </c>
      <c r="M30" s="69" t="s">
        <v>33</v>
      </c>
      <c r="N30" s="40"/>
      <c r="O30" s="40"/>
      <c r="DF30" s="71"/>
    </row>
    <row r="31" ht="22.5" customHeight="1">
      <c r="A31" s="60">
        <f t="array" ref="A31">COUNTIFS(
  DATEVALUE(TEXT($E$8:E31,"yyyy-mm-dd")),
  "&gt;=" &amp; EOMONTH(DATEVALUE(TEXT(E31,"yyyy-mm-dd")),-1)+1,
  DATEVALUE(TEXT($E$8:E31,"yyyy-mm-dd")),
  "&lt;=" &amp; EOMONTH(DATEVALUE(TEXT(E31,"yyyy-mm-dd")),0)
)
</f>
        <v>24</v>
      </c>
      <c r="B31" s="61">
        <v>3.0809698433E11</v>
      </c>
      <c r="C31" s="62"/>
      <c r="D31" s="63" t="s">
        <v>194</v>
      </c>
      <c r="E31" s="64">
        <v>46017.0</v>
      </c>
      <c r="F31" s="63" t="s">
        <v>138</v>
      </c>
      <c r="G31" s="61">
        <v>1.32500041823455E14</v>
      </c>
      <c r="H31" s="65" t="s">
        <v>235</v>
      </c>
      <c r="I31" s="66" t="s">
        <v>5</v>
      </c>
      <c r="J31" s="66" t="s">
        <v>236</v>
      </c>
      <c r="K31" s="67" t="s">
        <v>61</v>
      </c>
      <c r="L31" s="68" t="s">
        <v>57</v>
      </c>
      <c r="M31" s="69" t="s">
        <v>33</v>
      </c>
      <c r="N31" s="40"/>
      <c r="O31" s="40"/>
      <c r="DF31" s="71"/>
    </row>
    <row r="32" ht="22.5" customHeight="1">
      <c r="A32" s="60">
        <f t="array" ref="A32">COUNTIFS(
  DATEVALUE(TEXT($E$8:E32,"yyyy-mm-dd")),
  "&gt;=" &amp; EOMONTH(DATEVALUE(TEXT(E32,"yyyy-mm-dd")),-1)+1,
  DATEVALUE(TEXT($E$8:E32,"yyyy-mm-dd")),
  "&lt;=" &amp; EOMONTH(DATEVALUE(TEXT(E32,"yyyy-mm-dd")),0)
)
</f>
        <v>25</v>
      </c>
      <c r="B32" s="61">
        <v>3.080987823E11</v>
      </c>
      <c r="C32" s="62"/>
      <c r="D32" s="63" t="s">
        <v>194</v>
      </c>
      <c r="E32" s="64">
        <v>46017.0</v>
      </c>
      <c r="F32" s="63" t="s">
        <v>138</v>
      </c>
      <c r="G32" s="61">
        <v>1.3250004184462E14</v>
      </c>
      <c r="H32" s="65" t="s">
        <v>237</v>
      </c>
      <c r="I32" s="66" t="s">
        <v>196</v>
      </c>
      <c r="J32" s="66" t="s">
        <v>197</v>
      </c>
      <c r="K32" s="67" t="s">
        <v>61</v>
      </c>
      <c r="L32" s="68" t="s">
        <v>57</v>
      </c>
      <c r="M32" s="69" t="s">
        <v>33</v>
      </c>
      <c r="N32" s="40"/>
      <c r="O32" s="40" t="s">
        <v>198</v>
      </c>
      <c r="DF32" s="71"/>
    </row>
    <row r="33" ht="22.5" customHeight="1">
      <c r="A33" s="60">
        <f t="array" ref="A33">COUNTIFS(
  DATEVALUE(TEXT($E$8:E33,"yyyy-mm-dd")),
  "&gt;=" &amp; EOMONTH(DATEVALUE(TEXT(E33,"yyyy-mm-dd")),-1)+1,
  DATEVALUE(TEXT($E$8:E33,"yyyy-mm-dd")),
  "&lt;=" &amp; EOMONTH(DATEVALUE(TEXT(E33,"yyyy-mm-dd")),0)
)
</f>
        <v>26</v>
      </c>
      <c r="B33" s="61">
        <v>3.0810567424E11</v>
      </c>
      <c r="C33" s="62"/>
      <c r="D33" s="63" t="s">
        <v>194</v>
      </c>
      <c r="E33" s="64">
        <v>46020.0</v>
      </c>
      <c r="F33" s="63" t="s">
        <v>138</v>
      </c>
      <c r="G33" s="61">
        <v>1.32500041933427E14</v>
      </c>
      <c r="H33" s="65" t="s">
        <v>238</v>
      </c>
      <c r="I33" s="66" t="s">
        <v>5</v>
      </c>
      <c r="J33" s="66" t="s">
        <v>239</v>
      </c>
      <c r="K33" s="67" t="s">
        <v>61</v>
      </c>
      <c r="L33" s="68" t="s">
        <v>57</v>
      </c>
      <c r="M33" s="69" t="s">
        <v>33</v>
      </c>
      <c r="N33" s="40"/>
      <c r="O33" s="40"/>
      <c r="DF33" s="71"/>
    </row>
    <row r="34" ht="22.5" customHeight="1">
      <c r="A34" s="60">
        <f t="array" ref="A34">COUNTIFS(
  DATEVALUE(TEXT($E$8:E34,"yyyy-mm-dd")),
  "&gt;=" &amp; EOMONTH(DATEVALUE(TEXT(E34,"yyyy-mm-dd")),-1)+1,
  DATEVALUE(TEXT($E$8:E34,"yyyy-mm-dd")),
  "&lt;=" &amp; EOMONTH(DATEVALUE(TEXT(E34,"yyyy-mm-dd")),0)
)
</f>
        <v>1</v>
      </c>
      <c r="B34" s="61">
        <v>3.0812190466E11</v>
      </c>
      <c r="C34" s="62"/>
      <c r="D34" s="63" t="s">
        <v>194</v>
      </c>
      <c r="E34" s="64">
        <v>46027.0</v>
      </c>
      <c r="F34" s="63" t="s">
        <v>138</v>
      </c>
      <c r="G34" s="61">
        <v>1.32600035618333E14</v>
      </c>
      <c r="H34" s="65" t="s">
        <v>240</v>
      </c>
      <c r="I34" s="66" t="s">
        <v>3</v>
      </c>
      <c r="J34" s="66" t="s">
        <v>241</v>
      </c>
      <c r="K34" s="67" t="s">
        <v>61</v>
      </c>
      <c r="L34" s="68" t="s">
        <v>57</v>
      </c>
      <c r="M34" s="69" t="s">
        <v>33</v>
      </c>
      <c r="N34" s="40"/>
      <c r="O34" s="40"/>
      <c r="DF34" s="71"/>
    </row>
    <row r="35" ht="22.5" customHeight="1">
      <c r="A35" s="60">
        <f t="array" ref="A35">COUNTIFS(
  DATEVALUE(TEXT($E$8:E35,"yyyy-mm-dd")),
  "&gt;=" &amp; EOMONTH(DATEVALUE(TEXT(E35,"yyyy-mm-dd")),-1)+1,
  DATEVALUE(TEXT($E$8:E35,"yyyy-mm-dd")),
  "&lt;=" &amp; EOMONTH(DATEVALUE(TEXT(E35,"yyyy-mm-dd")),0)
)
</f>
        <v>2</v>
      </c>
      <c r="B35" s="61">
        <v>3.081247264E11</v>
      </c>
      <c r="C35" s="62"/>
      <c r="D35" s="63" t="s">
        <v>194</v>
      </c>
      <c r="E35" s="64">
        <v>46028.0</v>
      </c>
      <c r="F35" s="63" t="s">
        <v>138</v>
      </c>
      <c r="G35" s="61">
        <v>1.32600035657369E14</v>
      </c>
      <c r="H35" s="65" t="s">
        <v>242</v>
      </c>
      <c r="I35" s="66" t="s">
        <v>196</v>
      </c>
      <c r="J35" s="66" t="s">
        <v>197</v>
      </c>
      <c r="K35" s="67" t="s">
        <v>61</v>
      </c>
      <c r="L35" s="68" t="s">
        <v>57</v>
      </c>
      <c r="M35" s="69" t="s">
        <v>33</v>
      </c>
      <c r="N35" s="40"/>
      <c r="O35" s="40" t="s">
        <v>198</v>
      </c>
      <c r="DF35" s="71"/>
    </row>
    <row r="36" ht="22.5" customHeight="1">
      <c r="A36" s="60">
        <f t="array" ref="A36">COUNTIFS(
  DATEVALUE(TEXT($E$8:E36,"yyyy-mm-dd")),
  "&gt;=" &amp; EOMONTH(DATEVALUE(TEXT(E36,"yyyy-mm-dd")),-1)+1,
  DATEVALUE(TEXT($E$8:E36,"yyyy-mm-dd")),
  "&lt;=" &amp; EOMONTH(DATEVALUE(TEXT(E36,"yyyy-mm-dd")),0)
)
</f>
        <v>3</v>
      </c>
      <c r="B36" s="61">
        <v>3.0812801802E11</v>
      </c>
      <c r="C36" s="62"/>
      <c r="D36" s="63" t="s">
        <v>194</v>
      </c>
      <c r="E36" s="64">
        <v>46029.0</v>
      </c>
      <c r="F36" s="63" t="s">
        <v>138</v>
      </c>
      <c r="G36" s="61">
        <v>1.32600035703499E14</v>
      </c>
      <c r="H36" s="65" t="s">
        <v>243</v>
      </c>
      <c r="I36" s="66" t="s">
        <v>196</v>
      </c>
      <c r="J36" s="66" t="s">
        <v>197</v>
      </c>
      <c r="K36" s="67" t="s">
        <v>61</v>
      </c>
      <c r="L36" s="68" t="s">
        <v>57</v>
      </c>
      <c r="M36" s="69" t="s">
        <v>33</v>
      </c>
      <c r="N36" s="40"/>
      <c r="O36" s="40" t="s">
        <v>198</v>
      </c>
      <c r="DF36" s="71"/>
    </row>
    <row r="37" ht="22.5" customHeight="1">
      <c r="A37" s="60">
        <f t="array" ref="A37">COUNTIFS(
  DATEVALUE(TEXT($E$8:E37,"yyyy-mm-dd")),
  "&gt;=" &amp; EOMONTH(DATEVALUE(TEXT(E37,"yyyy-mm-dd")),-1)+1,
  DATEVALUE(TEXT($E$8:E37,"yyyy-mm-dd")),
  "&lt;=" &amp; EOMONTH(DATEVALUE(TEXT(E37,"yyyy-mm-dd")),0)
)
</f>
        <v>4</v>
      </c>
      <c r="B37" s="61">
        <v>3.0812786343E11</v>
      </c>
      <c r="C37" s="62"/>
      <c r="D37" s="63" t="s">
        <v>202</v>
      </c>
      <c r="E37" s="64">
        <v>46029.0</v>
      </c>
      <c r="F37" s="63" t="s">
        <v>45</v>
      </c>
      <c r="G37" s="61">
        <v>1.22600035701284E14</v>
      </c>
      <c r="H37" s="66" t="s">
        <v>244</v>
      </c>
      <c r="I37" s="66" t="s">
        <v>2</v>
      </c>
      <c r="J37" s="66" t="s">
        <v>245</v>
      </c>
      <c r="K37" s="67" t="s">
        <v>246</v>
      </c>
      <c r="L37" s="68" t="s">
        <v>57</v>
      </c>
      <c r="M37" s="69" t="s">
        <v>33</v>
      </c>
      <c r="N37" s="40"/>
      <c r="O37" s="40" t="s">
        <v>247</v>
      </c>
      <c r="DF37" s="71"/>
    </row>
    <row r="38" ht="22.5" customHeight="1">
      <c r="A38" s="60">
        <f t="array" ref="A38">COUNTIFS(
  DATEVALUE(TEXT($E$8:E38,"yyyy-mm-dd")),
  "&gt;=" &amp; EOMONTH(DATEVALUE(TEXT(E38,"yyyy-mm-dd")),-1)+1,
  DATEVALUE(TEXT($E$8:E38,"yyyy-mm-dd")),
  "&lt;=" &amp; EOMONTH(DATEVALUE(TEXT(E38,"yyyy-mm-dd")),0)
)
</f>
        <v>5</v>
      </c>
      <c r="B38" s="61">
        <v>3.0812786343E11</v>
      </c>
      <c r="C38" s="62"/>
      <c r="D38" s="63" t="s">
        <v>202</v>
      </c>
      <c r="E38" s="64">
        <v>46030.0</v>
      </c>
      <c r="F38" s="63" t="s">
        <v>45</v>
      </c>
      <c r="G38" s="61">
        <v>1.22600035753234E14</v>
      </c>
      <c r="H38" s="66" t="s">
        <v>248</v>
      </c>
      <c r="I38" s="66" t="s">
        <v>2</v>
      </c>
      <c r="J38" s="66" t="s">
        <v>249</v>
      </c>
      <c r="K38" s="67" t="s">
        <v>246</v>
      </c>
      <c r="L38" s="68" t="s">
        <v>250</v>
      </c>
      <c r="M38" s="69" t="s">
        <v>33</v>
      </c>
      <c r="N38" s="40"/>
      <c r="O38" s="40" t="s">
        <v>251</v>
      </c>
      <c r="DF38" s="71"/>
    </row>
    <row r="39" ht="22.5" customHeight="1">
      <c r="A39" s="60">
        <f t="array" ref="A39">COUNTIFS(
  DATEVALUE(TEXT($E$8:E39,"yyyy-mm-dd")),
  "&gt;=" &amp; EOMONTH(DATEVALUE(TEXT(E39,"yyyy-mm-dd")),-1)+1,
  DATEVALUE(TEXT($E$8:E39,"yyyy-mm-dd")),
  "&lt;=" &amp; EOMONTH(DATEVALUE(TEXT(E39,"yyyy-mm-dd")),0)
)
</f>
        <v>6</v>
      </c>
      <c r="B39" s="61">
        <v>3.0813515043E11</v>
      </c>
      <c r="C39" s="62"/>
      <c r="D39" s="63" t="s">
        <v>194</v>
      </c>
      <c r="E39" s="64">
        <v>46031.0</v>
      </c>
      <c r="F39" s="63" t="s">
        <v>138</v>
      </c>
      <c r="G39" s="61">
        <v>1.2260003579851E14</v>
      </c>
      <c r="H39" s="66" t="s">
        <v>252</v>
      </c>
      <c r="I39" s="66" t="s">
        <v>196</v>
      </c>
      <c r="J39" s="66" t="s">
        <v>253</v>
      </c>
      <c r="K39" s="67" t="s">
        <v>254</v>
      </c>
      <c r="L39" s="68" t="s">
        <v>164</v>
      </c>
      <c r="M39" s="69" t="s">
        <v>33</v>
      </c>
      <c r="N39" s="40"/>
      <c r="O39" s="40" t="s">
        <v>255</v>
      </c>
      <c r="DF39" s="71"/>
    </row>
    <row r="40" ht="22.5" customHeight="1">
      <c r="A40" s="60">
        <f t="array" ref="A40">COUNTIFS(
  DATEVALUE(TEXT($E$8:E40,"yyyy-mm-dd")),
  "&gt;=" &amp; EOMONTH(DATEVALUE(TEXT(E40,"yyyy-mm-dd")),-1)+1,
  DATEVALUE(TEXT($E$8:E40,"yyyy-mm-dd")),
  "&lt;=" &amp; EOMONTH(DATEVALUE(TEXT(E40,"yyyy-mm-dd")),0)
)
</f>
        <v>7</v>
      </c>
      <c r="B40" s="61">
        <v>3.081333483E11</v>
      </c>
      <c r="C40" s="62"/>
      <c r="D40" s="63" t="s">
        <v>256</v>
      </c>
      <c r="E40" s="64">
        <v>46031.0</v>
      </c>
      <c r="F40" s="63" t="s">
        <v>171</v>
      </c>
      <c r="G40" s="61">
        <v>1.32600035772805E14</v>
      </c>
      <c r="H40" s="66" t="s">
        <v>257</v>
      </c>
      <c r="I40" s="66" t="s">
        <v>9</v>
      </c>
      <c r="J40" s="66" t="s">
        <v>258</v>
      </c>
      <c r="K40" s="67" t="s">
        <v>61</v>
      </c>
      <c r="L40" s="68" t="s">
        <v>231</v>
      </c>
      <c r="M40" s="69" t="s">
        <v>33</v>
      </c>
      <c r="N40" s="40"/>
      <c r="O40" s="40"/>
      <c r="DF40" s="71"/>
    </row>
    <row r="41" ht="22.5" customHeight="1">
      <c r="A41" s="72">
        <f t="array" ref="A41">COUNTIFS(
  DATEVALUE(TEXT($E$8:E41,"yyyy-mm-dd")),
  "&gt;=" &amp; EOMONTH(DATEVALUE(TEXT(E41,"yyyy-mm-dd")),-1)+1,
  DATEVALUE(TEXT($E$8:E41,"yyyy-mm-dd")),
  "&lt;=" &amp; EOMONTH(DATEVALUE(TEXT(E41,"yyyy-mm-dd")),0)
)
</f>
        <v>0</v>
      </c>
      <c r="B41" s="73"/>
      <c r="C41" s="74"/>
      <c r="D41" s="75"/>
      <c r="E41" s="76"/>
      <c r="F41" s="63" t="s">
        <v>171</v>
      </c>
      <c r="G41" s="73"/>
      <c r="H41" s="77"/>
      <c r="I41" s="77"/>
      <c r="J41" s="77"/>
      <c r="K41" s="78"/>
      <c r="L41" s="79"/>
      <c r="M41" s="80"/>
      <c r="N41" s="40"/>
      <c r="O41" s="40"/>
      <c r="DF41" s="71"/>
    </row>
    <row r="42">
      <c r="A42" s="40"/>
      <c r="B42" s="81"/>
      <c r="C42" s="70"/>
      <c r="D42" s="81"/>
      <c r="E42" s="82"/>
      <c r="F42" s="81"/>
      <c r="G42" s="81"/>
      <c r="H42" s="43"/>
      <c r="I42" s="43"/>
      <c r="J42" s="43"/>
      <c r="K42" s="81"/>
      <c r="L42" s="14"/>
      <c r="M42" s="40"/>
      <c r="N42" s="40"/>
      <c r="O42" s="40"/>
      <c r="DF42" s="71"/>
    </row>
    <row r="43">
      <c r="A43" s="40"/>
      <c r="B43" s="81"/>
      <c r="C43" s="70"/>
      <c r="D43" s="81"/>
      <c r="E43" s="82"/>
      <c r="F43" s="81"/>
      <c r="G43" s="81"/>
      <c r="H43" s="43"/>
      <c r="I43" s="43"/>
      <c r="J43" s="43"/>
      <c r="K43" s="81"/>
      <c r="L43" s="14"/>
      <c r="M43" s="40"/>
      <c r="N43" s="40"/>
      <c r="O43" s="40"/>
      <c r="DF43" s="71"/>
    </row>
    <row r="44">
      <c r="A44" s="40"/>
      <c r="B44" s="81"/>
      <c r="C44" s="70"/>
      <c r="D44" s="81"/>
      <c r="E44" s="82"/>
      <c r="F44" s="81"/>
      <c r="G44" s="81"/>
      <c r="H44" s="43"/>
      <c r="I44" s="43"/>
      <c r="J44" s="43"/>
      <c r="K44" s="81"/>
      <c r="L44" s="14"/>
      <c r="M44" s="40"/>
      <c r="N44" s="40"/>
      <c r="O44" s="40"/>
      <c r="DF44" s="71"/>
    </row>
    <row r="45">
      <c r="A45" s="83"/>
      <c r="B45" s="83"/>
      <c r="C45" s="83"/>
      <c r="D45" s="83"/>
      <c r="E45" s="83"/>
      <c r="F45" s="83"/>
      <c r="G45" s="83"/>
      <c r="H45" s="83"/>
      <c r="I45" s="83"/>
      <c r="J45" s="83"/>
      <c r="K45" s="83"/>
      <c r="L45" s="83"/>
      <c r="M45" s="83"/>
      <c r="N45" s="83"/>
      <c r="O45" s="83"/>
    </row>
    <row r="46">
      <c r="A46" s="83"/>
      <c r="B46" s="83"/>
      <c r="C46" s="83"/>
      <c r="D46" s="83"/>
      <c r="E46" s="83"/>
      <c r="F46" s="83"/>
      <c r="G46" s="83"/>
      <c r="H46" s="83"/>
      <c r="I46" s="83"/>
      <c r="J46" s="83"/>
      <c r="K46" s="83"/>
      <c r="L46" s="83"/>
      <c r="M46" s="83"/>
      <c r="N46" s="83"/>
      <c r="O46" s="83"/>
    </row>
    <row r="47">
      <c r="A47" s="83"/>
      <c r="B47" s="83"/>
      <c r="C47" s="83"/>
      <c r="D47" s="83"/>
      <c r="E47" s="83"/>
      <c r="F47" s="83"/>
      <c r="G47" s="83"/>
      <c r="H47" s="83"/>
      <c r="I47" s="83"/>
      <c r="J47" s="83"/>
      <c r="K47" s="83"/>
      <c r="L47" s="83"/>
      <c r="M47" s="83"/>
      <c r="N47" s="83"/>
      <c r="O47" s="83"/>
    </row>
    <row r="48">
      <c r="A48" s="83"/>
      <c r="B48" s="83"/>
      <c r="C48" s="83"/>
      <c r="D48" s="83"/>
      <c r="E48" s="83"/>
      <c r="F48" s="83"/>
      <c r="G48" s="83"/>
      <c r="H48" s="83"/>
      <c r="I48" s="83"/>
      <c r="J48" s="83"/>
      <c r="K48" s="83"/>
      <c r="L48" s="83"/>
      <c r="M48" s="83"/>
      <c r="N48" s="83"/>
      <c r="O48" s="83"/>
    </row>
    <row r="49">
      <c r="A49" s="83"/>
      <c r="B49" s="83"/>
      <c r="C49" s="83"/>
      <c r="D49" s="83"/>
      <c r="E49" s="83"/>
      <c r="F49" s="83"/>
      <c r="G49" s="83"/>
      <c r="H49" s="83"/>
      <c r="I49" s="83"/>
      <c r="J49" s="83"/>
      <c r="K49" s="83"/>
      <c r="L49" s="83"/>
      <c r="M49" s="83"/>
      <c r="N49" s="83"/>
      <c r="O49" s="83"/>
    </row>
    <row r="50">
      <c r="A50" s="83"/>
      <c r="B50" s="83"/>
      <c r="C50" s="83"/>
      <c r="D50" s="83"/>
      <c r="E50" s="83"/>
      <c r="F50" s="83"/>
      <c r="G50" s="83"/>
      <c r="H50" s="83"/>
      <c r="I50" s="83"/>
      <c r="J50" s="83"/>
      <c r="K50" s="83"/>
      <c r="L50" s="83"/>
      <c r="M50" s="83"/>
      <c r="N50" s="83"/>
      <c r="O50" s="83"/>
    </row>
    <row r="51">
      <c r="A51" s="83"/>
      <c r="B51" s="83"/>
      <c r="C51" s="83"/>
      <c r="D51" s="83"/>
      <c r="E51" s="83"/>
      <c r="F51" s="83"/>
      <c r="G51" s="83"/>
      <c r="H51" s="83"/>
      <c r="I51" s="83"/>
      <c r="J51" s="83"/>
      <c r="K51" s="83"/>
      <c r="L51" s="83"/>
      <c r="M51" s="83"/>
      <c r="N51" s="83"/>
      <c r="O51" s="83"/>
    </row>
    <row r="52">
      <c r="A52" s="83"/>
      <c r="B52" s="83"/>
      <c r="C52" s="83"/>
      <c r="D52" s="83"/>
      <c r="E52" s="83"/>
      <c r="F52" s="83"/>
      <c r="G52" s="83"/>
      <c r="H52" s="83"/>
      <c r="I52" s="83"/>
      <c r="J52" s="83"/>
      <c r="K52" s="83"/>
      <c r="L52" s="83"/>
      <c r="M52" s="83"/>
      <c r="N52" s="83"/>
      <c r="O52" s="83"/>
    </row>
    <row r="53">
      <c r="A53" s="83"/>
      <c r="B53" s="83"/>
      <c r="C53" s="83"/>
      <c r="D53" s="83"/>
      <c r="E53" s="83"/>
      <c r="F53" s="83"/>
      <c r="G53" s="83"/>
      <c r="H53" s="83"/>
      <c r="I53" s="83"/>
      <c r="J53" s="83"/>
      <c r="K53" s="83"/>
      <c r="L53" s="83"/>
      <c r="M53" s="83"/>
      <c r="N53" s="83"/>
      <c r="O53" s="83"/>
    </row>
    <row r="54">
      <c r="A54" s="83"/>
      <c r="B54" s="83"/>
      <c r="C54" s="83"/>
      <c r="D54" s="83"/>
      <c r="E54" s="83"/>
      <c r="F54" s="83"/>
      <c r="G54" s="83"/>
      <c r="H54" s="83"/>
      <c r="I54" s="83"/>
      <c r="J54" s="83"/>
      <c r="K54" s="83"/>
      <c r="L54" s="83"/>
      <c r="M54" s="83"/>
      <c r="N54" s="83"/>
      <c r="O54" s="83"/>
    </row>
    <row r="55">
      <c r="A55" s="83"/>
      <c r="B55" s="83"/>
      <c r="C55" s="83"/>
      <c r="D55" s="83"/>
      <c r="E55" s="83"/>
      <c r="F55" s="83"/>
      <c r="G55" s="83"/>
      <c r="H55" s="83"/>
      <c r="I55" s="83"/>
      <c r="J55" s="83"/>
      <c r="K55" s="83"/>
      <c r="L55" s="83"/>
      <c r="M55" s="83"/>
      <c r="N55" s="83"/>
      <c r="O55" s="83"/>
    </row>
    <row r="56">
      <c r="A56" s="83"/>
      <c r="B56" s="83"/>
      <c r="C56" s="83"/>
      <c r="D56" s="83"/>
      <c r="E56" s="83"/>
      <c r="F56" s="83"/>
      <c r="G56" s="83"/>
      <c r="H56" s="83"/>
      <c r="I56" s="83"/>
      <c r="J56" s="83"/>
      <c r="K56" s="83"/>
      <c r="L56" s="83"/>
      <c r="M56" s="83"/>
      <c r="N56" s="83"/>
      <c r="O56" s="83"/>
    </row>
  </sheetData>
  <mergeCells count="7">
    <mergeCell ref="A1:J1"/>
    <mergeCell ref="A2:B2"/>
    <mergeCell ref="A3:B3"/>
    <mergeCell ref="C3:D3"/>
    <mergeCell ref="A4:B4"/>
    <mergeCell ref="C4:D4"/>
    <mergeCell ref="A5:B5"/>
  </mergeCells>
  <conditionalFormatting sqref="L8:L44">
    <cfRule type="containsText" dxfId="0" priority="1" operator="containsText" text="Vàng">
      <formula>NOT(ISERROR(SEARCH(("Vàng"),(L8))))</formula>
    </cfRule>
  </conditionalFormatting>
  <conditionalFormatting sqref="L8:L44">
    <cfRule type="containsText" dxfId="1" priority="2" operator="containsText" text="Xanh">
      <formula>NOT(ISERROR(SEARCH(("Xanh"),(L8))))</formula>
    </cfRule>
  </conditionalFormatting>
  <conditionalFormatting sqref="L8:L44">
    <cfRule type="containsText" dxfId="2" priority="3" operator="containsText" text="Đỏ">
      <formula>NOT(ISERROR(SEARCH(("Đỏ"),(L8))))</formula>
    </cfRule>
  </conditionalFormatting>
  <conditionalFormatting sqref="D1:D907">
    <cfRule type="notContainsBlanks" dxfId="8" priority="4">
      <formula>LEN(TRIM(D1))&gt;0</formula>
    </cfRule>
  </conditionalFormatting>
  <dataValidations>
    <dataValidation type="list" allowBlank="1" showDropDown="1" showErrorMessage="1" sqref="L8:L41">
      <formula1>"Xanh,Vàng,đỏ,xanh"</formula1>
    </dataValidation>
    <dataValidation type="custom" allowBlank="1" showDropDown="1" sqref="E8:E41">
      <formula1>OR(NOT(ISERROR(DATEVALUE(E8))), AND(ISNUMBER(E8), LEFT(CELL("format", E8))="D"))</formula1>
    </dataValidation>
    <dataValidation type="list" allowBlank="1" showDropDown="1" showErrorMessage="1" sqref="D8:D41">
      <formula1>"B11,H21,G61"</formula1>
    </dataValidation>
    <dataValidation type="custom" allowBlank="1" showDropDown="1" sqref="A8:B41 G8:G41">
      <formula1>AND(ISNUMBER(A8),(NOT(OR(NOT(ISERROR(DATEVALUE(A8))), AND(ISNUMBER(A8), LEFT(CELL("format", A8))="D")))))</formula1>
    </dataValidation>
    <dataValidation type="list" allowBlank="1" showDropDown="1" showErrorMessage="1" sqref="F8:F41">
      <formula1>"18B1,01PQ,01M1"</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2.13"/>
    <col customWidth="1" min="3" max="3" width="7.0"/>
    <col customWidth="1" min="4" max="4" width="10.13"/>
    <col customWidth="1" min="5" max="5" width="11.88"/>
    <col customWidth="1" min="6" max="6" width="7.88"/>
    <col customWidth="1" min="7" max="7" width="21.25"/>
    <col customWidth="1" min="8" max="8" width="9.88"/>
    <col customWidth="1" min="9" max="10" width="14.5"/>
    <col customWidth="1" min="11" max="11" width="29.88"/>
    <col customWidth="1" min="12" max="12" width="30.88"/>
    <col customWidth="1" min="13" max="13" width="10.38"/>
    <col customWidth="1" min="14" max="14" width="12.25"/>
    <col customWidth="1" min="15" max="15" width="24.0"/>
    <col customWidth="1" min="16" max="16" width="5.63"/>
    <col customWidth="1" min="17" max="18" width="10.75"/>
    <col customWidth="1" min="19" max="19" width="20.5"/>
    <col customWidth="1" min="20" max="20" width="20.13"/>
  </cols>
  <sheetData>
    <row r="1">
      <c r="A1" s="18" t="s">
        <v>259</v>
      </c>
      <c r="L1" s="53"/>
      <c r="M1" s="27"/>
      <c r="N1" s="27"/>
      <c r="O1" s="27"/>
    </row>
    <row r="2">
      <c r="A2" s="54" t="s">
        <v>30</v>
      </c>
      <c r="C2" s="24"/>
      <c r="D2" s="25"/>
      <c r="E2" s="26"/>
      <c r="F2" s="27"/>
      <c r="G2" s="27"/>
      <c r="H2" s="20"/>
      <c r="I2" s="20"/>
      <c r="J2" s="20"/>
      <c r="K2" s="20"/>
      <c r="L2" s="20"/>
      <c r="M2" s="28"/>
      <c r="N2" s="28"/>
      <c r="O2" s="28"/>
    </row>
    <row r="3">
      <c r="A3" s="54" t="s">
        <v>31</v>
      </c>
      <c r="C3" s="29" t="s">
        <v>32</v>
      </c>
      <c r="E3" s="27"/>
      <c r="F3" s="28"/>
      <c r="G3" s="27"/>
      <c r="H3" s="20"/>
      <c r="I3" s="20"/>
      <c r="J3" s="20"/>
      <c r="K3" s="20"/>
      <c r="L3" s="20"/>
      <c r="M3" s="28"/>
      <c r="N3" s="28"/>
      <c r="O3" s="28"/>
    </row>
    <row r="4">
      <c r="A4" s="54" t="s">
        <v>33</v>
      </c>
      <c r="C4" s="55">
        <f> COUNTIF(Q8:Q1000,"TT")</f>
        <v>0</v>
      </c>
      <c r="E4" s="56" t="s">
        <v>34</v>
      </c>
      <c r="F4" s="54">
        <f>COUNTIF(Q8:Q1000,"A Tiến")</f>
        <v>0</v>
      </c>
      <c r="G4" s="23"/>
      <c r="H4" s="30"/>
      <c r="I4" s="20"/>
      <c r="J4" s="20"/>
      <c r="K4" s="20"/>
      <c r="L4" s="20"/>
      <c r="M4" s="27"/>
      <c r="N4" s="27"/>
      <c r="O4" s="27"/>
    </row>
    <row r="5">
      <c r="A5" s="54" t="s">
        <v>35</v>
      </c>
      <c r="C5" s="29"/>
      <c r="D5" s="55">
        <f>SUM(C4:D4)</f>
        <v>0</v>
      </c>
      <c r="E5" s="57"/>
      <c r="F5" s="27"/>
      <c r="G5" s="27"/>
      <c r="H5" s="20"/>
      <c r="I5" s="20"/>
      <c r="J5" s="20"/>
      <c r="K5" s="20"/>
      <c r="L5" s="20"/>
      <c r="M5" s="27"/>
      <c r="N5" s="27"/>
      <c r="O5" s="27"/>
    </row>
    <row r="6">
      <c r="A6" s="27"/>
      <c r="B6" s="27"/>
      <c r="C6" s="27"/>
      <c r="D6" s="27"/>
      <c r="E6" s="27"/>
      <c r="F6" s="27"/>
      <c r="G6" s="27"/>
      <c r="H6" s="20"/>
      <c r="I6" s="20"/>
      <c r="J6" s="20"/>
      <c r="K6" s="20"/>
      <c r="L6" s="20"/>
      <c r="M6" s="27"/>
      <c r="N6" s="27"/>
      <c r="O6" s="27"/>
    </row>
    <row r="7">
      <c r="A7" s="59" t="s">
        <v>14</v>
      </c>
      <c r="B7" s="84" t="s">
        <v>15</v>
      </c>
      <c r="C7" s="59" t="s">
        <v>16</v>
      </c>
      <c r="D7" s="84" t="s">
        <v>17</v>
      </c>
      <c r="E7" s="84" t="s">
        <v>18</v>
      </c>
      <c r="F7" s="59" t="s">
        <v>19</v>
      </c>
      <c r="G7" s="85" t="s">
        <v>20</v>
      </c>
      <c r="H7" s="85" t="s">
        <v>21</v>
      </c>
      <c r="I7" s="86" t="s">
        <v>260</v>
      </c>
      <c r="J7" s="87" t="s">
        <v>261</v>
      </c>
      <c r="K7" s="88" t="s">
        <v>262</v>
      </c>
      <c r="L7" s="89" t="s">
        <v>263</v>
      </c>
      <c r="M7" s="59" t="s">
        <v>264</v>
      </c>
      <c r="N7" s="59" t="s">
        <v>265</v>
      </c>
      <c r="O7" s="59" t="s">
        <v>266</v>
      </c>
      <c r="P7" s="90" t="s">
        <v>25</v>
      </c>
      <c r="Q7" s="90" t="s">
        <v>267</v>
      </c>
      <c r="R7" s="59" t="s">
        <v>268</v>
      </c>
      <c r="S7" s="59" t="s">
        <v>28</v>
      </c>
    </row>
    <row r="8">
      <c r="A8" s="40">
        <f t="array" ref="A8">COUNTIFS(
  DATEVALUE(TEXT($E$8:E8,"yyyy-mm-dd")),
  "&gt;=" &amp; EOMONTH(DATEVALUE(TEXT(E8,"yyyy-mm-dd")),-1)+1,
  DATEVALUE(TEXT($E$8:E8,"yyyy-mm-dd")),
  "&lt;=" &amp; EOMONTH(DATEVALUE(TEXT(E8,"yyyy-mm-dd")),0)
)
</f>
        <v>1</v>
      </c>
      <c r="B8" s="81">
        <v>3.079019297E11</v>
      </c>
      <c r="C8" s="40">
        <v>1.0</v>
      </c>
      <c r="D8" s="81" t="s">
        <v>269</v>
      </c>
      <c r="E8" s="91">
        <v>45958.0</v>
      </c>
      <c r="F8" s="81" t="s">
        <v>138</v>
      </c>
      <c r="G8" s="81">
        <v>1.2250003923497E14</v>
      </c>
      <c r="H8" s="43" t="s">
        <v>270</v>
      </c>
      <c r="I8" s="91">
        <v>45958.0</v>
      </c>
      <c r="J8" s="81" t="s">
        <v>271</v>
      </c>
      <c r="K8" s="43" t="s">
        <v>272</v>
      </c>
      <c r="L8" s="92" t="s">
        <v>273</v>
      </c>
      <c r="M8" s="81" t="s">
        <v>274</v>
      </c>
      <c r="N8" s="81" t="s">
        <v>275</v>
      </c>
      <c r="O8" s="81" t="s">
        <v>276</v>
      </c>
      <c r="P8" s="14" t="s">
        <v>57</v>
      </c>
      <c r="Q8" s="40" t="s">
        <v>277</v>
      </c>
      <c r="R8" s="40" t="s">
        <v>174</v>
      </c>
      <c r="S8" s="70"/>
      <c r="DJ8" s="71"/>
    </row>
    <row r="9">
      <c r="A9" s="40">
        <f t="array" ref="A9">COUNTIFS(
  DATEVALUE(TEXT($E$8:E9,"yyyy-mm-dd")),
  "&gt;=" &amp; EOMONTH(DATEVALUE(TEXT(E9,"yyyy-mm-dd")),-1)+1,
  DATEVALUE(TEXT($E$8:E9,"yyyy-mm-dd")),
  "&lt;=" &amp; EOMONTH(DATEVALUE(TEXT(E9,"yyyy-mm-dd")),0)
)
</f>
        <v>2</v>
      </c>
      <c r="B9" s="81">
        <v>3.0790193246E11</v>
      </c>
      <c r="C9" s="40">
        <v>2.0</v>
      </c>
      <c r="D9" s="81" t="s">
        <v>269</v>
      </c>
      <c r="E9" s="91">
        <v>45958.0</v>
      </c>
      <c r="F9" s="81" t="s">
        <v>138</v>
      </c>
      <c r="G9" s="81">
        <v>1.2250003923497E14</v>
      </c>
      <c r="H9" s="43" t="s">
        <v>270</v>
      </c>
      <c r="I9" s="91">
        <v>45958.0</v>
      </c>
      <c r="J9" s="81" t="s">
        <v>271</v>
      </c>
      <c r="K9" s="43" t="s">
        <v>272</v>
      </c>
      <c r="L9" s="92" t="s">
        <v>273</v>
      </c>
      <c r="M9" s="81" t="s">
        <v>278</v>
      </c>
      <c r="N9" s="81" t="s">
        <v>275</v>
      </c>
      <c r="O9" s="81" t="s">
        <v>276</v>
      </c>
      <c r="P9" s="14" t="s">
        <v>57</v>
      </c>
      <c r="Q9" s="40" t="s">
        <v>277</v>
      </c>
      <c r="R9" s="40" t="s">
        <v>174</v>
      </c>
      <c r="S9" s="70"/>
      <c r="DJ9" s="71"/>
    </row>
    <row r="10">
      <c r="A10" s="40">
        <f t="array" ref="A10">COUNTIFS(
  DATEVALUE(TEXT($E$8:E10,"yyyy-mm-dd")),
  "&gt;=" &amp; EOMONTH(DATEVALUE(TEXT(E10,"yyyy-mm-dd")),-1)+1,
  DATEVALUE(TEXT($E$8:E10,"yyyy-mm-dd")),
  "&lt;=" &amp; EOMONTH(DATEVALUE(TEXT(E10,"yyyy-mm-dd")),0)
)
</f>
        <v>3</v>
      </c>
      <c r="B10" s="81">
        <v>3.0785905175E11</v>
      </c>
      <c r="C10" s="40">
        <v>1.0</v>
      </c>
      <c r="D10" s="81" t="s">
        <v>269</v>
      </c>
      <c r="E10" s="91">
        <v>45944.0</v>
      </c>
      <c r="F10" s="81" t="s">
        <v>138</v>
      </c>
      <c r="G10" s="81">
        <v>1.22500038666482E14</v>
      </c>
      <c r="H10" s="43" t="s">
        <v>279</v>
      </c>
      <c r="I10" s="91">
        <v>45959.0</v>
      </c>
      <c r="J10" s="81">
        <v>7.3042798195E11</v>
      </c>
      <c r="K10" s="43" t="s">
        <v>280</v>
      </c>
      <c r="L10" s="92" t="s">
        <v>280</v>
      </c>
      <c r="M10" s="81" t="s">
        <v>281</v>
      </c>
      <c r="N10" s="81" t="s">
        <v>275</v>
      </c>
      <c r="O10" s="81" t="s">
        <v>282</v>
      </c>
      <c r="P10" s="14" t="s">
        <v>57</v>
      </c>
      <c r="Q10" s="40" t="s">
        <v>277</v>
      </c>
      <c r="R10" s="40" t="s">
        <v>174</v>
      </c>
      <c r="S10" s="70"/>
      <c r="DJ10" s="71"/>
    </row>
    <row r="11">
      <c r="A11" s="40">
        <f t="array" ref="A11">COUNTIFS(
  DATEVALUE(TEXT($E$8:E11,"yyyy-mm-dd")),
  "&gt;=" &amp; EOMONTH(DATEVALUE(TEXT(E11,"yyyy-mm-dd")),-1)+1,
  DATEVALUE(TEXT($E$8:E11,"yyyy-mm-dd")),
  "&lt;=" &amp; EOMONTH(DATEVALUE(TEXT(E11,"yyyy-mm-dd")),0)
)
</f>
        <v>4</v>
      </c>
      <c r="B11" s="81">
        <v>3.0785910786E11</v>
      </c>
      <c r="C11" s="40">
        <v>2.0</v>
      </c>
      <c r="D11" s="81" t="s">
        <v>269</v>
      </c>
      <c r="E11" s="91">
        <v>45944.0</v>
      </c>
      <c r="F11" s="81" t="s">
        <v>138</v>
      </c>
      <c r="G11" s="81">
        <v>1.22500038666482E14</v>
      </c>
      <c r="H11" s="43" t="s">
        <v>279</v>
      </c>
      <c r="I11" s="91">
        <v>45959.0</v>
      </c>
      <c r="J11" s="81">
        <v>7.3042798302E11</v>
      </c>
      <c r="K11" s="43" t="s">
        <v>280</v>
      </c>
      <c r="L11" s="92" t="s">
        <v>280</v>
      </c>
      <c r="M11" s="81" t="s">
        <v>283</v>
      </c>
      <c r="N11" s="81" t="s">
        <v>275</v>
      </c>
      <c r="O11" s="81" t="s">
        <v>282</v>
      </c>
      <c r="P11" s="14" t="s">
        <v>57</v>
      </c>
      <c r="Q11" s="40" t="s">
        <v>277</v>
      </c>
      <c r="R11" s="40" t="s">
        <v>174</v>
      </c>
      <c r="S11" s="70"/>
      <c r="DJ11" s="71"/>
    </row>
    <row r="12">
      <c r="A12" s="40">
        <f t="array" ref="A12">COUNTIFS(
  DATEVALUE(TEXT($E$8:E12,"yyyy-mm-dd")),
  "&gt;=" &amp; EOMONTH(DATEVALUE(TEXT(E12,"yyyy-mm-dd")),-1)+1,
  DATEVALUE(TEXT($E$8:E12,"yyyy-mm-dd")),
  "&lt;=" &amp; EOMONTH(DATEVALUE(TEXT(E12,"yyyy-mm-dd")),0)
)
</f>
        <v>1</v>
      </c>
      <c r="B12" s="93">
        <v>1.0765607135E11</v>
      </c>
      <c r="C12" s="40">
        <v>1.0</v>
      </c>
      <c r="D12" s="94" t="s">
        <v>90</v>
      </c>
      <c r="E12" s="91">
        <v>45929.0</v>
      </c>
      <c r="F12" s="94" t="s">
        <v>138</v>
      </c>
      <c r="G12" s="94" t="s">
        <v>284</v>
      </c>
      <c r="H12" s="93" t="s">
        <v>285</v>
      </c>
      <c r="I12" s="91">
        <v>45965.0</v>
      </c>
      <c r="J12" s="81">
        <v>7.3042912715E11</v>
      </c>
      <c r="K12" s="43" t="s">
        <v>286</v>
      </c>
      <c r="L12" s="92" t="s">
        <v>287</v>
      </c>
      <c r="M12" s="81" t="s">
        <v>288</v>
      </c>
      <c r="N12" s="81" t="s">
        <v>275</v>
      </c>
      <c r="O12" s="81" t="s">
        <v>289</v>
      </c>
      <c r="P12" s="14" t="s">
        <v>57</v>
      </c>
      <c r="Q12" s="40" t="s">
        <v>277</v>
      </c>
      <c r="R12" s="40" t="s">
        <v>290</v>
      </c>
      <c r="S12" s="70"/>
      <c r="DJ12" s="71"/>
    </row>
    <row r="13">
      <c r="A13" s="40">
        <f t="array" ref="A13">COUNTIFS(
  DATEVALUE(TEXT($E$8:E13,"yyyy-mm-dd")),
  "&gt;=" &amp; EOMONTH(DATEVALUE(TEXT(E13,"yyyy-mm-dd")),-1)+1,
  DATEVALUE(TEXT($E$8:E13,"yyyy-mm-dd")),
  "&lt;=" &amp; EOMONTH(DATEVALUE(TEXT(E13,"yyyy-mm-dd")),0)
)
</f>
        <v>0</v>
      </c>
      <c r="B13" s="81"/>
      <c r="C13" s="70"/>
      <c r="D13" s="81"/>
      <c r="E13" s="81"/>
      <c r="F13" s="81"/>
      <c r="G13" s="81"/>
      <c r="H13" s="43"/>
      <c r="I13" s="81"/>
      <c r="J13" s="81"/>
      <c r="K13" s="43"/>
      <c r="L13" s="92"/>
      <c r="M13" s="81"/>
      <c r="N13" s="81"/>
      <c r="O13" s="81"/>
      <c r="P13" s="14"/>
      <c r="Q13" s="40"/>
      <c r="R13" s="70"/>
      <c r="S13" s="70"/>
      <c r="DJ13" s="71"/>
    </row>
    <row r="14">
      <c r="A14" s="40">
        <f t="array" ref="A14">COUNTIFS(
  DATEVALUE(TEXT($E$8:E14,"yyyy-mm-dd")),
  "&gt;=" &amp; EOMONTH(DATEVALUE(TEXT(E14,"yyyy-mm-dd")),-1)+1,
  DATEVALUE(TEXT($E$8:E14,"yyyy-mm-dd")),
  "&lt;=" &amp; EOMONTH(DATEVALUE(TEXT(E14,"yyyy-mm-dd")),0)
)
</f>
        <v>0</v>
      </c>
      <c r="B14" s="81"/>
      <c r="C14" s="70"/>
      <c r="D14" s="81"/>
      <c r="E14" s="81"/>
      <c r="F14" s="81"/>
      <c r="G14" s="81"/>
      <c r="H14" s="43"/>
      <c r="I14" s="81"/>
      <c r="J14" s="81"/>
      <c r="K14" s="43"/>
      <c r="L14" s="92"/>
      <c r="M14" s="81"/>
      <c r="N14" s="81"/>
      <c r="O14" s="81"/>
      <c r="P14" s="14"/>
      <c r="Q14" s="40"/>
      <c r="R14" s="70"/>
      <c r="S14" s="70"/>
      <c r="DJ14" s="71"/>
    </row>
    <row r="15">
      <c r="A15" s="40">
        <f t="array" ref="A15">COUNTIFS(
  DATEVALUE(TEXT($E$8:E15,"yyyy-mm-dd")),
  "&gt;=" &amp; EOMONTH(DATEVALUE(TEXT(E15,"yyyy-mm-dd")),-1)+1,
  DATEVALUE(TEXT($E$8:E15,"yyyy-mm-dd")),
  "&lt;=" &amp; EOMONTH(DATEVALUE(TEXT(E15,"yyyy-mm-dd")),0)
)
</f>
        <v>0</v>
      </c>
      <c r="B15" s="81"/>
      <c r="C15" s="70"/>
      <c r="D15" s="81"/>
      <c r="E15" s="81"/>
      <c r="F15" s="81"/>
      <c r="G15" s="81"/>
      <c r="H15" s="43"/>
      <c r="I15" s="81"/>
      <c r="J15" s="81"/>
      <c r="K15" s="43"/>
      <c r="L15" s="92"/>
      <c r="M15" s="81"/>
      <c r="N15" s="81"/>
      <c r="O15" s="81"/>
      <c r="P15" s="14"/>
      <c r="Q15" s="40"/>
      <c r="R15" s="70"/>
      <c r="S15" s="70"/>
      <c r="DJ15" s="71"/>
    </row>
    <row r="16">
      <c r="A16" s="40">
        <f t="array" ref="A16">COUNTIFS(
  DATEVALUE(TEXT($E$8:E16,"yyyy-mm-dd")),
  "&gt;=" &amp; EOMONTH(DATEVALUE(TEXT(E16,"yyyy-mm-dd")),-1)+1,
  DATEVALUE(TEXT($E$8:E16,"yyyy-mm-dd")),
  "&lt;=" &amp; EOMONTH(DATEVALUE(TEXT(E16,"yyyy-mm-dd")),0)
)
</f>
        <v>0</v>
      </c>
      <c r="B16" s="81"/>
      <c r="C16" s="70"/>
      <c r="D16" s="81"/>
      <c r="E16" s="81"/>
      <c r="F16" s="81"/>
      <c r="G16" s="81"/>
      <c r="H16" s="43"/>
      <c r="I16" s="81"/>
      <c r="J16" s="81"/>
      <c r="K16" s="43"/>
      <c r="L16" s="92"/>
      <c r="M16" s="81"/>
      <c r="N16" s="81"/>
      <c r="O16" s="81"/>
      <c r="P16" s="14"/>
      <c r="Q16" s="40"/>
      <c r="R16" s="70"/>
      <c r="S16" s="70"/>
      <c r="DJ16" s="71"/>
    </row>
    <row r="17">
      <c r="A17" s="40">
        <f t="array" ref="A17">COUNTIFS(
  DATEVALUE(TEXT($E$8:E17,"yyyy-mm-dd")),
  "&gt;=" &amp; EOMONTH(DATEVALUE(TEXT(E17,"yyyy-mm-dd")),-1)+1,
  DATEVALUE(TEXT($E$8:E17,"yyyy-mm-dd")),
  "&lt;=" &amp; EOMONTH(DATEVALUE(TEXT(E17,"yyyy-mm-dd")),0)
)
</f>
        <v>0</v>
      </c>
      <c r="B17" s="81"/>
      <c r="C17" s="70"/>
      <c r="D17" s="81"/>
      <c r="E17" s="81"/>
      <c r="F17" s="81"/>
      <c r="G17" s="81"/>
      <c r="H17" s="43"/>
      <c r="I17" s="81"/>
      <c r="J17" s="81"/>
      <c r="K17" s="43"/>
      <c r="L17" s="92"/>
      <c r="M17" s="81"/>
      <c r="N17" s="81"/>
      <c r="O17" s="81"/>
      <c r="P17" s="14"/>
      <c r="Q17" s="40"/>
      <c r="R17" s="70"/>
      <c r="S17" s="70"/>
      <c r="DJ17" s="71"/>
    </row>
    <row r="18">
      <c r="A18" s="40">
        <f t="array" ref="A18">COUNTIFS(
  DATEVALUE(TEXT($E$8:E18,"yyyy-mm-dd")),
  "&gt;=" &amp; EOMONTH(DATEVALUE(TEXT(E18,"yyyy-mm-dd")),-1)+1,
  DATEVALUE(TEXT($E$8:E18,"yyyy-mm-dd")),
  "&lt;=" &amp; EOMONTH(DATEVALUE(TEXT(E18,"yyyy-mm-dd")),0)
)
</f>
        <v>0</v>
      </c>
      <c r="B18" s="81"/>
      <c r="C18" s="70"/>
      <c r="D18" s="81"/>
      <c r="E18" s="81"/>
      <c r="F18" s="81"/>
      <c r="G18" s="81"/>
      <c r="H18" s="43"/>
      <c r="I18" s="81"/>
      <c r="J18" s="81"/>
      <c r="K18" s="43"/>
      <c r="L18" s="92"/>
      <c r="M18" s="81"/>
      <c r="N18" s="81"/>
      <c r="O18" s="81"/>
      <c r="P18" s="14"/>
      <c r="Q18" s="40"/>
      <c r="R18" s="70"/>
      <c r="S18" s="70"/>
      <c r="DJ18" s="71"/>
    </row>
    <row r="19">
      <c r="A19" s="40"/>
      <c r="B19" s="81"/>
      <c r="C19" s="70"/>
      <c r="D19" s="81"/>
      <c r="E19" s="81"/>
      <c r="F19" s="81"/>
      <c r="G19" s="81"/>
      <c r="H19" s="43"/>
      <c r="I19" s="81"/>
      <c r="J19" s="81"/>
      <c r="K19" s="43"/>
      <c r="L19" s="92"/>
      <c r="M19" s="81"/>
      <c r="N19" s="81"/>
      <c r="O19" s="81"/>
      <c r="P19" s="14"/>
      <c r="Q19" s="40"/>
      <c r="R19" s="70"/>
      <c r="S19" s="70"/>
      <c r="DJ19" s="71"/>
    </row>
    <row r="20">
      <c r="A20" s="40"/>
      <c r="B20" s="81"/>
      <c r="C20" s="70"/>
      <c r="D20" s="81"/>
      <c r="E20" s="81"/>
      <c r="F20" s="81"/>
      <c r="G20" s="81"/>
      <c r="H20" s="43"/>
      <c r="I20" s="81"/>
      <c r="J20" s="81"/>
      <c r="K20" s="43"/>
      <c r="L20" s="92"/>
      <c r="M20" s="81"/>
      <c r="N20" s="81"/>
      <c r="O20" s="81"/>
      <c r="P20" s="14"/>
      <c r="Q20" s="40"/>
      <c r="R20" s="70"/>
      <c r="S20" s="70"/>
      <c r="DJ20" s="71"/>
    </row>
    <row r="21">
      <c r="A21" s="40"/>
      <c r="B21" s="81"/>
      <c r="C21" s="70"/>
      <c r="D21" s="81"/>
      <c r="E21" s="81"/>
      <c r="F21" s="81"/>
      <c r="G21" s="81"/>
      <c r="H21" s="43"/>
      <c r="I21" s="81"/>
      <c r="J21" s="81"/>
      <c r="K21" s="43"/>
      <c r="L21" s="92"/>
      <c r="M21" s="81"/>
      <c r="N21" s="81"/>
      <c r="O21" s="81"/>
      <c r="P21" s="14"/>
      <c r="Q21" s="40"/>
      <c r="R21" s="70"/>
      <c r="S21" s="70"/>
      <c r="DJ21" s="71"/>
    </row>
    <row r="22">
      <c r="A22" s="40"/>
      <c r="B22" s="81"/>
      <c r="C22" s="70"/>
      <c r="D22" s="81"/>
      <c r="E22" s="95"/>
      <c r="F22" s="81"/>
      <c r="G22" s="81"/>
      <c r="H22" s="43"/>
      <c r="I22" s="81"/>
      <c r="J22" s="81"/>
      <c r="K22" s="43"/>
      <c r="L22" s="92"/>
      <c r="M22" s="81"/>
      <c r="N22" s="81"/>
      <c r="O22" s="81"/>
      <c r="P22" s="14"/>
      <c r="Q22" s="40"/>
      <c r="R22" s="70"/>
      <c r="S22" s="70"/>
      <c r="DJ22" s="71"/>
    </row>
    <row r="23">
      <c r="A23" s="40"/>
      <c r="B23" s="81"/>
      <c r="C23" s="70"/>
      <c r="D23" s="81"/>
      <c r="E23" s="95"/>
      <c r="F23" s="81"/>
      <c r="G23" s="81"/>
      <c r="H23" s="43"/>
      <c r="I23" s="81"/>
      <c r="J23" s="81"/>
      <c r="K23" s="43"/>
      <c r="L23" s="92"/>
      <c r="M23" s="81"/>
      <c r="N23" s="81"/>
      <c r="O23" s="81"/>
      <c r="P23" s="14"/>
      <c r="Q23" s="40"/>
      <c r="R23" s="70"/>
      <c r="S23" s="70"/>
      <c r="DJ23" s="71"/>
    </row>
    <row r="24">
      <c r="A24" s="40"/>
      <c r="B24" s="81"/>
      <c r="C24" s="70"/>
      <c r="D24" s="81"/>
      <c r="E24" s="95"/>
      <c r="F24" s="81"/>
      <c r="G24" s="81"/>
      <c r="H24" s="43"/>
      <c r="I24" s="81"/>
      <c r="J24" s="81"/>
      <c r="K24" s="43"/>
      <c r="L24" s="92"/>
      <c r="M24" s="81"/>
      <c r="N24" s="81"/>
      <c r="O24" s="81"/>
      <c r="P24" s="14"/>
      <c r="Q24" s="40"/>
      <c r="R24" s="40"/>
      <c r="S24" s="40"/>
      <c r="DJ24" s="71"/>
    </row>
    <row r="25">
      <c r="A25" s="40"/>
      <c r="B25" s="81"/>
      <c r="C25" s="70"/>
      <c r="D25" s="81"/>
      <c r="E25" s="95"/>
      <c r="F25" s="81"/>
      <c r="G25" s="81"/>
      <c r="H25" s="43"/>
      <c r="I25" s="81"/>
      <c r="J25" s="81"/>
      <c r="K25" s="43"/>
      <c r="L25" s="92"/>
      <c r="M25" s="81"/>
      <c r="N25" s="81"/>
      <c r="O25" s="81"/>
      <c r="P25" s="14"/>
      <c r="Q25" s="40"/>
      <c r="R25" s="70"/>
      <c r="S25" s="70"/>
      <c r="DJ25" s="71"/>
    </row>
    <row r="26">
      <c r="A26" s="40"/>
      <c r="B26" s="81"/>
      <c r="C26" s="70"/>
      <c r="D26" s="81"/>
      <c r="E26" s="95"/>
      <c r="F26" s="81"/>
      <c r="G26" s="81"/>
      <c r="H26" s="43"/>
      <c r="I26" s="81"/>
      <c r="J26" s="81"/>
      <c r="K26" s="43"/>
      <c r="L26" s="92"/>
      <c r="M26" s="81"/>
      <c r="N26" s="81"/>
      <c r="O26" s="81"/>
      <c r="P26" s="14"/>
      <c r="Q26" s="40"/>
      <c r="R26" s="70"/>
      <c r="S26" s="70"/>
      <c r="DJ26" s="71"/>
    </row>
    <row r="27">
      <c r="A27" s="40"/>
      <c r="B27" s="81"/>
      <c r="C27" s="70"/>
      <c r="D27" s="81"/>
      <c r="E27" s="95"/>
      <c r="F27" s="81"/>
      <c r="G27" s="81"/>
      <c r="H27" s="43"/>
      <c r="I27" s="81"/>
      <c r="J27" s="81"/>
      <c r="K27" s="43"/>
      <c r="L27" s="92"/>
      <c r="M27" s="81"/>
      <c r="N27" s="81"/>
      <c r="O27" s="81"/>
      <c r="P27" s="14"/>
      <c r="Q27" s="40"/>
      <c r="R27" s="70"/>
      <c r="S27" s="70"/>
      <c r="DJ27" s="71"/>
    </row>
    <row r="28">
      <c r="A28" s="40"/>
      <c r="B28" s="81"/>
      <c r="C28" s="70"/>
      <c r="D28" s="81"/>
      <c r="E28" s="95"/>
      <c r="F28" s="81"/>
      <c r="G28" s="81"/>
      <c r="H28" s="43"/>
      <c r="I28" s="81"/>
      <c r="J28" s="81"/>
      <c r="K28" s="43"/>
      <c r="L28" s="92"/>
      <c r="M28" s="81"/>
      <c r="N28" s="81"/>
      <c r="O28" s="81"/>
      <c r="P28" s="14"/>
      <c r="Q28" s="40"/>
      <c r="R28" s="70"/>
      <c r="S28" s="70"/>
      <c r="DJ28" s="71"/>
    </row>
    <row r="29">
      <c r="A29" s="40"/>
      <c r="B29" s="81"/>
      <c r="C29" s="70"/>
      <c r="D29" s="81"/>
      <c r="E29" s="95"/>
      <c r="F29" s="81"/>
      <c r="G29" s="81"/>
      <c r="H29" s="43"/>
      <c r="I29" s="81"/>
      <c r="J29" s="81"/>
      <c r="K29" s="43"/>
      <c r="L29" s="92"/>
      <c r="M29" s="81"/>
      <c r="N29" s="81"/>
      <c r="O29" s="81"/>
      <c r="P29" s="14"/>
      <c r="Q29" s="40"/>
      <c r="R29" s="70"/>
      <c r="S29" s="70"/>
      <c r="DJ29" s="71"/>
    </row>
    <row r="30">
      <c r="A30" s="40"/>
      <c r="B30" s="81"/>
      <c r="C30" s="70"/>
      <c r="D30" s="81"/>
      <c r="E30" s="81"/>
      <c r="F30" s="81"/>
      <c r="G30" s="81"/>
      <c r="H30" s="43"/>
      <c r="I30" s="81"/>
      <c r="J30" s="81"/>
      <c r="K30" s="43"/>
      <c r="L30" s="92"/>
      <c r="M30" s="81"/>
      <c r="N30" s="81"/>
      <c r="O30" s="81"/>
      <c r="P30" s="14"/>
      <c r="Q30" s="40"/>
      <c r="R30" s="70"/>
      <c r="S30" s="70"/>
      <c r="DJ30" s="71"/>
    </row>
    <row r="31">
      <c r="A31" s="40"/>
      <c r="B31" s="81"/>
      <c r="C31" s="70"/>
      <c r="D31" s="81"/>
      <c r="E31" s="82"/>
      <c r="F31" s="81"/>
      <c r="G31" s="81"/>
      <c r="H31" s="43"/>
      <c r="I31" s="81"/>
      <c r="J31" s="81"/>
      <c r="K31" s="43"/>
      <c r="L31" s="92"/>
      <c r="M31" s="81"/>
      <c r="N31" s="81"/>
      <c r="O31" s="81"/>
      <c r="P31" s="14"/>
      <c r="Q31" s="40"/>
      <c r="R31" s="70"/>
      <c r="S31" s="70"/>
      <c r="DJ31" s="71"/>
    </row>
    <row r="32">
      <c r="A32" s="40"/>
      <c r="B32" s="81"/>
      <c r="C32" s="70"/>
      <c r="D32" s="81"/>
      <c r="E32" s="82"/>
      <c r="F32" s="81"/>
      <c r="G32" s="81"/>
      <c r="H32" s="43"/>
      <c r="I32" s="81"/>
      <c r="J32" s="81"/>
      <c r="K32" s="43"/>
      <c r="L32" s="92"/>
      <c r="M32" s="81"/>
      <c r="N32" s="81"/>
      <c r="O32" s="81"/>
      <c r="P32" s="14"/>
      <c r="Q32" s="40"/>
      <c r="R32" s="70"/>
      <c r="S32" s="70"/>
      <c r="DJ32" s="71"/>
    </row>
    <row r="33">
      <c r="A33" s="40"/>
      <c r="B33" s="81"/>
      <c r="C33" s="70"/>
      <c r="D33" s="81"/>
      <c r="E33" s="82"/>
      <c r="F33" s="81"/>
      <c r="G33" s="81"/>
      <c r="H33" s="43"/>
      <c r="I33" s="81"/>
      <c r="J33" s="81"/>
      <c r="K33" s="43"/>
      <c r="L33" s="92"/>
      <c r="M33" s="81"/>
      <c r="N33" s="81"/>
      <c r="O33" s="81"/>
      <c r="P33" s="14"/>
      <c r="Q33" s="40"/>
      <c r="R33" s="70"/>
      <c r="S33" s="70"/>
      <c r="DJ33" s="71"/>
    </row>
    <row r="34">
      <c r="A34" s="40"/>
      <c r="B34" s="81"/>
      <c r="C34" s="70"/>
      <c r="D34" s="81"/>
      <c r="E34" s="82"/>
      <c r="F34" s="81"/>
      <c r="G34" s="81"/>
      <c r="H34" s="43"/>
      <c r="I34" s="81"/>
      <c r="J34" s="81"/>
      <c r="K34" s="43"/>
      <c r="L34" s="92"/>
      <c r="M34" s="81"/>
      <c r="N34" s="81"/>
      <c r="O34" s="81"/>
      <c r="P34" s="14"/>
      <c r="Q34" s="40"/>
      <c r="R34" s="70"/>
      <c r="S34" s="70"/>
      <c r="DJ34" s="71"/>
    </row>
    <row r="35">
      <c r="A35" s="40"/>
      <c r="B35" s="81"/>
      <c r="C35" s="70"/>
      <c r="D35" s="81"/>
      <c r="E35" s="82"/>
      <c r="F35" s="81"/>
      <c r="G35" s="81"/>
      <c r="H35" s="43"/>
      <c r="I35" s="81"/>
      <c r="J35" s="81"/>
      <c r="K35" s="43"/>
      <c r="L35" s="43"/>
      <c r="M35" s="81"/>
      <c r="N35" s="81"/>
      <c r="O35" s="81"/>
      <c r="P35" s="14"/>
      <c r="Q35" s="40"/>
      <c r="R35" s="70"/>
      <c r="S35" s="70"/>
      <c r="DJ35" s="71"/>
    </row>
    <row r="36">
      <c r="A36" s="40"/>
      <c r="B36" s="81"/>
      <c r="C36" s="70"/>
      <c r="D36" s="81"/>
      <c r="E36" s="82"/>
      <c r="F36" s="81"/>
      <c r="G36" s="81"/>
      <c r="H36" s="43"/>
      <c r="I36" s="81"/>
      <c r="J36" s="81"/>
      <c r="K36" s="43"/>
      <c r="L36" s="43"/>
      <c r="M36" s="81"/>
      <c r="N36" s="81"/>
      <c r="O36" s="81"/>
      <c r="P36" s="14"/>
      <c r="Q36" s="40"/>
      <c r="R36" s="70"/>
      <c r="S36" s="70"/>
      <c r="DJ36" s="71"/>
    </row>
    <row r="37">
      <c r="A37" s="40"/>
      <c r="B37" s="81"/>
      <c r="C37" s="70"/>
      <c r="D37" s="81"/>
      <c r="E37" s="82"/>
      <c r="F37" s="81"/>
      <c r="G37" s="81"/>
      <c r="H37" s="43"/>
      <c r="I37" s="81"/>
      <c r="J37" s="81"/>
      <c r="K37" s="43"/>
      <c r="L37" s="43"/>
      <c r="M37" s="81"/>
      <c r="N37" s="81"/>
      <c r="O37" s="81"/>
      <c r="P37" s="14"/>
      <c r="Q37" s="40"/>
      <c r="R37" s="70"/>
      <c r="S37" s="70"/>
      <c r="DJ37" s="71"/>
    </row>
    <row r="38">
      <c r="A38" s="40"/>
      <c r="B38" s="81"/>
      <c r="C38" s="70"/>
      <c r="D38" s="81"/>
      <c r="E38" s="82"/>
      <c r="F38" s="81"/>
      <c r="G38" s="81"/>
      <c r="H38" s="43"/>
      <c r="I38" s="81"/>
      <c r="J38" s="81"/>
      <c r="K38" s="43"/>
      <c r="L38" s="43"/>
      <c r="M38" s="81"/>
      <c r="N38" s="81"/>
      <c r="O38" s="81"/>
      <c r="P38" s="14"/>
      <c r="Q38" s="40"/>
      <c r="R38" s="70"/>
      <c r="S38" s="70"/>
      <c r="DJ38" s="71"/>
    </row>
    <row r="39">
      <c r="A39" s="40"/>
      <c r="B39" s="81"/>
      <c r="C39" s="70"/>
      <c r="D39" s="81"/>
      <c r="E39" s="82"/>
      <c r="F39" s="81"/>
      <c r="G39" s="81"/>
      <c r="H39" s="43"/>
      <c r="I39" s="81"/>
      <c r="J39" s="81"/>
      <c r="K39" s="43"/>
      <c r="L39" s="43"/>
      <c r="M39" s="81"/>
      <c r="N39" s="81"/>
      <c r="O39" s="81"/>
      <c r="P39" s="14"/>
      <c r="Q39" s="40"/>
      <c r="R39" s="70"/>
      <c r="S39" s="70"/>
      <c r="DJ39" s="71"/>
    </row>
    <row r="40">
      <c r="A40" s="40"/>
      <c r="B40" s="81"/>
      <c r="C40" s="70"/>
      <c r="D40" s="81"/>
      <c r="E40" s="82"/>
      <c r="F40" s="81"/>
      <c r="G40" s="81"/>
      <c r="H40" s="43"/>
      <c r="I40" s="81"/>
      <c r="J40" s="81"/>
      <c r="K40" s="43"/>
      <c r="L40" s="43"/>
      <c r="M40" s="81"/>
      <c r="N40" s="81"/>
      <c r="O40" s="81"/>
      <c r="P40" s="14"/>
      <c r="Q40" s="40"/>
      <c r="R40" s="70"/>
      <c r="S40" s="70"/>
      <c r="DJ40" s="71"/>
    </row>
    <row r="41">
      <c r="A41" s="40"/>
      <c r="B41" s="81"/>
      <c r="C41" s="70"/>
      <c r="D41" s="81"/>
      <c r="E41" s="82"/>
      <c r="F41" s="81"/>
      <c r="G41" s="81"/>
      <c r="H41" s="43"/>
      <c r="I41" s="81"/>
      <c r="J41" s="81"/>
      <c r="K41" s="43"/>
      <c r="L41" s="43"/>
      <c r="M41" s="81"/>
      <c r="N41" s="81"/>
      <c r="O41" s="81"/>
      <c r="P41" s="14"/>
      <c r="Q41" s="40"/>
      <c r="R41" s="70"/>
      <c r="S41" s="70"/>
      <c r="DJ41" s="71"/>
    </row>
    <row r="42">
      <c r="A42" s="40"/>
      <c r="B42" s="81"/>
      <c r="C42" s="70"/>
      <c r="D42" s="81"/>
      <c r="E42" s="82"/>
      <c r="F42" s="81"/>
      <c r="G42" s="81"/>
      <c r="H42" s="43"/>
      <c r="I42" s="81"/>
      <c r="J42" s="81"/>
      <c r="K42" s="43"/>
      <c r="L42" s="43"/>
      <c r="M42" s="81"/>
      <c r="N42" s="81"/>
      <c r="O42" s="81"/>
      <c r="P42" s="14"/>
      <c r="Q42" s="40"/>
      <c r="R42" s="70"/>
      <c r="S42" s="70"/>
      <c r="DJ42" s="71"/>
    </row>
    <row r="43">
      <c r="A43" s="40"/>
      <c r="B43" s="81"/>
      <c r="C43" s="70"/>
      <c r="D43" s="81"/>
      <c r="E43" s="82"/>
      <c r="F43" s="81"/>
      <c r="G43" s="81"/>
      <c r="H43" s="43"/>
      <c r="I43" s="81"/>
      <c r="J43" s="81"/>
      <c r="K43" s="43"/>
      <c r="L43" s="43"/>
      <c r="M43" s="81"/>
      <c r="N43" s="81"/>
      <c r="O43" s="81"/>
      <c r="P43" s="14"/>
      <c r="Q43" s="40"/>
      <c r="R43" s="40"/>
      <c r="S43" s="40"/>
      <c r="DJ43" s="71"/>
    </row>
    <row r="44">
      <c r="A44" s="40"/>
      <c r="B44" s="81"/>
      <c r="C44" s="70"/>
      <c r="D44" s="81"/>
      <c r="E44" s="82"/>
      <c r="F44" s="81"/>
      <c r="G44" s="81"/>
      <c r="H44" s="43"/>
      <c r="I44" s="81"/>
      <c r="J44" s="81"/>
      <c r="K44" s="43"/>
      <c r="L44" s="43"/>
      <c r="M44" s="81"/>
      <c r="N44" s="81"/>
      <c r="O44" s="81"/>
      <c r="P44" s="14"/>
      <c r="Q44" s="40"/>
      <c r="R44" s="70"/>
      <c r="S44" s="70"/>
      <c r="DJ44" s="71"/>
    </row>
    <row r="45">
      <c r="A45" s="40"/>
      <c r="B45" s="81"/>
      <c r="C45" s="70"/>
      <c r="D45" s="81"/>
      <c r="E45" s="82"/>
      <c r="F45" s="81"/>
      <c r="G45" s="81"/>
      <c r="H45" s="43"/>
      <c r="I45" s="81"/>
      <c r="J45" s="81"/>
      <c r="K45" s="43"/>
      <c r="L45" s="43"/>
      <c r="M45" s="81"/>
      <c r="N45" s="81"/>
      <c r="O45" s="81"/>
      <c r="P45" s="14"/>
      <c r="Q45" s="40"/>
      <c r="R45" s="70"/>
      <c r="S45" s="70"/>
      <c r="DJ45" s="71"/>
    </row>
    <row r="46">
      <c r="A46" s="40"/>
      <c r="B46" s="81"/>
      <c r="C46" s="70"/>
      <c r="D46" s="81"/>
      <c r="E46" s="82"/>
      <c r="F46" s="81"/>
      <c r="G46" s="81"/>
      <c r="H46" s="43"/>
      <c r="I46" s="81"/>
      <c r="J46" s="81"/>
      <c r="K46" s="43"/>
      <c r="L46" s="43"/>
      <c r="M46" s="81"/>
      <c r="N46" s="81"/>
      <c r="O46" s="81"/>
      <c r="P46" s="14"/>
      <c r="Q46" s="40"/>
      <c r="R46" s="70"/>
      <c r="S46" s="70"/>
      <c r="DJ46" s="71"/>
    </row>
    <row r="47">
      <c r="A47" s="40"/>
      <c r="B47" s="81"/>
      <c r="C47" s="70"/>
      <c r="D47" s="81"/>
      <c r="E47" s="82"/>
      <c r="F47" s="81"/>
      <c r="G47" s="81"/>
      <c r="H47" s="43"/>
      <c r="I47" s="81"/>
      <c r="J47" s="81"/>
      <c r="K47" s="43"/>
      <c r="L47" s="43"/>
      <c r="M47" s="81"/>
      <c r="N47" s="81"/>
      <c r="O47" s="81"/>
      <c r="P47" s="14"/>
      <c r="Q47" s="40"/>
      <c r="R47" s="40"/>
      <c r="S47" s="40"/>
      <c r="DJ47" s="71"/>
    </row>
    <row r="48">
      <c r="A48" s="40"/>
      <c r="B48" s="81"/>
      <c r="C48" s="70"/>
      <c r="D48" s="81"/>
      <c r="E48" s="82"/>
      <c r="F48" s="81"/>
      <c r="G48" s="81"/>
      <c r="H48" s="43"/>
      <c r="I48" s="81"/>
      <c r="J48" s="81"/>
      <c r="K48" s="43"/>
      <c r="L48" s="43"/>
      <c r="M48" s="81"/>
      <c r="N48" s="81"/>
      <c r="O48" s="81"/>
      <c r="P48" s="14"/>
      <c r="Q48" s="40"/>
      <c r="R48" s="40"/>
      <c r="S48" s="70"/>
      <c r="DJ48" s="71"/>
    </row>
    <row r="49">
      <c r="A49" s="40"/>
      <c r="B49" s="81"/>
      <c r="C49" s="70"/>
      <c r="D49" s="81"/>
      <c r="E49" s="82"/>
      <c r="F49" s="81"/>
      <c r="G49" s="81"/>
      <c r="H49" s="43"/>
      <c r="I49" s="81"/>
      <c r="J49" s="81"/>
      <c r="K49" s="43"/>
      <c r="L49" s="43"/>
      <c r="M49" s="81"/>
      <c r="N49" s="81"/>
      <c r="O49" s="81"/>
      <c r="P49" s="14"/>
      <c r="Q49" s="40"/>
      <c r="R49" s="40"/>
      <c r="S49" s="70"/>
      <c r="DJ49" s="71"/>
    </row>
    <row r="50">
      <c r="A50" s="40"/>
      <c r="B50" s="81"/>
      <c r="C50" s="70"/>
      <c r="D50" s="81"/>
      <c r="E50" s="82"/>
      <c r="F50" s="81"/>
      <c r="G50" s="81"/>
      <c r="H50" s="43"/>
      <c r="I50" s="81"/>
      <c r="J50" s="81"/>
      <c r="K50" s="43"/>
      <c r="L50" s="43"/>
      <c r="M50" s="81"/>
      <c r="N50" s="81"/>
      <c r="O50" s="81"/>
      <c r="P50" s="14"/>
      <c r="Q50" s="40"/>
      <c r="R50" s="40"/>
      <c r="S50" s="70"/>
      <c r="DJ50" s="71"/>
    </row>
    <row r="51">
      <c r="A51" s="40"/>
      <c r="B51" s="81"/>
      <c r="C51" s="70"/>
      <c r="D51" s="81"/>
      <c r="E51" s="82"/>
      <c r="F51" s="81"/>
      <c r="G51" s="81"/>
      <c r="H51" s="43"/>
      <c r="I51" s="81"/>
      <c r="J51" s="81"/>
      <c r="K51" s="43"/>
      <c r="L51" s="43"/>
      <c r="M51" s="81"/>
      <c r="N51" s="81"/>
      <c r="O51" s="81"/>
      <c r="P51" s="14"/>
      <c r="Q51" s="40"/>
      <c r="R51" s="40"/>
      <c r="S51" s="70"/>
      <c r="DJ51" s="71"/>
    </row>
    <row r="52">
      <c r="A52" s="40"/>
      <c r="B52" s="81"/>
      <c r="C52" s="70"/>
      <c r="D52" s="81"/>
      <c r="E52" s="82"/>
      <c r="F52" s="81"/>
      <c r="G52" s="81"/>
      <c r="H52" s="43"/>
      <c r="I52" s="81"/>
      <c r="J52" s="81"/>
      <c r="K52" s="43"/>
      <c r="L52" s="43"/>
      <c r="M52" s="81"/>
      <c r="N52" s="81"/>
      <c r="O52" s="81"/>
      <c r="P52" s="14"/>
      <c r="Q52" s="40"/>
      <c r="R52" s="40"/>
      <c r="S52" s="70"/>
      <c r="DJ52" s="71"/>
    </row>
    <row r="53">
      <c r="A53" s="40"/>
      <c r="B53" s="81"/>
      <c r="C53" s="70"/>
      <c r="D53" s="81"/>
      <c r="E53" s="82"/>
      <c r="F53" s="81"/>
      <c r="G53" s="81"/>
      <c r="H53" s="43"/>
      <c r="I53" s="81"/>
      <c r="J53" s="81"/>
      <c r="K53" s="43"/>
      <c r="L53" s="43"/>
      <c r="M53" s="81"/>
      <c r="N53" s="81"/>
      <c r="O53" s="81"/>
      <c r="P53" s="14"/>
      <c r="Q53" s="40"/>
      <c r="R53" s="40"/>
      <c r="S53" s="40"/>
      <c r="DJ53" s="71"/>
    </row>
    <row r="54">
      <c r="A54" s="40"/>
      <c r="B54" s="81"/>
      <c r="C54" s="70"/>
      <c r="D54" s="81"/>
      <c r="E54" s="82"/>
      <c r="F54" s="81"/>
      <c r="G54" s="81"/>
      <c r="H54" s="43"/>
      <c r="I54" s="81"/>
      <c r="J54" s="81"/>
      <c r="K54" s="43"/>
      <c r="L54" s="43"/>
      <c r="M54" s="81"/>
      <c r="N54" s="81"/>
      <c r="O54" s="81"/>
      <c r="P54" s="14"/>
      <c r="Q54" s="40"/>
      <c r="R54" s="70"/>
      <c r="S54" s="70"/>
      <c r="DJ54" s="71"/>
    </row>
    <row r="55">
      <c r="A55" s="40"/>
      <c r="B55" s="81"/>
      <c r="C55" s="70"/>
      <c r="D55" s="81"/>
      <c r="E55" s="82"/>
      <c r="F55" s="81"/>
      <c r="G55" s="81"/>
      <c r="H55" s="43"/>
      <c r="I55" s="81"/>
      <c r="J55" s="81"/>
      <c r="K55" s="43"/>
      <c r="L55" s="43"/>
      <c r="M55" s="81"/>
      <c r="N55" s="81"/>
      <c r="O55" s="81"/>
      <c r="P55" s="14"/>
      <c r="Q55" s="40"/>
      <c r="R55" s="70"/>
      <c r="S55" s="70"/>
      <c r="DJ55" s="71"/>
    </row>
    <row r="56">
      <c r="A56" s="40"/>
      <c r="B56" s="81"/>
      <c r="C56" s="70"/>
      <c r="D56" s="81"/>
      <c r="E56" s="82"/>
      <c r="F56" s="81"/>
      <c r="G56" s="81"/>
      <c r="H56" s="43"/>
      <c r="I56" s="81"/>
      <c r="J56" s="81"/>
      <c r="K56" s="43"/>
      <c r="L56" s="43"/>
      <c r="M56" s="81"/>
      <c r="N56" s="81"/>
      <c r="O56" s="81"/>
      <c r="P56" s="14"/>
      <c r="Q56" s="40"/>
      <c r="R56" s="70"/>
      <c r="S56" s="70"/>
      <c r="DJ56" s="71"/>
    </row>
    <row r="57">
      <c r="A57" s="40"/>
      <c r="B57" s="81"/>
      <c r="C57" s="70"/>
      <c r="D57" s="81"/>
      <c r="E57" s="82"/>
      <c r="F57" s="81"/>
      <c r="G57" s="81"/>
      <c r="H57" s="43"/>
      <c r="I57" s="81"/>
      <c r="J57" s="81"/>
      <c r="K57" s="43"/>
      <c r="L57" s="43"/>
      <c r="M57" s="81"/>
      <c r="N57" s="81"/>
      <c r="O57" s="81"/>
      <c r="P57" s="14"/>
      <c r="Q57" s="40"/>
      <c r="R57" s="70"/>
      <c r="S57" s="70"/>
      <c r="DJ57" s="71"/>
    </row>
    <row r="58">
      <c r="A58" s="40"/>
      <c r="B58" s="81"/>
      <c r="C58" s="70"/>
      <c r="D58" s="81"/>
      <c r="E58" s="82"/>
      <c r="F58" s="81"/>
      <c r="G58" s="81"/>
      <c r="H58" s="43"/>
      <c r="I58" s="81"/>
      <c r="J58" s="81"/>
      <c r="K58" s="43"/>
      <c r="L58" s="43"/>
      <c r="M58" s="81"/>
      <c r="N58" s="81"/>
      <c r="O58" s="81"/>
      <c r="P58" s="14"/>
      <c r="Q58" s="40"/>
      <c r="R58" s="40"/>
      <c r="S58" s="70"/>
      <c r="DJ58" s="71"/>
    </row>
    <row r="59">
      <c r="A59" s="40"/>
      <c r="B59" s="81"/>
      <c r="C59" s="70"/>
      <c r="D59" s="81"/>
      <c r="E59" s="82"/>
      <c r="F59" s="81"/>
      <c r="G59" s="81"/>
      <c r="H59" s="43"/>
      <c r="I59" s="81"/>
      <c r="J59" s="81"/>
      <c r="K59" s="43"/>
      <c r="L59" s="43"/>
      <c r="M59" s="81"/>
      <c r="N59" s="81"/>
      <c r="O59" s="81"/>
      <c r="P59" s="14"/>
      <c r="Q59" s="40"/>
      <c r="R59" s="40"/>
      <c r="S59" s="70"/>
      <c r="DJ59" s="71"/>
    </row>
    <row r="60">
      <c r="A60" s="40"/>
      <c r="B60" s="81"/>
      <c r="C60" s="70"/>
      <c r="D60" s="81"/>
      <c r="E60" s="82"/>
      <c r="F60" s="81"/>
      <c r="G60" s="81"/>
      <c r="H60" s="43"/>
      <c r="I60" s="81"/>
      <c r="J60" s="81"/>
      <c r="K60" s="43"/>
      <c r="L60" s="43"/>
      <c r="M60" s="81"/>
      <c r="N60" s="81"/>
      <c r="O60" s="81"/>
      <c r="P60" s="14"/>
      <c r="Q60" s="40"/>
      <c r="R60" s="40"/>
      <c r="S60" s="70"/>
      <c r="DJ60" s="71"/>
    </row>
    <row r="61">
      <c r="A61" s="40"/>
      <c r="B61" s="81"/>
      <c r="C61" s="70"/>
      <c r="D61" s="81"/>
      <c r="E61" s="82"/>
      <c r="F61" s="81"/>
      <c r="G61" s="81"/>
      <c r="H61" s="43"/>
      <c r="I61" s="81"/>
      <c r="J61" s="81"/>
      <c r="K61" s="43"/>
      <c r="L61" s="43"/>
      <c r="M61" s="81"/>
      <c r="N61" s="81"/>
      <c r="O61" s="81"/>
      <c r="P61" s="14"/>
      <c r="Q61" s="40"/>
      <c r="R61" s="40"/>
      <c r="S61" s="70"/>
      <c r="DJ61" s="71"/>
    </row>
    <row r="62">
      <c r="A62" s="40"/>
      <c r="B62" s="81"/>
      <c r="C62" s="70"/>
      <c r="D62" s="81"/>
      <c r="E62" s="82"/>
      <c r="F62" s="81"/>
      <c r="G62" s="81"/>
      <c r="H62" s="43"/>
      <c r="I62" s="81"/>
      <c r="J62" s="81"/>
      <c r="K62" s="43"/>
      <c r="L62" s="43"/>
      <c r="M62" s="81"/>
      <c r="N62" s="81"/>
      <c r="O62" s="81"/>
      <c r="P62" s="14"/>
      <c r="Q62" s="40"/>
      <c r="R62" s="40"/>
      <c r="S62" s="70"/>
      <c r="DJ62" s="71"/>
    </row>
    <row r="63">
      <c r="A63" s="40"/>
      <c r="B63" s="81"/>
      <c r="C63" s="70"/>
      <c r="D63" s="81"/>
      <c r="E63" s="82"/>
      <c r="F63" s="81"/>
      <c r="G63" s="81"/>
      <c r="H63" s="43"/>
      <c r="I63" s="81"/>
      <c r="J63" s="81"/>
      <c r="K63" s="43"/>
      <c r="L63" s="43"/>
      <c r="M63" s="81"/>
      <c r="N63" s="81"/>
      <c r="O63" s="81"/>
      <c r="P63" s="14"/>
      <c r="Q63" s="40"/>
      <c r="R63" s="40"/>
      <c r="S63" s="70"/>
      <c r="DJ63" s="71"/>
    </row>
    <row r="64">
      <c r="A64" s="40"/>
      <c r="B64" s="81"/>
      <c r="C64" s="70"/>
      <c r="D64" s="81"/>
      <c r="E64" s="82"/>
      <c r="F64" s="81"/>
      <c r="G64" s="81"/>
      <c r="H64" s="43"/>
      <c r="I64" s="81"/>
      <c r="J64" s="81"/>
      <c r="K64" s="43"/>
      <c r="L64" s="43"/>
      <c r="M64" s="81"/>
      <c r="N64" s="81"/>
      <c r="O64" s="81"/>
      <c r="P64" s="14"/>
      <c r="Q64" s="40"/>
      <c r="R64" s="40"/>
      <c r="S64" s="70"/>
      <c r="DJ64" s="71"/>
    </row>
    <row r="65">
      <c r="A65" s="40"/>
      <c r="B65" s="81"/>
      <c r="C65" s="70"/>
      <c r="D65" s="81"/>
      <c r="E65" s="82"/>
      <c r="F65" s="81"/>
      <c r="G65" s="81"/>
      <c r="H65" s="43"/>
      <c r="I65" s="81"/>
      <c r="J65" s="81"/>
      <c r="K65" s="43"/>
      <c r="L65" s="43"/>
      <c r="M65" s="81"/>
      <c r="N65" s="81"/>
      <c r="O65" s="81"/>
      <c r="P65" s="14"/>
      <c r="Q65" s="40"/>
      <c r="R65" s="40"/>
      <c r="S65" s="70"/>
      <c r="DJ65" s="71"/>
    </row>
    <row r="66">
      <c r="A66" s="40"/>
      <c r="B66" s="81"/>
      <c r="C66" s="70"/>
      <c r="D66" s="81"/>
      <c r="E66" s="82"/>
      <c r="F66" s="81"/>
      <c r="G66" s="81"/>
      <c r="H66" s="43"/>
      <c r="I66" s="81"/>
      <c r="J66" s="81"/>
      <c r="K66" s="43"/>
      <c r="L66" s="43"/>
      <c r="M66" s="81"/>
      <c r="N66" s="81"/>
      <c r="O66" s="81"/>
      <c r="P66" s="14"/>
      <c r="Q66" s="40"/>
      <c r="R66" s="40"/>
      <c r="S66" s="70"/>
      <c r="DJ66" s="71"/>
    </row>
    <row r="67">
      <c r="A67" s="40"/>
      <c r="B67" s="81"/>
      <c r="C67" s="70"/>
      <c r="D67" s="81"/>
      <c r="E67" s="82"/>
      <c r="F67" s="81"/>
      <c r="G67" s="81"/>
      <c r="H67" s="43"/>
      <c r="I67" s="81"/>
      <c r="J67" s="81"/>
      <c r="K67" s="43"/>
      <c r="L67" s="43"/>
      <c r="M67" s="81"/>
      <c r="N67" s="81"/>
      <c r="O67" s="81"/>
      <c r="P67" s="14"/>
      <c r="Q67" s="40"/>
      <c r="R67" s="40"/>
      <c r="S67" s="70"/>
      <c r="DJ67" s="71"/>
    </row>
    <row r="68">
      <c r="A68" s="40"/>
      <c r="C68" s="70"/>
      <c r="D68" s="81"/>
      <c r="E68" s="82"/>
      <c r="F68" s="81"/>
      <c r="G68" s="81"/>
      <c r="H68" s="43"/>
      <c r="I68" s="81"/>
      <c r="J68" s="81"/>
      <c r="K68" s="43"/>
      <c r="L68" s="43"/>
      <c r="M68" s="81"/>
      <c r="N68" s="81"/>
      <c r="O68" s="81"/>
      <c r="P68" s="14"/>
      <c r="Q68" s="40"/>
      <c r="R68" s="40"/>
      <c r="S68" s="70"/>
      <c r="DJ68" s="71"/>
    </row>
    <row r="69">
      <c r="A69" s="40"/>
      <c r="B69" s="81"/>
      <c r="C69" s="70"/>
      <c r="D69" s="81"/>
      <c r="E69" s="82"/>
      <c r="F69" s="81"/>
      <c r="G69" s="81"/>
      <c r="H69" s="43"/>
      <c r="I69" s="81"/>
      <c r="J69" s="81"/>
      <c r="K69" s="43"/>
      <c r="L69" s="43"/>
      <c r="M69" s="81"/>
      <c r="N69" s="81"/>
      <c r="O69" s="81"/>
      <c r="P69" s="14"/>
      <c r="Q69" s="40"/>
      <c r="R69" s="40"/>
      <c r="S69" s="70"/>
      <c r="DJ69" s="71"/>
    </row>
    <row r="70">
      <c r="A70" s="40"/>
      <c r="I70" s="22"/>
      <c r="J70" s="22"/>
    </row>
    <row r="71">
      <c r="A71" s="40"/>
      <c r="I71" s="22"/>
      <c r="J71" s="22"/>
    </row>
    <row r="72">
      <c r="A72" s="40"/>
      <c r="I72" s="22"/>
      <c r="J72" s="22"/>
    </row>
    <row r="73">
      <c r="A73" s="40"/>
      <c r="I73" s="22"/>
      <c r="J73" s="22"/>
    </row>
    <row r="74">
      <c r="A74" s="40"/>
      <c r="I74" s="22"/>
      <c r="J74" s="22"/>
    </row>
    <row r="75">
      <c r="A75" s="40"/>
      <c r="I75" s="22"/>
      <c r="J75" s="22"/>
    </row>
    <row r="76">
      <c r="A76" s="40"/>
      <c r="I76" s="22"/>
      <c r="J76" s="22"/>
    </row>
    <row r="77">
      <c r="A77" s="40"/>
      <c r="I77" s="22"/>
      <c r="J77" s="22"/>
    </row>
    <row r="78">
      <c r="A78" s="40"/>
      <c r="I78" s="22"/>
      <c r="J78" s="22"/>
    </row>
    <row r="79">
      <c r="I79" s="22"/>
      <c r="J79" s="22"/>
      <c r="P79" s="96"/>
    </row>
    <row r="80">
      <c r="I80" s="22"/>
      <c r="J80" s="22"/>
      <c r="P80" s="96"/>
    </row>
    <row r="81">
      <c r="I81" s="22"/>
      <c r="J81" s="22"/>
      <c r="P81" s="96"/>
    </row>
    <row r="82">
      <c r="I82" s="22"/>
      <c r="J82" s="22"/>
      <c r="P82" s="96"/>
    </row>
    <row r="83">
      <c r="I83" s="22"/>
      <c r="J83" s="22"/>
      <c r="P83" s="96"/>
    </row>
    <row r="84">
      <c r="I84" s="22"/>
      <c r="J84" s="22"/>
      <c r="P84" s="96"/>
    </row>
    <row r="85">
      <c r="I85" s="22"/>
      <c r="J85" s="22"/>
      <c r="P85" s="96"/>
    </row>
    <row r="86">
      <c r="I86" s="22"/>
      <c r="J86" s="22"/>
      <c r="P86" s="96"/>
    </row>
    <row r="87">
      <c r="I87" s="22"/>
      <c r="J87" s="22"/>
      <c r="P87" s="96"/>
    </row>
    <row r="88">
      <c r="I88" s="22"/>
      <c r="J88" s="22"/>
      <c r="P88" s="96"/>
    </row>
    <row r="89">
      <c r="I89" s="22"/>
      <c r="J89" s="22"/>
      <c r="P89" s="96"/>
    </row>
    <row r="90">
      <c r="I90" s="22"/>
      <c r="J90" s="22"/>
      <c r="P90" s="96"/>
    </row>
    <row r="91">
      <c r="I91" s="22"/>
      <c r="J91" s="22"/>
      <c r="P91" s="96"/>
    </row>
    <row r="92">
      <c r="I92" s="22"/>
      <c r="J92" s="22"/>
      <c r="P92" s="96"/>
    </row>
    <row r="93">
      <c r="I93" s="22"/>
      <c r="J93" s="22"/>
    </row>
    <row r="94">
      <c r="I94" s="22"/>
      <c r="J94" s="22"/>
    </row>
    <row r="95">
      <c r="I95" s="22"/>
      <c r="J95" s="22"/>
    </row>
    <row r="96">
      <c r="I96" s="22"/>
      <c r="J96" s="22"/>
    </row>
    <row r="97">
      <c r="I97" s="22"/>
      <c r="J97" s="22"/>
    </row>
    <row r="98">
      <c r="I98" s="22"/>
      <c r="J98" s="22"/>
    </row>
    <row r="99">
      <c r="I99" s="22"/>
      <c r="J99" s="22"/>
    </row>
    <row r="100">
      <c r="I100" s="22"/>
      <c r="J100" s="22"/>
    </row>
    <row r="101">
      <c r="I101" s="22"/>
      <c r="J101" s="22"/>
    </row>
    <row r="102">
      <c r="I102" s="22"/>
      <c r="J102" s="22"/>
    </row>
    <row r="103">
      <c r="I103" s="22"/>
      <c r="J103" s="22"/>
    </row>
    <row r="104">
      <c r="I104" s="22"/>
      <c r="J104" s="22"/>
    </row>
    <row r="105">
      <c r="I105" s="22"/>
      <c r="J105" s="22"/>
    </row>
    <row r="106">
      <c r="I106" s="22"/>
      <c r="J106" s="22"/>
    </row>
    <row r="107">
      <c r="I107" s="22"/>
      <c r="J107" s="22"/>
    </row>
    <row r="108">
      <c r="I108" s="22"/>
      <c r="J108" s="22"/>
    </row>
    <row r="109">
      <c r="I109" s="22"/>
      <c r="J109" s="22"/>
    </row>
    <row r="110">
      <c r="I110" s="22"/>
      <c r="J110" s="22"/>
    </row>
    <row r="111">
      <c r="I111" s="22"/>
      <c r="J111" s="22"/>
    </row>
    <row r="112">
      <c r="I112" s="22"/>
      <c r="J112" s="22"/>
    </row>
    <row r="113">
      <c r="I113" s="22"/>
      <c r="J113" s="22"/>
    </row>
    <row r="114">
      <c r="I114" s="22"/>
      <c r="J114" s="22"/>
    </row>
    <row r="115">
      <c r="I115" s="22"/>
      <c r="J115" s="22"/>
    </row>
    <row r="116">
      <c r="I116" s="22"/>
      <c r="J116" s="22"/>
    </row>
    <row r="117">
      <c r="I117" s="22"/>
      <c r="J117" s="22"/>
    </row>
    <row r="118">
      <c r="I118" s="22"/>
      <c r="J118" s="22"/>
    </row>
    <row r="119">
      <c r="I119" s="22"/>
      <c r="J119" s="22"/>
    </row>
    <row r="120">
      <c r="I120" s="22"/>
      <c r="J120" s="22"/>
    </row>
    <row r="121">
      <c r="I121" s="22"/>
      <c r="J121" s="22"/>
    </row>
    <row r="122">
      <c r="I122" s="22"/>
      <c r="J122" s="22"/>
    </row>
    <row r="123">
      <c r="I123" s="22"/>
      <c r="J123" s="22"/>
    </row>
    <row r="124">
      <c r="I124" s="22"/>
      <c r="J124" s="22"/>
    </row>
    <row r="125">
      <c r="I125" s="22"/>
      <c r="J125" s="22"/>
    </row>
    <row r="126">
      <c r="I126" s="22"/>
      <c r="J126" s="22"/>
    </row>
    <row r="127">
      <c r="I127" s="22"/>
      <c r="J127" s="22"/>
    </row>
    <row r="128">
      <c r="I128" s="22"/>
      <c r="J128" s="22"/>
    </row>
    <row r="129">
      <c r="I129" s="22"/>
      <c r="J129" s="22"/>
    </row>
    <row r="130">
      <c r="I130" s="22"/>
      <c r="J130" s="22"/>
    </row>
    <row r="131">
      <c r="I131" s="22"/>
      <c r="J131" s="22"/>
    </row>
    <row r="132">
      <c r="I132" s="22"/>
      <c r="J132" s="22"/>
    </row>
    <row r="133">
      <c r="I133" s="22"/>
      <c r="J133" s="22"/>
    </row>
    <row r="134">
      <c r="I134" s="22"/>
      <c r="J134" s="22"/>
    </row>
    <row r="135">
      <c r="I135" s="22"/>
      <c r="J135" s="22"/>
    </row>
    <row r="136">
      <c r="I136" s="22"/>
      <c r="J136" s="22"/>
    </row>
    <row r="137">
      <c r="I137" s="22"/>
      <c r="J137" s="22"/>
    </row>
    <row r="138">
      <c r="I138" s="22"/>
      <c r="J138" s="22"/>
    </row>
    <row r="139">
      <c r="I139" s="22"/>
      <c r="J139" s="22"/>
    </row>
    <row r="140">
      <c r="I140" s="22"/>
      <c r="J140" s="22"/>
    </row>
    <row r="141">
      <c r="I141" s="22"/>
      <c r="J141" s="22"/>
    </row>
    <row r="142">
      <c r="I142" s="22"/>
      <c r="J142" s="22"/>
    </row>
    <row r="143">
      <c r="I143" s="22"/>
      <c r="J143" s="22"/>
    </row>
    <row r="144">
      <c r="I144" s="22"/>
      <c r="J144" s="22"/>
    </row>
    <row r="145">
      <c r="I145" s="22"/>
      <c r="J145" s="22"/>
    </row>
    <row r="146">
      <c r="I146" s="22"/>
      <c r="J146" s="22"/>
    </row>
    <row r="147">
      <c r="I147" s="22"/>
      <c r="J147" s="22"/>
    </row>
    <row r="148">
      <c r="I148" s="22"/>
      <c r="J148" s="22"/>
    </row>
    <row r="149">
      <c r="I149" s="22"/>
      <c r="J149" s="22"/>
    </row>
    <row r="150">
      <c r="I150" s="22"/>
      <c r="J150" s="22"/>
    </row>
    <row r="151">
      <c r="I151" s="22"/>
      <c r="J151" s="22"/>
    </row>
    <row r="152">
      <c r="I152" s="22"/>
      <c r="J152" s="22"/>
    </row>
    <row r="153">
      <c r="I153" s="22"/>
      <c r="J153" s="22"/>
    </row>
    <row r="154">
      <c r="I154" s="22"/>
      <c r="J154" s="22"/>
    </row>
    <row r="155">
      <c r="I155" s="22"/>
      <c r="J155" s="22"/>
    </row>
    <row r="156">
      <c r="I156" s="22"/>
      <c r="J156" s="22"/>
    </row>
    <row r="157">
      <c r="I157" s="22"/>
      <c r="J157" s="22"/>
    </row>
    <row r="158">
      <c r="I158" s="22"/>
      <c r="J158" s="22"/>
    </row>
    <row r="159">
      <c r="I159" s="22"/>
      <c r="J159" s="22"/>
    </row>
    <row r="160">
      <c r="I160" s="22"/>
      <c r="J160" s="22"/>
    </row>
    <row r="161">
      <c r="I161" s="22"/>
      <c r="J161" s="22"/>
    </row>
    <row r="162">
      <c r="I162" s="22"/>
      <c r="J162" s="22"/>
    </row>
    <row r="163">
      <c r="I163" s="22"/>
      <c r="J163" s="22"/>
    </row>
    <row r="164">
      <c r="I164" s="22"/>
      <c r="J164" s="22"/>
    </row>
    <row r="165">
      <c r="I165" s="22"/>
      <c r="J165" s="22"/>
    </row>
    <row r="166">
      <c r="I166" s="22"/>
      <c r="J166" s="22"/>
    </row>
    <row r="167">
      <c r="I167" s="22"/>
      <c r="J167" s="22"/>
    </row>
    <row r="168">
      <c r="I168" s="22"/>
      <c r="J168" s="22"/>
    </row>
    <row r="169">
      <c r="I169" s="22"/>
      <c r="J169" s="22"/>
    </row>
    <row r="170">
      <c r="I170" s="22"/>
      <c r="J170" s="22"/>
    </row>
    <row r="171">
      <c r="I171" s="22"/>
      <c r="J171" s="22"/>
    </row>
    <row r="172">
      <c r="I172" s="22"/>
      <c r="J172" s="22"/>
    </row>
    <row r="173">
      <c r="I173" s="22"/>
      <c r="J173" s="22"/>
    </row>
    <row r="174">
      <c r="I174" s="22"/>
      <c r="J174" s="22"/>
    </row>
    <row r="175">
      <c r="I175" s="22"/>
      <c r="J175" s="22"/>
    </row>
    <row r="176">
      <c r="I176" s="22"/>
      <c r="J176" s="22"/>
    </row>
    <row r="177">
      <c r="I177" s="22"/>
      <c r="J177" s="22"/>
    </row>
    <row r="178">
      <c r="I178" s="22"/>
      <c r="J178" s="22"/>
    </row>
    <row r="179">
      <c r="I179" s="22"/>
      <c r="J179" s="22"/>
    </row>
    <row r="180">
      <c r="I180" s="22"/>
      <c r="J180" s="22"/>
    </row>
    <row r="181">
      <c r="I181" s="22"/>
      <c r="J181" s="22"/>
    </row>
    <row r="182">
      <c r="I182" s="22"/>
      <c r="J182" s="22"/>
    </row>
    <row r="183">
      <c r="I183" s="22"/>
      <c r="J183" s="22"/>
    </row>
    <row r="184">
      <c r="I184" s="22"/>
      <c r="J184" s="22"/>
    </row>
    <row r="185">
      <c r="I185" s="22"/>
      <c r="J185" s="22"/>
    </row>
    <row r="186">
      <c r="I186" s="22"/>
      <c r="J186" s="22"/>
    </row>
    <row r="187">
      <c r="I187" s="22"/>
      <c r="J187" s="22"/>
    </row>
    <row r="188">
      <c r="I188" s="22"/>
      <c r="J188" s="22"/>
    </row>
    <row r="189">
      <c r="I189" s="22"/>
      <c r="J189" s="22"/>
    </row>
    <row r="190">
      <c r="I190" s="22"/>
      <c r="J190" s="22"/>
    </row>
    <row r="191">
      <c r="I191" s="22"/>
      <c r="J191" s="22"/>
    </row>
    <row r="192">
      <c r="I192" s="22"/>
      <c r="J192" s="22"/>
    </row>
    <row r="193">
      <c r="I193" s="22"/>
      <c r="J193" s="22"/>
    </row>
    <row r="194">
      <c r="I194" s="22"/>
      <c r="J194" s="22"/>
    </row>
    <row r="195">
      <c r="I195" s="22"/>
      <c r="J195" s="22"/>
    </row>
    <row r="196">
      <c r="I196" s="22"/>
      <c r="J196" s="22"/>
    </row>
    <row r="197">
      <c r="I197" s="22"/>
      <c r="J197" s="22"/>
    </row>
    <row r="198">
      <c r="I198" s="22"/>
      <c r="J198" s="22"/>
    </row>
    <row r="199">
      <c r="I199" s="22"/>
      <c r="J199" s="22"/>
    </row>
    <row r="200">
      <c r="I200" s="22"/>
      <c r="J200" s="22"/>
    </row>
    <row r="201">
      <c r="I201" s="22"/>
      <c r="J201" s="22"/>
    </row>
    <row r="202">
      <c r="I202" s="22"/>
      <c r="J202" s="22"/>
    </row>
    <row r="203">
      <c r="I203" s="22"/>
      <c r="J203" s="22"/>
    </row>
    <row r="204">
      <c r="I204" s="22"/>
      <c r="J204" s="22"/>
    </row>
    <row r="205">
      <c r="I205" s="22"/>
      <c r="J205" s="22"/>
    </row>
    <row r="206">
      <c r="I206" s="22"/>
      <c r="J206" s="22"/>
    </row>
    <row r="207">
      <c r="I207" s="22"/>
      <c r="J207" s="22"/>
    </row>
    <row r="208">
      <c r="I208" s="22"/>
      <c r="J208" s="22"/>
    </row>
    <row r="209">
      <c r="I209" s="22"/>
      <c r="J209" s="22"/>
    </row>
    <row r="210">
      <c r="I210" s="22"/>
      <c r="J210" s="22"/>
    </row>
    <row r="211">
      <c r="I211" s="22"/>
      <c r="J211" s="22"/>
    </row>
    <row r="212">
      <c r="I212" s="22"/>
      <c r="J212" s="22"/>
    </row>
    <row r="213">
      <c r="I213" s="22"/>
      <c r="J213" s="22"/>
    </row>
    <row r="214">
      <c r="I214" s="22"/>
      <c r="J214" s="22"/>
    </row>
    <row r="215">
      <c r="I215" s="22"/>
      <c r="J215" s="22"/>
    </row>
    <row r="216">
      <c r="I216" s="22"/>
      <c r="J216" s="22"/>
    </row>
    <row r="217">
      <c r="I217" s="22"/>
      <c r="J217" s="22"/>
    </row>
    <row r="218">
      <c r="I218" s="22"/>
      <c r="J218" s="22"/>
    </row>
    <row r="219">
      <c r="I219" s="22"/>
      <c r="J219" s="22"/>
    </row>
    <row r="220">
      <c r="I220" s="22"/>
      <c r="J220" s="22"/>
    </row>
    <row r="221">
      <c r="I221" s="22"/>
      <c r="J221" s="22"/>
    </row>
    <row r="222">
      <c r="I222" s="22"/>
      <c r="J222" s="22"/>
    </row>
    <row r="223">
      <c r="I223" s="22"/>
      <c r="J223" s="22"/>
    </row>
    <row r="224">
      <c r="I224" s="22"/>
      <c r="J224" s="22"/>
    </row>
    <row r="225">
      <c r="I225" s="22"/>
      <c r="J225" s="22"/>
    </row>
    <row r="226">
      <c r="I226" s="22"/>
      <c r="J226" s="22"/>
    </row>
    <row r="227">
      <c r="I227" s="22"/>
      <c r="J227" s="22"/>
    </row>
    <row r="228">
      <c r="I228" s="22"/>
      <c r="J228" s="22"/>
    </row>
    <row r="229">
      <c r="I229" s="22"/>
      <c r="J229" s="22"/>
    </row>
    <row r="230">
      <c r="I230" s="22"/>
      <c r="J230" s="22"/>
    </row>
    <row r="231">
      <c r="I231" s="22"/>
      <c r="J231" s="22"/>
    </row>
    <row r="232">
      <c r="I232" s="22"/>
      <c r="J232" s="22"/>
    </row>
    <row r="233">
      <c r="I233" s="22"/>
      <c r="J233" s="22"/>
    </row>
    <row r="234">
      <c r="I234" s="22"/>
      <c r="J234" s="22"/>
    </row>
    <row r="235">
      <c r="I235" s="22"/>
      <c r="J235" s="22"/>
    </row>
    <row r="236">
      <c r="I236" s="22"/>
      <c r="J236" s="22"/>
    </row>
    <row r="237">
      <c r="I237" s="22"/>
      <c r="J237" s="22"/>
    </row>
    <row r="238">
      <c r="I238" s="22"/>
      <c r="J238" s="22"/>
    </row>
    <row r="239">
      <c r="I239" s="22"/>
      <c r="J239" s="22"/>
    </row>
    <row r="240">
      <c r="I240" s="22"/>
      <c r="J240" s="22"/>
    </row>
    <row r="241">
      <c r="I241" s="22"/>
      <c r="J241" s="22"/>
    </row>
    <row r="242">
      <c r="I242" s="22"/>
      <c r="J242" s="22"/>
    </row>
    <row r="243">
      <c r="I243" s="22"/>
      <c r="J243" s="22"/>
    </row>
    <row r="244">
      <c r="I244" s="22"/>
      <c r="J244" s="22"/>
    </row>
    <row r="245">
      <c r="I245" s="22"/>
      <c r="J245" s="22"/>
    </row>
    <row r="246">
      <c r="I246" s="22"/>
      <c r="J246" s="22"/>
    </row>
    <row r="247">
      <c r="I247" s="22"/>
      <c r="J247" s="22"/>
    </row>
    <row r="248">
      <c r="I248" s="22"/>
      <c r="J248" s="22"/>
    </row>
    <row r="249">
      <c r="I249" s="22"/>
      <c r="J249" s="22"/>
    </row>
    <row r="250">
      <c r="I250" s="22"/>
      <c r="J250" s="22"/>
    </row>
    <row r="251">
      <c r="I251" s="22"/>
      <c r="J251" s="22"/>
    </row>
    <row r="252">
      <c r="I252" s="22"/>
      <c r="J252" s="22"/>
    </row>
    <row r="253">
      <c r="I253" s="22"/>
      <c r="J253" s="22"/>
    </row>
    <row r="254">
      <c r="I254" s="22"/>
      <c r="J254" s="22"/>
    </row>
    <row r="255">
      <c r="I255" s="22"/>
      <c r="J255" s="22"/>
    </row>
    <row r="256">
      <c r="I256" s="22"/>
      <c r="J256" s="22"/>
    </row>
    <row r="257">
      <c r="I257" s="22"/>
      <c r="J257" s="22"/>
    </row>
    <row r="258">
      <c r="I258" s="22"/>
      <c r="J258" s="22"/>
    </row>
    <row r="259">
      <c r="I259" s="22"/>
      <c r="J259" s="22"/>
    </row>
    <row r="260">
      <c r="I260" s="22"/>
      <c r="J260" s="22"/>
    </row>
    <row r="261">
      <c r="I261" s="22"/>
      <c r="J261" s="22"/>
    </row>
    <row r="262">
      <c r="I262" s="22"/>
      <c r="J262" s="22"/>
    </row>
    <row r="263">
      <c r="I263" s="22"/>
      <c r="J263" s="22"/>
    </row>
    <row r="264">
      <c r="I264" s="22"/>
      <c r="J264" s="22"/>
    </row>
    <row r="265">
      <c r="I265" s="22"/>
      <c r="J265" s="22"/>
    </row>
    <row r="266">
      <c r="I266" s="22"/>
      <c r="J266" s="22"/>
    </row>
    <row r="267">
      <c r="I267" s="22"/>
      <c r="J267" s="22"/>
    </row>
    <row r="268">
      <c r="I268" s="22"/>
      <c r="J268" s="22"/>
    </row>
    <row r="269">
      <c r="I269" s="22"/>
      <c r="J269" s="22"/>
    </row>
    <row r="270">
      <c r="I270" s="22"/>
      <c r="J270" s="22"/>
    </row>
    <row r="271">
      <c r="I271" s="22"/>
      <c r="J271" s="22"/>
    </row>
    <row r="272">
      <c r="I272" s="22"/>
      <c r="J272" s="22"/>
    </row>
    <row r="273">
      <c r="I273" s="22"/>
      <c r="J273" s="22"/>
    </row>
    <row r="274">
      <c r="I274" s="22"/>
      <c r="J274" s="22"/>
    </row>
    <row r="275">
      <c r="I275" s="22"/>
      <c r="J275" s="22"/>
    </row>
    <row r="276">
      <c r="I276" s="22"/>
      <c r="J276" s="22"/>
    </row>
    <row r="277">
      <c r="I277" s="22"/>
      <c r="J277" s="22"/>
    </row>
    <row r="278">
      <c r="I278" s="22"/>
      <c r="J278" s="22"/>
    </row>
    <row r="279">
      <c r="I279" s="22"/>
      <c r="J279" s="22"/>
    </row>
    <row r="280">
      <c r="I280" s="22"/>
      <c r="J280" s="22"/>
    </row>
    <row r="281">
      <c r="I281" s="22"/>
      <c r="J281" s="22"/>
    </row>
    <row r="282">
      <c r="I282" s="22"/>
      <c r="J282" s="22"/>
    </row>
    <row r="283">
      <c r="I283" s="22"/>
      <c r="J283" s="22"/>
    </row>
    <row r="284">
      <c r="I284" s="22"/>
      <c r="J284" s="22"/>
    </row>
    <row r="285">
      <c r="I285" s="22"/>
      <c r="J285" s="22"/>
    </row>
    <row r="286">
      <c r="I286" s="22"/>
      <c r="J286" s="22"/>
    </row>
    <row r="287">
      <c r="I287" s="22"/>
      <c r="J287" s="22"/>
    </row>
    <row r="288">
      <c r="I288" s="22"/>
      <c r="J288" s="22"/>
    </row>
    <row r="289">
      <c r="I289" s="22"/>
      <c r="J289" s="22"/>
    </row>
    <row r="290">
      <c r="I290" s="22"/>
      <c r="J290" s="22"/>
    </row>
    <row r="291">
      <c r="I291" s="22"/>
      <c r="J291" s="22"/>
    </row>
    <row r="292">
      <c r="I292" s="22"/>
      <c r="J292" s="22"/>
    </row>
    <row r="293">
      <c r="I293" s="22"/>
      <c r="J293" s="22"/>
    </row>
    <row r="294">
      <c r="I294" s="22"/>
      <c r="J294" s="22"/>
    </row>
    <row r="295">
      <c r="I295" s="22"/>
      <c r="J295" s="22"/>
    </row>
    <row r="296">
      <c r="I296" s="22"/>
      <c r="J296" s="22"/>
    </row>
    <row r="297">
      <c r="I297" s="22"/>
      <c r="J297" s="22"/>
    </row>
    <row r="298">
      <c r="I298" s="22"/>
      <c r="J298" s="22"/>
    </row>
    <row r="299">
      <c r="I299" s="22"/>
      <c r="J299" s="22"/>
    </row>
    <row r="300">
      <c r="I300" s="22"/>
      <c r="J300" s="22"/>
    </row>
    <row r="301">
      <c r="I301" s="22"/>
      <c r="J301" s="22"/>
    </row>
    <row r="302">
      <c r="I302" s="22"/>
      <c r="J302" s="22"/>
    </row>
    <row r="303">
      <c r="I303" s="22"/>
      <c r="J303" s="22"/>
    </row>
    <row r="304">
      <c r="I304" s="22"/>
      <c r="J304" s="22"/>
    </row>
    <row r="305">
      <c r="I305" s="22"/>
      <c r="J305" s="22"/>
    </row>
    <row r="306">
      <c r="I306" s="22"/>
      <c r="J306" s="22"/>
    </row>
    <row r="307">
      <c r="I307" s="22"/>
      <c r="J307" s="22"/>
    </row>
    <row r="308">
      <c r="I308" s="22"/>
      <c r="J308" s="22"/>
    </row>
    <row r="309">
      <c r="I309" s="22"/>
      <c r="J309" s="22"/>
    </row>
    <row r="310">
      <c r="I310" s="22"/>
      <c r="J310" s="22"/>
    </row>
    <row r="311">
      <c r="I311" s="22"/>
      <c r="J311" s="22"/>
    </row>
    <row r="312">
      <c r="I312" s="22"/>
      <c r="J312" s="22"/>
    </row>
    <row r="313">
      <c r="I313" s="22"/>
      <c r="J313" s="22"/>
    </row>
    <row r="314">
      <c r="I314" s="22"/>
      <c r="J314" s="22"/>
    </row>
    <row r="315">
      <c r="I315" s="22"/>
      <c r="J315" s="22"/>
    </row>
    <row r="316">
      <c r="I316" s="22"/>
      <c r="J316" s="22"/>
    </row>
    <row r="317">
      <c r="I317" s="22"/>
      <c r="J317" s="22"/>
    </row>
    <row r="318">
      <c r="I318" s="22"/>
      <c r="J318" s="22"/>
    </row>
    <row r="319">
      <c r="I319" s="22"/>
      <c r="J319" s="22"/>
    </row>
    <row r="320">
      <c r="I320" s="22"/>
      <c r="J320" s="22"/>
    </row>
    <row r="321">
      <c r="I321" s="22"/>
      <c r="J321" s="22"/>
    </row>
    <row r="322">
      <c r="I322" s="22"/>
      <c r="J322" s="22"/>
    </row>
    <row r="323">
      <c r="I323" s="22"/>
      <c r="J323" s="22"/>
    </row>
    <row r="324">
      <c r="I324" s="22"/>
      <c r="J324" s="22"/>
    </row>
    <row r="325">
      <c r="I325" s="22"/>
      <c r="J325" s="22"/>
    </row>
    <row r="326">
      <c r="I326" s="22"/>
      <c r="J326" s="22"/>
    </row>
    <row r="327">
      <c r="I327" s="22"/>
      <c r="J327" s="22"/>
    </row>
    <row r="328">
      <c r="I328" s="22"/>
      <c r="J328" s="22"/>
    </row>
    <row r="329">
      <c r="I329" s="22"/>
      <c r="J329" s="22"/>
    </row>
    <row r="330">
      <c r="I330" s="22"/>
      <c r="J330" s="22"/>
    </row>
    <row r="331">
      <c r="I331" s="22"/>
      <c r="J331" s="22"/>
    </row>
    <row r="332">
      <c r="I332" s="22"/>
      <c r="J332" s="22"/>
    </row>
    <row r="333">
      <c r="I333" s="22"/>
      <c r="J333" s="22"/>
    </row>
    <row r="334">
      <c r="I334" s="22"/>
      <c r="J334" s="22"/>
    </row>
    <row r="335">
      <c r="I335" s="22"/>
      <c r="J335" s="22"/>
    </row>
    <row r="336">
      <c r="I336" s="22"/>
      <c r="J336" s="22"/>
    </row>
    <row r="337">
      <c r="I337" s="22"/>
      <c r="J337" s="22"/>
    </row>
    <row r="338">
      <c r="I338" s="22"/>
      <c r="J338" s="22"/>
    </row>
    <row r="339">
      <c r="I339" s="22"/>
      <c r="J339" s="22"/>
    </row>
    <row r="340">
      <c r="I340" s="22"/>
      <c r="J340" s="22"/>
    </row>
    <row r="341">
      <c r="I341" s="22"/>
      <c r="J341" s="22"/>
    </row>
    <row r="342">
      <c r="I342" s="22"/>
      <c r="J342" s="22"/>
    </row>
    <row r="343">
      <c r="I343" s="22"/>
      <c r="J343" s="22"/>
    </row>
    <row r="344">
      <c r="I344" s="22"/>
      <c r="J344" s="22"/>
    </row>
    <row r="345">
      <c r="I345" s="22"/>
      <c r="J345" s="22"/>
    </row>
    <row r="346">
      <c r="I346" s="22"/>
      <c r="J346" s="22"/>
    </row>
    <row r="347">
      <c r="I347" s="22"/>
      <c r="J347" s="22"/>
    </row>
    <row r="348">
      <c r="I348" s="22"/>
      <c r="J348" s="22"/>
    </row>
    <row r="349">
      <c r="I349" s="22"/>
      <c r="J349" s="22"/>
    </row>
    <row r="350">
      <c r="I350" s="22"/>
      <c r="J350" s="22"/>
    </row>
    <row r="351">
      <c r="I351" s="22"/>
      <c r="J351" s="22"/>
    </row>
    <row r="352">
      <c r="I352" s="22"/>
      <c r="J352" s="22"/>
    </row>
    <row r="353">
      <c r="I353" s="22"/>
      <c r="J353" s="22"/>
    </row>
    <row r="354">
      <c r="I354" s="22"/>
      <c r="J354" s="22"/>
    </row>
    <row r="355">
      <c r="I355" s="22"/>
      <c r="J355" s="22"/>
    </row>
    <row r="356">
      <c r="I356" s="22"/>
      <c r="J356" s="22"/>
    </row>
    <row r="357">
      <c r="I357" s="22"/>
      <c r="J357" s="22"/>
    </row>
    <row r="358">
      <c r="I358" s="22"/>
      <c r="J358" s="22"/>
    </row>
    <row r="359">
      <c r="I359" s="22"/>
      <c r="J359" s="22"/>
    </row>
    <row r="360">
      <c r="I360" s="22"/>
      <c r="J360" s="22"/>
    </row>
    <row r="361">
      <c r="I361" s="22"/>
      <c r="J361" s="22"/>
    </row>
    <row r="362">
      <c r="I362" s="22"/>
      <c r="J362" s="22"/>
    </row>
    <row r="363">
      <c r="I363" s="22"/>
      <c r="J363" s="22"/>
    </row>
    <row r="364">
      <c r="I364" s="22"/>
      <c r="J364" s="22"/>
    </row>
    <row r="365">
      <c r="I365" s="22"/>
      <c r="J365" s="22"/>
    </row>
    <row r="366">
      <c r="I366" s="22"/>
      <c r="J366" s="22"/>
    </row>
    <row r="367">
      <c r="I367" s="22"/>
      <c r="J367" s="22"/>
    </row>
    <row r="368">
      <c r="I368" s="22"/>
      <c r="J368" s="22"/>
    </row>
    <row r="369">
      <c r="I369" s="22"/>
      <c r="J369" s="22"/>
    </row>
    <row r="370">
      <c r="I370" s="22"/>
      <c r="J370" s="22"/>
    </row>
    <row r="371">
      <c r="I371" s="22"/>
      <c r="J371" s="22"/>
    </row>
    <row r="372">
      <c r="I372" s="22"/>
      <c r="J372" s="22"/>
    </row>
    <row r="373">
      <c r="I373" s="22"/>
      <c r="J373" s="22"/>
    </row>
    <row r="374">
      <c r="I374" s="22"/>
      <c r="J374" s="22"/>
    </row>
    <row r="375">
      <c r="I375" s="22"/>
      <c r="J375" s="22"/>
    </row>
    <row r="376">
      <c r="I376" s="22"/>
      <c r="J376" s="22"/>
    </row>
    <row r="377">
      <c r="I377" s="22"/>
      <c r="J377" s="22"/>
    </row>
    <row r="378">
      <c r="I378" s="22"/>
      <c r="J378" s="22"/>
    </row>
    <row r="379">
      <c r="I379" s="22"/>
      <c r="J379" s="22"/>
    </row>
    <row r="380">
      <c r="I380" s="22"/>
      <c r="J380" s="22"/>
    </row>
    <row r="381">
      <c r="I381" s="22"/>
      <c r="J381" s="22"/>
    </row>
    <row r="382">
      <c r="I382" s="22"/>
      <c r="J382" s="22"/>
    </row>
    <row r="383">
      <c r="I383" s="22"/>
      <c r="J383" s="22"/>
    </row>
    <row r="384">
      <c r="I384" s="22"/>
      <c r="J384" s="22"/>
    </row>
    <row r="385">
      <c r="I385" s="22"/>
      <c r="J385" s="22"/>
    </row>
    <row r="386">
      <c r="I386" s="22"/>
      <c r="J386" s="22"/>
    </row>
    <row r="387">
      <c r="I387" s="22"/>
      <c r="J387" s="22"/>
    </row>
    <row r="388">
      <c r="I388" s="22"/>
      <c r="J388" s="22"/>
    </row>
    <row r="389">
      <c r="I389" s="22"/>
      <c r="J389" s="22"/>
    </row>
    <row r="390">
      <c r="I390" s="22"/>
      <c r="J390" s="22"/>
    </row>
    <row r="391">
      <c r="I391" s="22"/>
      <c r="J391" s="22"/>
    </row>
    <row r="392">
      <c r="I392" s="22"/>
      <c r="J392" s="22"/>
    </row>
    <row r="393">
      <c r="I393" s="22"/>
      <c r="J393" s="22"/>
    </row>
    <row r="394">
      <c r="I394" s="22"/>
      <c r="J394" s="22"/>
    </row>
    <row r="395">
      <c r="I395" s="22"/>
      <c r="J395" s="22"/>
    </row>
    <row r="396">
      <c r="I396" s="22"/>
      <c r="J396" s="22"/>
    </row>
    <row r="397">
      <c r="I397" s="22"/>
      <c r="J397" s="22"/>
    </row>
    <row r="398">
      <c r="I398" s="22"/>
      <c r="J398" s="22"/>
    </row>
    <row r="399">
      <c r="I399" s="22"/>
      <c r="J399" s="22"/>
    </row>
    <row r="400">
      <c r="I400" s="22"/>
      <c r="J400" s="22"/>
    </row>
    <row r="401">
      <c r="I401" s="22"/>
      <c r="J401" s="22"/>
    </row>
    <row r="402">
      <c r="I402" s="22"/>
      <c r="J402" s="22"/>
    </row>
    <row r="403">
      <c r="I403" s="22"/>
      <c r="J403" s="22"/>
    </row>
    <row r="404">
      <c r="I404" s="22"/>
      <c r="J404" s="22"/>
    </row>
    <row r="405">
      <c r="I405" s="22"/>
      <c r="J405" s="22"/>
    </row>
    <row r="406">
      <c r="I406" s="22"/>
      <c r="J406" s="22"/>
    </row>
    <row r="407">
      <c r="I407" s="22"/>
      <c r="J407" s="22"/>
    </row>
    <row r="408">
      <c r="I408" s="22"/>
      <c r="J408" s="22"/>
    </row>
    <row r="409">
      <c r="I409" s="22"/>
      <c r="J409" s="22"/>
    </row>
    <row r="410">
      <c r="I410" s="22"/>
      <c r="J410" s="22"/>
    </row>
    <row r="411">
      <c r="I411" s="22"/>
      <c r="J411" s="22"/>
    </row>
    <row r="412">
      <c r="I412" s="22"/>
      <c r="J412" s="22"/>
    </row>
    <row r="413">
      <c r="I413" s="22"/>
      <c r="J413" s="22"/>
    </row>
    <row r="414">
      <c r="I414" s="22"/>
      <c r="J414" s="22"/>
    </row>
    <row r="415">
      <c r="I415" s="22"/>
      <c r="J415" s="22"/>
    </row>
    <row r="416">
      <c r="I416" s="22"/>
      <c r="J416" s="22"/>
    </row>
    <row r="417">
      <c r="I417" s="22"/>
      <c r="J417" s="22"/>
    </row>
    <row r="418">
      <c r="I418" s="22"/>
      <c r="J418" s="22"/>
    </row>
    <row r="419">
      <c r="I419" s="22"/>
      <c r="J419" s="22"/>
    </row>
    <row r="420">
      <c r="I420" s="22"/>
      <c r="J420" s="22"/>
    </row>
    <row r="421">
      <c r="I421" s="22"/>
      <c r="J421" s="22"/>
    </row>
    <row r="422">
      <c r="I422" s="22"/>
      <c r="J422" s="22"/>
    </row>
    <row r="423">
      <c r="I423" s="22"/>
      <c r="J423" s="22"/>
    </row>
    <row r="424">
      <c r="I424" s="22"/>
      <c r="J424" s="22"/>
    </row>
    <row r="425">
      <c r="I425" s="22"/>
      <c r="J425" s="22"/>
    </row>
    <row r="426">
      <c r="I426" s="22"/>
      <c r="J426" s="22"/>
    </row>
    <row r="427">
      <c r="I427" s="22"/>
      <c r="J427" s="22"/>
    </row>
    <row r="428">
      <c r="I428" s="22"/>
      <c r="J428" s="22"/>
    </row>
    <row r="429">
      <c r="I429" s="22"/>
      <c r="J429" s="22"/>
    </row>
    <row r="430">
      <c r="I430" s="22"/>
      <c r="J430" s="22"/>
    </row>
    <row r="431">
      <c r="I431" s="22"/>
      <c r="J431" s="22"/>
    </row>
    <row r="432">
      <c r="I432" s="22"/>
      <c r="J432" s="22"/>
    </row>
    <row r="433">
      <c r="I433" s="22"/>
      <c r="J433" s="22"/>
    </row>
    <row r="434">
      <c r="I434" s="22"/>
      <c r="J434" s="22"/>
    </row>
    <row r="435">
      <c r="I435" s="22"/>
      <c r="J435" s="22"/>
    </row>
    <row r="436">
      <c r="I436" s="22"/>
      <c r="J436" s="22"/>
    </row>
    <row r="437">
      <c r="I437" s="22"/>
      <c r="J437" s="22"/>
    </row>
    <row r="438">
      <c r="I438" s="22"/>
      <c r="J438" s="22"/>
    </row>
    <row r="439">
      <c r="I439" s="22"/>
      <c r="J439" s="22"/>
    </row>
    <row r="440">
      <c r="I440" s="22"/>
      <c r="J440" s="22"/>
    </row>
    <row r="441">
      <c r="I441" s="22"/>
      <c r="J441" s="22"/>
    </row>
    <row r="442">
      <c r="I442" s="22"/>
      <c r="J442" s="22"/>
    </row>
    <row r="443">
      <c r="I443" s="22"/>
      <c r="J443" s="22"/>
    </row>
    <row r="444">
      <c r="I444" s="22"/>
      <c r="J444" s="22"/>
    </row>
    <row r="445">
      <c r="I445" s="22"/>
      <c r="J445" s="22"/>
    </row>
    <row r="446">
      <c r="I446" s="22"/>
      <c r="J446" s="22"/>
    </row>
    <row r="447">
      <c r="I447" s="22"/>
      <c r="J447" s="22"/>
    </row>
    <row r="448">
      <c r="I448" s="22"/>
      <c r="J448" s="22"/>
    </row>
    <row r="449">
      <c r="I449" s="22"/>
      <c r="J449" s="22"/>
    </row>
    <row r="450">
      <c r="I450" s="22"/>
      <c r="J450" s="22"/>
    </row>
    <row r="451">
      <c r="I451" s="22"/>
      <c r="J451" s="22"/>
    </row>
    <row r="452">
      <c r="I452" s="22"/>
      <c r="J452" s="22"/>
    </row>
    <row r="453">
      <c r="I453" s="22"/>
      <c r="J453" s="22"/>
    </row>
    <row r="454">
      <c r="I454" s="22"/>
      <c r="J454" s="22"/>
    </row>
    <row r="455">
      <c r="I455" s="22"/>
      <c r="J455" s="22"/>
    </row>
    <row r="456">
      <c r="I456" s="22"/>
      <c r="J456" s="22"/>
    </row>
    <row r="457">
      <c r="I457" s="22"/>
      <c r="J457" s="22"/>
    </row>
    <row r="458">
      <c r="I458" s="22"/>
      <c r="J458" s="22"/>
    </row>
    <row r="459">
      <c r="I459" s="22"/>
      <c r="J459" s="22"/>
    </row>
    <row r="460">
      <c r="I460" s="22"/>
      <c r="J460" s="22"/>
    </row>
    <row r="461">
      <c r="I461" s="22"/>
      <c r="J461" s="22"/>
    </row>
    <row r="462">
      <c r="I462" s="22"/>
      <c r="J462" s="22"/>
    </row>
    <row r="463">
      <c r="I463" s="22"/>
      <c r="J463" s="22"/>
    </row>
    <row r="464">
      <c r="I464" s="22"/>
      <c r="J464" s="22"/>
    </row>
    <row r="465">
      <c r="I465" s="22"/>
      <c r="J465" s="22"/>
    </row>
    <row r="466">
      <c r="I466" s="22"/>
      <c r="J466" s="22"/>
    </row>
    <row r="467">
      <c r="I467" s="22"/>
      <c r="J467" s="22"/>
    </row>
    <row r="468">
      <c r="I468" s="22"/>
      <c r="J468" s="22"/>
    </row>
    <row r="469">
      <c r="I469" s="22"/>
      <c r="J469" s="22"/>
    </row>
    <row r="470">
      <c r="I470" s="22"/>
      <c r="J470" s="22"/>
    </row>
    <row r="471">
      <c r="I471" s="22"/>
      <c r="J471" s="22"/>
    </row>
    <row r="472">
      <c r="I472" s="22"/>
      <c r="J472" s="22"/>
    </row>
    <row r="473">
      <c r="I473" s="22"/>
      <c r="J473" s="22"/>
    </row>
    <row r="474">
      <c r="I474" s="22"/>
      <c r="J474" s="22"/>
    </row>
    <row r="475">
      <c r="I475" s="22"/>
      <c r="J475" s="22"/>
    </row>
    <row r="476">
      <c r="I476" s="22"/>
      <c r="J476" s="22"/>
    </row>
    <row r="477">
      <c r="I477" s="22"/>
      <c r="J477" s="22"/>
    </row>
    <row r="478">
      <c r="I478" s="22"/>
      <c r="J478" s="22"/>
    </row>
    <row r="479">
      <c r="I479" s="22"/>
      <c r="J479" s="22"/>
    </row>
    <row r="480">
      <c r="I480" s="22"/>
      <c r="J480" s="22"/>
    </row>
    <row r="481">
      <c r="I481" s="22"/>
      <c r="J481" s="22"/>
    </row>
    <row r="482">
      <c r="I482" s="22"/>
      <c r="J482" s="22"/>
    </row>
    <row r="483">
      <c r="I483" s="22"/>
      <c r="J483" s="22"/>
    </row>
    <row r="484">
      <c r="I484" s="22"/>
      <c r="J484" s="22"/>
    </row>
    <row r="485">
      <c r="I485" s="22"/>
      <c r="J485" s="22"/>
    </row>
    <row r="486">
      <c r="I486" s="22"/>
      <c r="J486" s="22"/>
    </row>
    <row r="487">
      <c r="I487" s="22"/>
      <c r="J487" s="22"/>
    </row>
    <row r="488">
      <c r="I488" s="22"/>
      <c r="J488" s="22"/>
    </row>
    <row r="489">
      <c r="I489" s="22"/>
      <c r="J489" s="22"/>
    </row>
    <row r="490">
      <c r="I490" s="22"/>
      <c r="J490" s="22"/>
    </row>
    <row r="491">
      <c r="I491" s="22"/>
      <c r="J491" s="22"/>
    </row>
    <row r="492">
      <c r="I492" s="22"/>
      <c r="J492" s="22"/>
    </row>
    <row r="493">
      <c r="I493" s="22"/>
      <c r="J493" s="22"/>
    </row>
    <row r="494">
      <c r="I494" s="22"/>
      <c r="J494" s="22"/>
    </row>
    <row r="495">
      <c r="I495" s="22"/>
      <c r="J495" s="22"/>
    </row>
    <row r="496">
      <c r="I496" s="22"/>
      <c r="J496" s="22"/>
    </row>
    <row r="497">
      <c r="I497" s="22"/>
      <c r="J497" s="22"/>
    </row>
    <row r="498">
      <c r="I498" s="22"/>
      <c r="J498" s="22"/>
    </row>
    <row r="499">
      <c r="I499" s="22"/>
      <c r="J499" s="22"/>
    </row>
    <row r="500">
      <c r="I500" s="22"/>
      <c r="J500" s="22"/>
    </row>
    <row r="501">
      <c r="I501" s="22"/>
      <c r="J501" s="22"/>
    </row>
    <row r="502">
      <c r="I502" s="22"/>
      <c r="J502" s="22"/>
    </row>
    <row r="503">
      <c r="I503" s="22"/>
      <c r="J503" s="22"/>
    </row>
    <row r="504">
      <c r="I504" s="22"/>
      <c r="J504" s="22"/>
    </row>
    <row r="505">
      <c r="I505" s="22"/>
      <c r="J505" s="22"/>
    </row>
    <row r="506">
      <c r="I506" s="22"/>
      <c r="J506" s="22"/>
    </row>
    <row r="507">
      <c r="I507" s="22"/>
      <c r="J507" s="22"/>
    </row>
    <row r="508">
      <c r="I508" s="22"/>
      <c r="J508" s="22"/>
    </row>
    <row r="509">
      <c r="I509" s="22"/>
      <c r="J509" s="22"/>
    </row>
    <row r="510">
      <c r="I510" s="22"/>
      <c r="J510" s="22"/>
    </row>
    <row r="511">
      <c r="I511" s="22"/>
      <c r="J511" s="22"/>
    </row>
    <row r="512">
      <c r="I512" s="22"/>
      <c r="J512" s="22"/>
    </row>
    <row r="513">
      <c r="I513" s="22"/>
      <c r="J513" s="22"/>
    </row>
    <row r="514">
      <c r="I514" s="22"/>
      <c r="J514" s="22"/>
    </row>
    <row r="515">
      <c r="I515" s="22"/>
      <c r="J515" s="22"/>
    </row>
    <row r="516">
      <c r="I516" s="22"/>
      <c r="J516" s="22"/>
    </row>
    <row r="517">
      <c r="I517" s="22"/>
      <c r="J517" s="22"/>
    </row>
    <row r="518">
      <c r="I518" s="22"/>
      <c r="J518" s="22"/>
    </row>
    <row r="519">
      <c r="I519" s="22"/>
      <c r="J519" s="22"/>
    </row>
    <row r="520">
      <c r="I520" s="22"/>
      <c r="J520" s="22"/>
    </row>
    <row r="521">
      <c r="I521" s="22"/>
      <c r="J521" s="22"/>
    </row>
    <row r="522">
      <c r="I522" s="22"/>
      <c r="J522" s="22"/>
    </row>
    <row r="523">
      <c r="I523" s="22"/>
      <c r="J523" s="22"/>
    </row>
    <row r="524">
      <c r="I524" s="22"/>
      <c r="J524" s="22"/>
    </row>
    <row r="525">
      <c r="I525" s="22"/>
      <c r="J525" s="22"/>
    </row>
    <row r="526">
      <c r="I526" s="22"/>
      <c r="J526" s="22"/>
    </row>
    <row r="527">
      <c r="I527" s="22"/>
      <c r="J527" s="22"/>
    </row>
    <row r="528">
      <c r="I528" s="22"/>
      <c r="J528" s="22"/>
    </row>
    <row r="529">
      <c r="I529" s="22"/>
      <c r="J529" s="22"/>
    </row>
    <row r="530">
      <c r="I530" s="22"/>
      <c r="J530" s="22"/>
    </row>
    <row r="531">
      <c r="I531" s="22"/>
      <c r="J531" s="22"/>
    </row>
    <row r="532">
      <c r="I532" s="22"/>
      <c r="J532" s="22"/>
    </row>
    <row r="533">
      <c r="I533" s="22"/>
      <c r="J533" s="22"/>
    </row>
    <row r="534">
      <c r="I534" s="22"/>
      <c r="J534" s="22"/>
    </row>
    <row r="535">
      <c r="I535" s="22"/>
      <c r="J535" s="22"/>
    </row>
    <row r="536">
      <c r="I536" s="22"/>
      <c r="J536" s="22"/>
    </row>
    <row r="537">
      <c r="I537" s="22"/>
      <c r="J537" s="22"/>
    </row>
    <row r="538">
      <c r="I538" s="22"/>
      <c r="J538" s="22"/>
    </row>
    <row r="539">
      <c r="I539" s="22"/>
      <c r="J539" s="22"/>
    </row>
    <row r="540">
      <c r="I540" s="22"/>
      <c r="J540" s="22"/>
    </row>
    <row r="541">
      <c r="I541" s="22"/>
      <c r="J541" s="22"/>
    </row>
    <row r="542">
      <c r="I542" s="22"/>
      <c r="J542" s="22"/>
    </row>
    <row r="543">
      <c r="I543" s="22"/>
      <c r="J543" s="22"/>
    </row>
    <row r="544">
      <c r="I544" s="22"/>
      <c r="J544" s="22"/>
    </row>
    <row r="545">
      <c r="I545" s="22"/>
      <c r="J545" s="22"/>
    </row>
    <row r="546">
      <c r="I546" s="22"/>
      <c r="J546" s="22"/>
    </row>
    <row r="547">
      <c r="I547" s="22"/>
      <c r="J547" s="22"/>
    </row>
    <row r="548">
      <c r="I548" s="22"/>
      <c r="J548" s="22"/>
    </row>
    <row r="549">
      <c r="I549" s="22"/>
      <c r="J549" s="22"/>
    </row>
    <row r="550">
      <c r="I550" s="22"/>
      <c r="J550" s="22"/>
    </row>
    <row r="551">
      <c r="I551" s="22"/>
      <c r="J551" s="22"/>
    </row>
    <row r="552">
      <c r="I552" s="22"/>
      <c r="J552" s="22"/>
    </row>
    <row r="553">
      <c r="I553" s="22"/>
      <c r="J553" s="22"/>
    </row>
    <row r="554">
      <c r="I554" s="22"/>
      <c r="J554" s="22"/>
    </row>
    <row r="555">
      <c r="I555" s="22"/>
      <c r="J555" s="22"/>
    </row>
    <row r="556">
      <c r="I556" s="22"/>
      <c r="J556" s="22"/>
    </row>
    <row r="557">
      <c r="I557" s="22"/>
      <c r="J557" s="22"/>
    </row>
    <row r="558">
      <c r="I558" s="22"/>
      <c r="J558" s="22"/>
    </row>
    <row r="559">
      <c r="I559" s="22"/>
      <c r="J559" s="22"/>
    </row>
    <row r="560">
      <c r="I560" s="22"/>
      <c r="J560" s="22"/>
    </row>
    <row r="561">
      <c r="I561" s="22"/>
      <c r="J561" s="22"/>
    </row>
    <row r="562">
      <c r="I562" s="22"/>
      <c r="J562" s="22"/>
    </row>
    <row r="563">
      <c r="I563" s="22"/>
      <c r="J563" s="22"/>
    </row>
    <row r="564">
      <c r="I564" s="22"/>
      <c r="J564" s="22"/>
    </row>
    <row r="565">
      <c r="I565" s="22"/>
      <c r="J565" s="22"/>
    </row>
    <row r="566">
      <c r="I566" s="22"/>
      <c r="J566" s="22"/>
    </row>
    <row r="567">
      <c r="I567" s="22"/>
      <c r="J567" s="22"/>
    </row>
    <row r="568">
      <c r="I568" s="22"/>
      <c r="J568" s="22"/>
    </row>
    <row r="569">
      <c r="I569" s="22"/>
      <c r="J569" s="22"/>
    </row>
    <row r="570">
      <c r="I570" s="22"/>
      <c r="J570" s="22"/>
    </row>
    <row r="571">
      <c r="I571" s="22"/>
      <c r="J571" s="22"/>
    </row>
    <row r="572">
      <c r="I572" s="22"/>
      <c r="J572" s="22"/>
    </row>
    <row r="573">
      <c r="I573" s="22"/>
      <c r="J573" s="22"/>
    </row>
    <row r="574">
      <c r="I574" s="22"/>
      <c r="J574" s="22"/>
    </row>
    <row r="575">
      <c r="I575" s="22"/>
      <c r="J575" s="22"/>
    </row>
    <row r="576">
      <c r="I576" s="22"/>
      <c r="J576" s="22"/>
    </row>
    <row r="577">
      <c r="I577" s="22"/>
      <c r="J577" s="22"/>
    </row>
    <row r="578">
      <c r="I578" s="22"/>
      <c r="J578" s="22"/>
    </row>
    <row r="579">
      <c r="I579" s="22"/>
      <c r="J579" s="22"/>
    </row>
    <row r="580">
      <c r="I580" s="22"/>
      <c r="J580" s="22"/>
    </row>
    <row r="581">
      <c r="I581" s="22"/>
      <c r="J581" s="22"/>
    </row>
    <row r="582">
      <c r="I582" s="22"/>
      <c r="J582" s="22"/>
    </row>
    <row r="583">
      <c r="I583" s="22"/>
      <c r="J583" s="22"/>
    </row>
    <row r="584">
      <c r="I584" s="22"/>
      <c r="J584" s="22"/>
    </row>
    <row r="585">
      <c r="I585" s="22"/>
      <c r="J585" s="22"/>
    </row>
    <row r="586">
      <c r="I586" s="22"/>
      <c r="J586" s="22"/>
    </row>
    <row r="587">
      <c r="I587" s="22"/>
      <c r="J587" s="22"/>
    </row>
    <row r="588">
      <c r="I588" s="22"/>
      <c r="J588" s="22"/>
    </row>
    <row r="589">
      <c r="I589" s="22"/>
      <c r="J589" s="22"/>
    </row>
    <row r="590">
      <c r="I590" s="22"/>
      <c r="J590" s="22"/>
    </row>
    <row r="591">
      <c r="I591" s="22"/>
      <c r="J591" s="22"/>
    </row>
    <row r="592">
      <c r="I592" s="22"/>
      <c r="J592" s="22"/>
    </row>
    <row r="593">
      <c r="I593" s="22"/>
      <c r="J593" s="22"/>
    </row>
    <row r="594">
      <c r="I594" s="22"/>
      <c r="J594" s="22"/>
    </row>
    <row r="595">
      <c r="I595" s="22"/>
      <c r="J595" s="22"/>
    </row>
    <row r="596">
      <c r="I596" s="22"/>
      <c r="J596" s="22"/>
    </row>
    <row r="597">
      <c r="I597" s="22"/>
      <c r="J597" s="22"/>
    </row>
    <row r="598">
      <c r="I598" s="22"/>
      <c r="J598" s="22"/>
    </row>
    <row r="599">
      <c r="I599" s="22"/>
      <c r="J599" s="22"/>
    </row>
    <row r="600">
      <c r="I600" s="22"/>
      <c r="J600" s="22"/>
    </row>
    <row r="601">
      <c r="I601" s="22"/>
      <c r="J601" s="22"/>
    </row>
    <row r="602">
      <c r="I602" s="22"/>
      <c r="J602" s="22"/>
    </row>
    <row r="603">
      <c r="I603" s="22"/>
      <c r="J603" s="22"/>
    </row>
    <row r="604">
      <c r="I604" s="22"/>
      <c r="J604" s="22"/>
    </row>
    <row r="605">
      <c r="I605" s="22"/>
      <c r="J605" s="22"/>
    </row>
    <row r="606">
      <c r="I606" s="22"/>
      <c r="J606" s="22"/>
    </row>
    <row r="607">
      <c r="I607" s="22"/>
      <c r="J607" s="22"/>
    </row>
    <row r="608">
      <c r="I608" s="22"/>
      <c r="J608" s="22"/>
    </row>
    <row r="609">
      <c r="I609" s="22"/>
      <c r="J609" s="22"/>
    </row>
    <row r="610">
      <c r="I610" s="22"/>
      <c r="J610" s="22"/>
    </row>
    <row r="611">
      <c r="I611" s="22"/>
      <c r="J611" s="22"/>
    </row>
    <row r="612">
      <c r="I612" s="22"/>
      <c r="J612" s="22"/>
    </row>
    <row r="613">
      <c r="I613" s="22"/>
      <c r="J613" s="22"/>
    </row>
    <row r="614">
      <c r="I614" s="22"/>
      <c r="J614" s="22"/>
    </row>
    <row r="615">
      <c r="I615" s="22"/>
      <c r="J615" s="22"/>
    </row>
    <row r="616">
      <c r="I616" s="22"/>
      <c r="J616" s="22"/>
    </row>
    <row r="617">
      <c r="I617" s="22"/>
      <c r="J617" s="22"/>
    </row>
    <row r="618">
      <c r="I618" s="22"/>
      <c r="J618" s="22"/>
    </row>
    <row r="619">
      <c r="I619" s="22"/>
      <c r="J619" s="22"/>
    </row>
    <row r="620">
      <c r="I620" s="22"/>
      <c r="J620" s="22"/>
    </row>
    <row r="621">
      <c r="I621" s="22"/>
      <c r="J621" s="22"/>
    </row>
    <row r="622">
      <c r="I622" s="22"/>
      <c r="J622" s="22"/>
    </row>
    <row r="623">
      <c r="I623" s="22"/>
      <c r="J623" s="22"/>
    </row>
    <row r="624">
      <c r="I624" s="22"/>
      <c r="J624" s="22"/>
    </row>
    <row r="625">
      <c r="I625" s="22"/>
      <c r="J625" s="22"/>
    </row>
    <row r="626">
      <c r="I626" s="22"/>
      <c r="J626" s="22"/>
    </row>
    <row r="627">
      <c r="I627" s="22"/>
      <c r="J627" s="22"/>
    </row>
    <row r="628">
      <c r="I628" s="22"/>
      <c r="J628" s="22"/>
    </row>
    <row r="629">
      <c r="I629" s="22"/>
      <c r="J629" s="22"/>
    </row>
    <row r="630">
      <c r="I630" s="22"/>
      <c r="J630" s="22"/>
    </row>
    <row r="631">
      <c r="I631" s="22"/>
      <c r="J631" s="22"/>
    </row>
    <row r="632">
      <c r="I632" s="22"/>
      <c r="J632" s="22"/>
    </row>
    <row r="633">
      <c r="I633" s="22"/>
      <c r="J633" s="22"/>
    </row>
    <row r="634">
      <c r="I634" s="22"/>
      <c r="J634" s="22"/>
    </row>
    <row r="635">
      <c r="I635" s="22"/>
      <c r="J635" s="22"/>
    </row>
    <row r="636">
      <c r="I636" s="22"/>
      <c r="J636" s="22"/>
    </row>
    <row r="637">
      <c r="I637" s="22"/>
      <c r="J637" s="22"/>
    </row>
    <row r="638">
      <c r="I638" s="22"/>
      <c r="J638" s="22"/>
    </row>
    <row r="639">
      <c r="I639" s="22"/>
      <c r="J639" s="22"/>
    </row>
    <row r="640">
      <c r="I640" s="22"/>
      <c r="J640" s="22"/>
    </row>
    <row r="641">
      <c r="I641" s="22"/>
      <c r="J641" s="22"/>
    </row>
    <row r="642">
      <c r="I642" s="22"/>
      <c r="J642" s="22"/>
    </row>
    <row r="643">
      <c r="I643" s="22"/>
      <c r="J643" s="22"/>
    </row>
    <row r="644">
      <c r="I644" s="22"/>
      <c r="J644" s="22"/>
    </row>
    <row r="645">
      <c r="I645" s="22"/>
      <c r="J645" s="22"/>
    </row>
    <row r="646">
      <c r="I646" s="22"/>
      <c r="J646" s="22"/>
    </row>
    <row r="647">
      <c r="I647" s="22"/>
      <c r="J647" s="22"/>
    </row>
    <row r="648">
      <c r="I648" s="22"/>
      <c r="J648" s="22"/>
    </row>
    <row r="649">
      <c r="I649" s="22"/>
      <c r="J649" s="22"/>
    </row>
    <row r="650">
      <c r="I650" s="22"/>
      <c r="J650" s="22"/>
    </row>
    <row r="651">
      <c r="I651" s="22"/>
      <c r="J651" s="22"/>
    </row>
    <row r="652">
      <c r="I652" s="22"/>
      <c r="J652" s="22"/>
    </row>
    <row r="653">
      <c r="I653" s="22"/>
      <c r="J653" s="22"/>
    </row>
    <row r="654">
      <c r="I654" s="22"/>
      <c r="J654" s="22"/>
    </row>
    <row r="655">
      <c r="I655" s="22"/>
      <c r="J655" s="22"/>
    </row>
    <row r="656">
      <c r="I656" s="22"/>
      <c r="J656" s="22"/>
    </row>
    <row r="657">
      <c r="I657" s="22"/>
      <c r="J657" s="22"/>
    </row>
    <row r="658">
      <c r="I658" s="22"/>
      <c r="J658" s="22"/>
    </row>
    <row r="659">
      <c r="I659" s="22"/>
      <c r="J659" s="22"/>
    </row>
    <row r="660">
      <c r="I660" s="22"/>
      <c r="J660" s="22"/>
    </row>
    <row r="661">
      <c r="I661" s="22"/>
      <c r="J661" s="22"/>
    </row>
    <row r="662">
      <c r="I662" s="22"/>
      <c r="J662" s="22"/>
    </row>
    <row r="663">
      <c r="I663" s="22"/>
      <c r="J663" s="22"/>
    </row>
    <row r="664">
      <c r="I664" s="22"/>
      <c r="J664" s="22"/>
    </row>
    <row r="665">
      <c r="I665" s="22"/>
      <c r="J665" s="22"/>
    </row>
    <row r="666">
      <c r="I666" s="22"/>
      <c r="J666" s="22"/>
    </row>
    <row r="667">
      <c r="I667" s="22"/>
      <c r="J667" s="22"/>
    </row>
    <row r="668">
      <c r="I668" s="22"/>
      <c r="J668" s="22"/>
    </row>
    <row r="669">
      <c r="I669" s="22"/>
      <c r="J669" s="22"/>
    </row>
    <row r="670">
      <c r="I670" s="22"/>
      <c r="J670" s="22"/>
    </row>
    <row r="671">
      <c r="I671" s="22"/>
      <c r="J671" s="22"/>
    </row>
    <row r="672">
      <c r="I672" s="22"/>
      <c r="J672" s="22"/>
    </row>
    <row r="673">
      <c r="I673" s="22"/>
      <c r="J673" s="22"/>
    </row>
    <row r="674">
      <c r="I674" s="22"/>
      <c r="J674" s="22"/>
    </row>
    <row r="675">
      <c r="I675" s="22"/>
      <c r="J675" s="22"/>
    </row>
    <row r="676">
      <c r="I676" s="22"/>
      <c r="J676" s="22"/>
    </row>
    <row r="677">
      <c r="I677" s="22"/>
      <c r="J677" s="22"/>
    </row>
    <row r="678">
      <c r="I678" s="22"/>
      <c r="J678" s="22"/>
    </row>
    <row r="679">
      <c r="I679" s="22"/>
      <c r="J679" s="22"/>
    </row>
    <row r="680">
      <c r="I680" s="22"/>
      <c r="J680" s="22"/>
    </row>
    <row r="681">
      <c r="I681" s="22"/>
      <c r="J681" s="22"/>
    </row>
    <row r="682">
      <c r="I682" s="22"/>
      <c r="J682" s="22"/>
    </row>
    <row r="683">
      <c r="I683" s="22"/>
      <c r="J683" s="22"/>
    </row>
    <row r="684">
      <c r="I684" s="22"/>
      <c r="J684" s="22"/>
    </row>
    <row r="685">
      <c r="I685" s="22"/>
      <c r="J685" s="22"/>
    </row>
    <row r="686">
      <c r="I686" s="22"/>
      <c r="J686" s="22"/>
    </row>
    <row r="687">
      <c r="I687" s="22"/>
      <c r="J687" s="22"/>
    </row>
    <row r="688">
      <c r="I688" s="22"/>
      <c r="J688" s="22"/>
    </row>
    <row r="689">
      <c r="I689" s="22"/>
      <c r="J689" s="22"/>
    </row>
    <row r="690">
      <c r="I690" s="22"/>
      <c r="J690" s="22"/>
    </row>
    <row r="691">
      <c r="I691" s="22"/>
      <c r="J691" s="22"/>
    </row>
    <row r="692">
      <c r="I692" s="22"/>
      <c r="J692" s="22"/>
    </row>
    <row r="693">
      <c r="I693" s="22"/>
      <c r="J693" s="22"/>
    </row>
    <row r="694">
      <c r="I694" s="22"/>
      <c r="J694" s="22"/>
    </row>
    <row r="695">
      <c r="I695" s="22"/>
      <c r="J695" s="22"/>
    </row>
    <row r="696">
      <c r="I696" s="22"/>
      <c r="J696" s="22"/>
    </row>
    <row r="697">
      <c r="I697" s="22"/>
      <c r="J697" s="22"/>
    </row>
    <row r="698">
      <c r="I698" s="22"/>
      <c r="J698" s="22"/>
    </row>
    <row r="699">
      <c r="I699" s="22"/>
      <c r="J699" s="22"/>
    </row>
    <row r="700">
      <c r="I700" s="22"/>
      <c r="J700" s="22"/>
    </row>
    <row r="701">
      <c r="I701" s="22"/>
      <c r="J701" s="22"/>
    </row>
    <row r="702">
      <c r="I702" s="22"/>
      <c r="J702" s="22"/>
    </row>
    <row r="703">
      <c r="I703" s="22"/>
      <c r="J703" s="22"/>
    </row>
    <row r="704">
      <c r="I704" s="22"/>
      <c r="J704" s="22"/>
    </row>
    <row r="705">
      <c r="I705" s="22"/>
      <c r="J705" s="22"/>
    </row>
    <row r="706">
      <c r="I706" s="22"/>
      <c r="J706" s="22"/>
    </row>
    <row r="707">
      <c r="I707" s="22"/>
      <c r="J707" s="22"/>
    </row>
    <row r="708">
      <c r="I708" s="22"/>
      <c r="J708" s="22"/>
    </row>
    <row r="709">
      <c r="I709" s="22"/>
      <c r="J709" s="22"/>
    </row>
    <row r="710">
      <c r="I710" s="22"/>
      <c r="J710" s="22"/>
    </row>
    <row r="711">
      <c r="I711" s="22"/>
      <c r="J711" s="22"/>
    </row>
    <row r="712">
      <c r="I712" s="22"/>
      <c r="J712" s="22"/>
    </row>
    <row r="713">
      <c r="I713" s="22"/>
      <c r="J713" s="22"/>
    </row>
    <row r="714">
      <c r="I714" s="22"/>
      <c r="J714" s="22"/>
    </row>
    <row r="715">
      <c r="I715" s="22"/>
      <c r="J715" s="22"/>
    </row>
    <row r="716">
      <c r="I716" s="22"/>
      <c r="J716" s="22"/>
    </row>
    <row r="717">
      <c r="I717" s="22"/>
      <c r="J717" s="22"/>
    </row>
    <row r="718">
      <c r="I718" s="22"/>
      <c r="J718" s="22"/>
    </row>
    <row r="719">
      <c r="I719" s="22"/>
      <c r="J719" s="22"/>
    </row>
    <row r="720">
      <c r="I720" s="22"/>
      <c r="J720" s="22"/>
    </row>
    <row r="721">
      <c r="I721" s="22"/>
      <c r="J721" s="22"/>
    </row>
    <row r="722">
      <c r="I722" s="22"/>
      <c r="J722" s="22"/>
    </row>
    <row r="723">
      <c r="I723" s="22"/>
      <c r="J723" s="22"/>
    </row>
    <row r="724">
      <c r="I724" s="22"/>
      <c r="J724" s="22"/>
    </row>
    <row r="725">
      <c r="I725" s="22"/>
      <c r="J725" s="22"/>
    </row>
    <row r="726">
      <c r="I726" s="22"/>
      <c r="J726" s="22"/>
    </row>
    <row r="727">
      <c r="I727" s="22"/>
      <c r="J727" s="22"/>
    </row>
    <row r="728">
      <c r="I728" s="22"/>
      <c r="J728" s="22"/>
    </row>
    <row r="729">
      <c r="I729" s="22"/>
      <c r="J729" s="22"/>
    </row>
    <row r="730">
      <c r="I730" s="22"/>
      <c r="J730" s="22"/>
    </row>
    <row r="731">
      <c r="I731" s="22"/>
      <c r="J731" s="22"/>
    </row>
    <row r="732">
      <c r="I732" s="22"/>
      <c r="J732" s="22"/>
    </row>
    <row r="733">
      <c r="I733" s="22"/>
      <c r="J733" s="22"/>
    </row>
    <row r="734">
      <c r="I734" s="22"/>
      <c r="J734" s="22"/>
    </row>
    <row r="735">
      <c r="I735" s="22"/>
      <c r="J735" s="22"/>
    </row>
    <row r="736">
      <c r="I736" s="22"/>
      <c r="J736" s="22"/>
    </row>
    <row r="737">
      <c r="I737" s="22"/>
      <c r="J737" s="22"/>
    </row>
    <row r="738">
      <c r="I738" s="22"/>
      <c r="J738" s="22"/>
    </row>
    <row r="739">
      <c r="I739" s="22"/>
      <c r="J739" s="22"/>
    </row>
    <row r="740">
      <c r="I740" s="22"/>
      <c r="J740" s="22"/>
    </row>
    <row r="741">
      <c r="I741" s="22"/>
      <c r="J741" s="22"/>
    </row>
    <row r="742">
      <c r="I742" s="22"/>
      <c r="J742" s="22"/>
    </row>
    <row r="743">
      <c r="I743" s="22"/>
      <c r="J743" s="22"/>
    </row>
    <row r="744">
      <c r="I744" s="22"/>
      <c r="J744" s="22"/>
    </row>
    <row r="745">
      <c r="I745" s="22"/>
      <c r="J745" s="22"/>
    </row>
    <row r="746">
      <c r="I746" s="22"/>
      <c r="J746" s="22"/>
    </row>
    <row r="747">
      <c r="I747" s="22"/>
      <c r="J747" s="22"/>
    </row>
    <row r="748">
      <c r="I748" s="22"/>
      <c r="J748" s="22"/>
    </row>
    <row r="749">
      <c r="I749" s="22"/>
      <c r="J749" s="22"/>
    </row>
    <row r="750">
      <c r="I750" s="22"/>
      <c r="J750" s="22"/>
    </row>
    <row r="751">
      <c r="I751" s="22"/>
      <c r="J751" s="22"/>
    </row>
    <row r="752">
      <c r="I752" s="22"/>
      <c r="J752" s="22"/>
    </row>
    <row r="753">
      <c r="I753" s="22"/>
      <c r="J753" s="22"/>
    </row>
    <row r="754">
      <c r="I754" s="22"/>
      <c r="J754" s="22"/>
    </row>
    <row r="755">
      <c r="I755" s="22"/>
      <c r="J755" s="22"/>
    </row>
    <row r="756">
      <c r="I756" s="22"/>
      <c r="J756" s="22"/>
    </row>
    <row r="757">
      <c r="I757" s="22"/>
      <c r="J757" s="22"/>
    </row>
    <row r="758">
      <c r="I758" s="22"/>
      <c r="J758" s="22"/>
    </row>
    <row r="759">
      <c r="I759" s="22"/>
      <c r="J759" s="22"/>
    </row>
    <row r="760">
      <c r="I760" s="22"/>
      <c r="J760" s="22"/>
    </row>
    <row r="761">
      <c r="I761" s="22"/>
      <c r="J761" s="22"/>
    </row>
    <row r="762">
      <c r="I762" s="22"/>
      <c r="J762" s="22"/>
    </row>
    <row r="763">
      <c r="I763" s="22"/>
      <c r="J763" s="22"/>
    </row>
    <row r="764">
      <c r="I764" s="22"/>
      <c r="J764" s="22"/>
    </row>
    <row r="765">
      <c r="I765" s="22"/>
      <c r="J765" s="22"/>
    </row>
    <row r="766">
      <c r="I766" s="22"/>
      <c r="J766" s="22"/>
    </row>
    <row r="767">
      <c r="I767" s="22"/>
      <c r="J767" s="22"/>
    </row>
    <row r="768">
      <c r="I768" s="22"/>
      <c r="J768" s="22"/>
    </row>
    <row r="769">
      <c r="I769" s="22"/>
      <c r="J769" s="22"/>
    </row>
    <row r="770">
      <c r="I770" s="22"/>
      <c r="J770" s="22"/>
    </row>
    <row r="771">
      <c r="I771" s="22"/>
      <c r="J771" s="22"/>
    </row>
    <row r="772">
      <c r="I772" s="22"/>
      <c r="J772" s="22"/>
    </row>
    <row r="773">
      <c r="I773" s="22"/>
      <c r="J773" s="22"/>
    </row>
    <row r="774">
      <c r="I774" s="22"/>
      <c r="J774" s="22"/>
    </row>
    <row r="775">
      <c r="I775" s="22"/>
      <c r="J775" s="22"/>
    </row>
    <row r="776">
      <c r="I776" s="22"/>
      <c r="J776" s="22"/>
    </row>
    <row r="777">
      <c r="I777" s="22"/>
      <c r="J777" s="22"/>
    </row>
    <row r="778">
      <c r="I778" s="22"/>
      <c r="J778" s="22"/>
    </row>
    <row r="779">
      <c r="I779" s="22"/>
      <c r="J779" s="22"/>
    </row>
    <row r="780">
      <c r="I780" s="22"/>
      <c r="J780" s="22"/>
    </row>
    <row r="781">
      <c r="I781" s="22"/>
      <c r="J781" s="22"/>
    </row>
    <row r="782">
      <c r="I782" s="22"/>
      <c r="J782" s="22"/>
    </row>
    <row r="783">
      <c r="I783" s="22"/>
      <c r="J783" s="22"/>
    </row>
    <row r="784">
      <c r="I784" s="22"/>
      <c r="J784" s="22"/>
    </row>
    <row r="785">
      <c r="I785" s="22"/>
      <c r="J785" s="22"/>
    </row>
    <row r="786">
      <c r="I786" s="22"/>
      <c r="J786" s="22"/>
    </row>
    <row r="787">
      <c r="I787" s="22"/>
      <c r="J787" s="22"/>
    </row>
    <row r="788">
      <c r="I788" s="22"/>
      <c r="J788" s="22"/>
    </row>
    <row r="789">
      <c r="I789" s="22"/>
      <c r="J789" s="22"/>
    </row>
    <row r="790">
      <c r="I790" s="22"/>
      <c r="J790" s="22"/>
    </row>
    <row r="791">
      <c r="I791" s="22"/>
      <c r="J791" s="22"/>
    </row>
    <row r="792">
      <c r="I792" s="22"/>
      <c r="J792" s="22"/>
    </row>
    <row r="793">
      <c r="I793" s="22"/>
      <c r="J793" s="22"/>
    </row>
    <row r="794">
      <c r="I794" s="22"/>
      <c r="J794" s="22"/>
    </row>
    <row r="795">
      <c r="I795" s="22"/>
      <c r="J795" s="22"/>
    </row>
    <row r="796">
      <c r="I796" s="22"/>
      <c r="J796" s="22"/>
    </row>
    <row r="797">
      <c r="I797" s="22"/>
      <c r="J797" s="22"/>
    </row>
    <row r="798">
      <c r="I798" s="22"/>
      <c r="J798" s="22"/>
    </row>
    <row r="799">
      <c r="I799" s="22"/>
      <c r="J799" s="22"/>
    </row>
    <row r="800">
      <c r="I800" s="22"/>
      <c r="J800" s="22"/>
    </row>
    <row r="801">
      <c r="I801" s="22"/>
      <c r="J801" s="22"/>
    </row>
    <row r="802">
      <c r="I802" s="22"/>
      <c r="J802" s="22"/>
    </row>
    <row r="803">
      <c r="I803" s="22"/>
      <c r="J803" s="22"/>
    </row>
    <row r="804">
      <c r="I804" s="22"/>
      <c r="J804" s="22"/>
    </row>
    <row r="805">
      <c r="I805" s="22"/>
      <c r="J805" s="22"/>
    </row>
    <row r="806">
      <c r="I806" s="22"/>
      <c r="J806" s="22"/>
    </row>
    <row r="807">
      <c r="I807" s="22"/>
      <c r="J807" s="22"/>
    </row>
    <row r="808">
      <c r="I808" s="22"/>
      <c r="J808" s="22"/>
    </row>
    <row r="809">
      <c r="I809" s="22"/>
      <c r="J809" s="22"/>
    </row>
    <row r="810">
      <c r="I810" s="22"/>
      <c r="J810" s="22"/>
    </row>
    <row r="811">
      <c r="I811" s="22"/>
      <c r="J811" s="22"/>
    </row>
    <row r="812">
      <c r="I812" s="22"/>
      <c r="J812" s="22"/>
    </row>
    <row r="813">
      <c r="I813" s="22"/>
      <c r="J813" s="22"/>
    </row>
    <row r="814">
      <c r="I814" s="22"/>
      <c r="J814" s="22"/>
    </row>
    <row r="815">
      <c r="I815" s="22"/>
      <c r="J815" s="22"/>
    </row>
    <row r="816">
      <c r="I816" s="22"/>
      <c r="J816" s="22"/>
    </row>
    <row r="817">
      <c r="I817" s="22"/>
      <c r="J817" s="22"/>
    </row>
    <row r="818">
      <c r="I818" s="22"/>
      <c r="J818" s="22"/>
    </row>
    <row r="819">
      <c r="I819" s="22"/>
      <c r="J819" s="22"/>
    </row>
    <row r="820">
      <c r="I820" s="22"/>
      <c r="J820" s="22"/>
    </row>
    <row r="821">
      <c r="I821" s="22"/>
      <c r="J821" s="22"/>
    </row>
    <row r="822">
      <c r="I822" s="22"/>
      <c r="J822" s="22"/>
    </row>
    <row r="823">
      <c r="I823" s="22"/>
      <c r="J823" s="22"/>
    </row>
    <row r="824">
      <c r="I824" s="22"/>
      <c r="J824" s="22"/>
    </row>
    <row r="825">
      <c r="I825" s="22"/>
      <c r="J825" s="22"/>
    </row>
    <row r="826">
      <c r="I826" s="22"/>
      <c r="J826" s="22"/>
    </row>
    <row r="827">
      <c r="I827" s="22"/>
      <c r="J827" s="22"/>
    </row>
    <row r="828">
      <c r="I828" s="22"/>
      <c r="J828" s="22"/>
    </row>
    <row r="829">
      <c r="I829" s="22"/>
      <c r="J829" s="22"/>
    </row>
    <row r="830">
      <c r="I830" s="22"/>
      <c r="J830" s="22"/>
    </row>
    <row r="831">
      <c r="I831" s="22"/>
      <c r="J831" s="22"/>
    </row>
    <row r="832">
      <c r="I832" s="22"/>
      <c r="J832" s="22"/>
    </row>
    <row r="833">
      <c r="I833" s="22"/>
      <c r="J833" s="22"/>
    </row>
    <row r="834">
      <c r="I834" s="22"/>
      <c r="J834" s="22"/>
    </row>
    <row r="835">
      <c r="I835" s="22"/>
      <c r="J835" s="22"/>
    </row>
    <row r="836">
      <c r="I836" s="22"/>
      <c r="J836" s="22"/>
    </row>
    <row r="837">
      <c r="I837" s="22"/>
      <c r="J837" s="22"/>
    </row>
    <row r="838">
      <c r="I838" s="22"/>
      <c r="J838" s="22"/>
    </row>
    <row r="839">
      <c r="I839" s="22"/>
      <c r="J839" s="22"/>
    </row>
    <row r="840">
      <c r="I840" s="22"/>
      <c r="J840" s="22"/>
    </row>
    <row r="841">
      <c r="I841" s="22"/>
      <c r="J841" s="22"/>
    </row>
    <row r="842">
      <c r="I842" s="22"/>
      <c r="J842" s="22"/>
    </row>
    <row r="843">
      <c r="I843" s="22"/>
      <c r="J843" s="22"/>
    </row>
    <row r="844">
      <c r="I844" s="22"/>
      <c r="J844" s="22"/>
    </row>
    <row r="845">
      <c r="I845" s="22"/>
      <c r="J845" s="22"/>
    </row>
    <row r="846">
      <c r="I846" s="22"/>
      <c r="J846" s="22"/>
    </row>
    <row r="847">
      <c r="I847" s="22"/>
      <c r="J847" s="22"/>
    </row>
    <row r="848">
      <c r="I848" s="22"/>
      <c r="J848" s="22"/>
    </row>
    <row r="849">
      <c r="I849" s="22"/>
      <c r="J849" s="22"/>
    </row>
    <row r="850">
      <c r="I850" s="22"/>
      <c r="J850" s="22"/>
    </row>
    <row r="851">
      <c r="I851" s="22"/>
      <c r="J851" s="22"/>
    </row>
    <row r="852">
      <c r="I852" s="22"/>
      <c r="J852" s="22"/>
    </row>
    <row r="853">
      <c r="I853" s="22"/>
      <c r="J853" s="22"/>
    </row>
    <row r="854">
      <c r="I854" s="22"/>
      <c r="J854" s="22"/>
    </row>
    <row r="855">
      <c r="I855" s="22"/>
      <c r="J855" s="22"/>
    </row>
    <row r="856">
      <c r="I856" s="22"/>
      <c r="J856" s="22"/>
    </row>
    <row r="857">
      <c r="I857" s="22"/>
      <c r="J857" s="22"/>
    </row>
    <row r="858">
      <c r="I858" s="22"/>
      <c r="J858" s="22"/>
    </row>
    <row r="859">
      <c r="I859" s="22"/>
      <c r="J859" s="22"/>
    </row>
    <row r="860">
      <c r="I860" s="22"/>
      <c r="J860" s="22"/>
    </row>
    <row r="861">
      <c r="I861" s="22"/>
      <c r="J861" s="22"/>
    </row>
    <row r="862">
      <c r="I862" s="22"/>
      <c r="J862" s="22"/>
    </row>
    <row r="863">
      <c r="I863" s="22"/>
      <c r="J863" s="22"/>
    </row>
    <row r="864">
      <c r="I864" s="22"/>
      <c r="J864" s="22"/>
    </row>
    <row r="865">
      <c r="I865" s="22"/>
      <c r="J865" s="22"/>
    </row>
    <row r="866">
      <c r="I866" s="22"/>
      <c r="J866" s="22"/>
    </row>
    <row r="867">
      <c r="I867" s="22"/>
      <c r="J867" s="22"/>
    </row>
    <row r="868">
      <c r="I868" s="22"/>
      <c r="J868" s="22"/>
    </row>
    <row r="869">
      <c r="I869" s="22"/>
      <c r="J869" s="22"/>
    </row>
    <row r="870">
      <c r="I870" s="22"/>
      <c r="J870" s="22"/>
    </row>
    <row r="871">
      <c r="I871" s="22"/>
      <c r="J871" s="22"/>
    </row>
    <row r="872">
      <c r="I872" s="22"/>
      <c r="J872" s="22"/>
    </row>
    <row r="873">
      <c r="I873" s="22"/>
      <c r="J873" s="22"/>
    </row>
    <row r="874">
      <c r="I874" s="22"/>
      <c r="J874" s="22"/>
    </row>
    <row r="875">
      <c r="I875" s="22"/>
      <c r="J875" s="22"/>
    </row>
    <row r="876">
      <c r="I876" s="22"/>
      <c r="J876" s="22"/>
    </row>
    <row r="877">
      <c r="I877" s="22"/>
      <c r="J877" s="22"/>
    </row>
    <row r="878">
      <c r="I878" s="22"/>
      <c r="J878" s="22"/>
    </row>
    <row r="879">
      <c r="I879" s="22"/>
      <c r="J879" s="22"/>
    </row>
    <row r="880">
      <c r="I880" s="22"/>
      <c r="J880" s="22"/>
    </row>
    <row r="881">
      <c r="I881" s="22"/>
      <c r="J881" s="22"/>
    </row>
    <row r="882">
      <c r="I882" s="22"/>
      <c r="J882" s="22"/>
    </row>
    <row r="883">
      <c r="I883" s="22"/>
      <c r="J883" s="22"/>
    </row>
    <row r="884">
      <c r="I884" s="22"/>
      <c r="J884" s="22"/>
    </row>
    <row r="885">
      <c r="I885" s="22"/>
      <c r="J885" s="22"/>
    </row>
    <row r="886">
      <c r="I886" s="22"/>
      <c r="J886" s="22"/>
    </row>
    <row r="887">
      <c r="I887" s="22"/>
      <c r="J887" s="22"/>
    </row>
    <row r="888">
      <c r="I888" s="22"/>
      <c r="J888" s="22"/>
    </row>
    <row r="889">
      <c r="I889" s="22"/>
      <c r="J889" s="22"/>
    </row>
    <row r="890">
      <c r="I890" s="22"/>
      <c r="J890" s="22"/>
    </row>
    <row r="891">
      <c r="I891" s="22"/>
      <c r="J891" s="22"/>
    </row>
    <row r="892">
      <c r="I892" s="22"/>
      <c r="J892" s="22"/>
    </row>
    <row r="893">
      <c r="I893" s="22"/>
      <c r="J893" s="22"/>
    </row>
    <row r="894">
      <c r="I894" s="22"/>
      <c r="J894" s="22"/>
    </row>
    <row r="895">
      <c r="I895" s="22"/>
      <c r="J895" s="22"/>
    </row>
    <row r="896">
      <c r="I896" s="22"/>
      <c r="J896" s="22"/>
    </row>
    <row r="897">
      <c r="I897" s="22"/>
      <c r="J897" s="22"/>
    </row>
    <row r="898">
      <c r="I898" s="22"/>
      <c r="J898" s="22"/>
    </row>
    <row r="899">
      <c r="I899" s="22"/>
      <c r="J899" s="22"/>
    </row>
    <row r="900">
      <c r="I900" s="22"/>
      <c r="J900" s="22"/>
    </row>
    <row r="901">
      <c r="I901" s="22"/>
      <c r="J901" s="22"/>
    </row>
    <row r="902">
      <c r="I902" s="22"/>
      <c r="J902" s="22"/>
    </row>
    <row r="903">
      <c r="I903" s="22"/>
      <c r="J903" s="22"/>
    </row>
    <row r="904">
      <c r="I904" s="22"/>
      <c r="J904" s="22"/>
    </row>
    <row r="905">
      <c r="I905" s="22"/>
      <c r="J905" s="22"/>
    </row>
    <row r="906">
      <c r="I906" s="22"/>
      <c r="J906" s="22"/>
    </row>
    <row r="907">
      <c r="I907" s="22"/>
      <c r="J907" s="22"/>
    </row>
    <row r="908">
      <c r="I908" s="22"/>
      <c r="J908" s="22"/>
    </row>
    <row r="909">
      <c r="I909" s="22"/>
      <c r="J909" s="22"/>
    </row>
    <row r="910">
      <c r="I910" s="22"/>
      <c r="J910" s="22"/>
    </row>
    <row r="911">
      <c r="I911" s="22"/>
      <c r="J911" s="22"/>
    </row>
    <row r="912">
      <c r="I912" s="22"/>
      <c r="J912" s="22"/>
    </row>
    <row r="913">
      <c r="I913" s="22"/>
      <c r="J913" s="22"/>
    </row>
    <row r="914">
      <c r="I914" s="22"/>
      <c r="J914" s="22"/>
    </row>
    <row r="915">
      <c r="I915" s="22"/>
      <c r="J915" s="22"/>
    </row>
    <row r="916">
      <c r="I916" s="22"/>
      <c r="J916" s="22"/>
    </row>
    <row r="917">
      <c r="I917" s="22"/>
      <c r="J917" s="22"/>
    </row>
    <row r="918">
      <c r="I918" s="22"/>
      <c r="J918" s="22"/>
    </row>
    <row r="919">
      <c r="I919" s="22"/>
      <c r="J919" s="22"/>
    </row>
    <row r="920">
      <c r="I920" s="22"/>
      <c r="J920" s="22"/>
    </row>
    <row r="921">
      <c r="I921" s="22"/>
      <c r="J921" s="22"/>
    </row>
    <row r="922">
      <c r="I922" s="22"/>
      <c r="J922" s="22"/>
    </row>
    <row r="923">
      <c r="I923" s="22"/>
      <c r="J923" s="22"/>
    </row>
    <row r="924">
      <c r="I924" s="22"/>
      <c r="J924" s="22"/>
    </row>
    <row r="925">
      <c r="I925" s="22"/>
      <c r="J925" s="22"/>
    </row>
    <row r="926">
      <c r="I926" s="22"/>
      <c r="J926" s="22"/>
    </row>
    <row r="927">
      <c r="I927" s="22"/>
      <c r="J927" s="22"/>
    </row>
    <row r="928">
      <c r="I928" s="22"/>
      <c r="J928" s="22"/>
    </row>
    <row r="929">
      <c r="I929" s="22"/>
      <c r="J929" s="22"/>
    </row>
    <row r="930">
      <c r="I930" s="22"/>
      <c r="J930" s="22"/>
    </row>
    <row r="931">
      <c r="I931" s="22"/>
      <c r="J931" s="22"/>
    </row>
    <row r="932">
      <c r="I932" s="22"/>
      <c r="J932" s="22"/>
    </row>
    <row r="933">
      <c r="I933" s="22"/>
      <c r="J933" s="22"/>
    </row>
    <row r="934">
      <c r="I934" s="22"/>
      <c r="J934" s="22"/>
    </row>
    <row r="935">
      <c r="I935" s="22"/>
      <c r="J935" s="22"/>
    </row>
    <row r="936">
      <c r="I936" s="22"/>
      <c r="J936" s="22"/>
    </row>
    <row r="937">
      <c r="I937" s="22"/>
      <c r="J937" s="22"/>
    </row>
    <row r="938">
      <c r="I938" s="22"/>
      <c r="J938" s="22"/>
    </row>
    <row r="939">
      <c r="I939" s="22"/>
      <c r="J939" s="22"/>
    </row>
    <row r="940">
      <c r="I940" s="22"/>
      <c r="J940" s="22"/>
    </row>
    <row r="941">
      <c r="I941" s="22"/>
      <c r="J941" s="22"/>
    </row>
    <row r="942">
      <c r="I942" s="22"/>
      <c r="J942" s="22"/>
    </row>
    <row r="943">
      <c r="I943" s="22"/>
      <c r="J943" s="22"/>
    </row>
    <row r="944">
      <c r="I944" s="22"/>
      <c r="J944" s="22"/>
    </row>
    <row r="945">
      <c r="I945" s="22"/>
      <c r="J945" s="22"/>
    </row>
    <row r="946">
      <c r="I946" s="22"/>
      <c r="J946" s="22"/>
    </row>
    <row r="947">
      <c r="I947" s="22"/>
      <c r="J947" s="22"/>
    </row>
    <row r="948">
      <c r="I948" s="22"/>
      <c r="J948" s="22"/>
    </row>
    <row r="949">
      <c r="I949" s="22"/>
      <c r="J949" s="22"/>
    </row>
    <row r="950">
      <c r="I950" s="22"/>
      <c r="J950" s="22"/>
    </row>
    <row r="951">
      <c r="I951" s="22"/>
      <c r="J951" s="22"/>
    </row>
    <row r="952">
      <c r="I952" s="22"/>
      <c r="J952" s="22"/>
    </row>
    <row r="953">
      <c r="I953" s="22"/>
      <c r="J953" s="22"/>
    </row>
    <row r="954">
      <c r="I954" s="22"/>
      <c r="J954" s="22"/>
    </row>
    <row r="955">
      <c r="I955" s="22"/>
      <c r="J955" s="22"/>
    </row>
    <row r="956">
      <c r="I956" s="22"/>
      <c r="J956" s="22"/>
    </row>
    <row r="957">
      <c r="I957" s="22"/>
      <c r="J957" s="22"/>
    </row>
    <row r="958">
      <c r="I958" s="22"/>
      <c r="J958" s="22"/>
    </row>
    <row r="959">
      <c r="I959" s="22"/>
      <c r="J959" s="22"/>
    </row>
    <row r="960">
      <c r="I960" s="22"/>
      <c r="J960" s="22"/>
    </row>
    <row r="961">
      <c r="I961" s="22"/>
      <c r="J961" s="22"/>
    </row>
    <row r="962">
      <c r="I962" s="22"/>
      <c r="J962" s="22"/>
    </row>
    <row r="963">
      <c r="I963" s="22"/>
      <c r="J963" s="22"/>
    </row>
    <row r="964">
      <c r="I964" s="22"/>
      <c r="J964" s="22"/>
    </row>
    <row r="965">
      <c r="I965" s="22"/>
      <c r="J965" s="22"/>
    </row>
    <row r="966">
      <c r="I966" s="22"/>
      <c r="J966" s="22"/>
    </row>
    <row r="967">
      <c r="I967" s="22"/>
      <c r="J967" s="22"/>
    </row>
    <row r="968">
      <c r="I968" s="22"/>
      <c r="J968" s="22"/>
    </row>
    <row r="969">
      <c r="I969" s="22"/>
      <c r="J969" s="22"/>
    </row>
    <row r="970">
      <c r="I970" s="22"/>
      <c r="J970" s="22"/>
    </row>
    <row r="971">
      <c r="I971" s="22"/>
      <c r="J971" s="22"/>
    </row>
    <row r="972">
      <c r="I972" s="22"/>
      <c r="J972" s="22"/>
    </row>
    <row r="973">
      <c r="I973" s="22"/>
      <c r="J973" s="22"/>
    </row>
    <row r="974">
      <c r="I974" s="22"/>
      <c r="J974" s="22"/>
    </row>
    <row r="975">
      <c r="I975" s="22"/>
      <c r="J975" s="22"/>
    </row>
    <row r="976">
      <c r="I976" s="22"/>
      <c r="J976" s="22"/>
    </row>
    <row r="977">
      <c r="I977" s="22"/>
      <c r="J977" s="22"/>
    </row>
    <row r="978">
      <c r="I978" s="22"/>
      <c r="J978" s="22"/>
    </row>
    <row r="979">
      <c r="I979" s="22"/>
      <c r="J979" s="22"/>
    </row>
    <row r="980">
      <c r="I980" s="22"/>
      <c r="J980" s="22"/>
    </row>
    <row r="981">
      <c r="I981" s="22"/>
      <c r="J981" s="22"/>
    </row>
    <row r="982">
      <c r="I982" s="22"/>
      <c r="J982" s="22"/>
    </row>
    <row r="983">
      <c r="I983" s="22"/>
      <c r="J983" s="22"/>
    </row>
    <row r="984">
      <c r="I984" s="22"/>
      <c r="J984" s="22"/>
    </row>
    <row r="985">
      <c r="I985" s="22"/>
      <c r="J985" s="22"/>
    </row>
    <row r="986">
      <c r="I986" s="22"/>
      <c r="J986" s="22"/>
    </row>
    <row r="987">
      <c r="I987" s="22"/>
      <c r="J987" s="22"/>
    </row>
    <row r="988">
      <c r="I988" s="22"/>
      <c r="J988" s="22"/>
    </row>
    <row r="989">
      <c r="I989" s="22"/>
      <c r="J989" s="22"/>
    </row>
    <row r="990">
      <c r="I990" s="22"/>
      <c r="J990" s="22"/>
    </row>
    <row r="991">
      <c r="I991" s="22"/>
      <c r="J991" s="22"/>
    </row>
    <row r="992">
      <c r="I992" s="22"/>
      <c r="J992" s="22"/>
    </row>
    <row r="993">
      <c r="I993" s="22"/>
      <c r="J993" s="22"/>
    </row>
    <row r="994">
      <c r="I994" s="22"/>
      <c r="J994" s="22"/>
    </row>
    <row r="995">
      <c r="I995" s="22"/>
      <c r="J995" s="22"/>
    </row>
    <row r="996">
      <c r="I996" s="22"/>
      <c r="J996" s="22"/>
    </row>
    <row r="997">
      <c r="I997" s="22"/>
      <c r="J997" s="22"/>
    </row>
    <row r="998">
      <c r="I998" s="22"/>
      <c r="J998" s="22"/>
    </row>
    <row r="999">
      <c r="I999" s="22"/>
      <c r="J999" s="22"/>
    </row>
    <row r="1000">
      <c r="I1000" s="22"/>
      <c r="J1000" s="22"/>
    </row>
  </sheetData>
  <mergeCells count="7">
    <mergeCell ref="A1:L1"/>
    <mergeCell ref="A2:B2"/>
    <mergeCell ref="A3:B3"/>
    <mergeCell ref="C3:D3"/>
    <mergeCell ref="A4:B4"/>
    <mergeCell ref="C4:D4"/>
    <mergeCell ref="A5:B5"/>
  </mergeCells>
  <conditionalFormatting sqref="P8:P92">
    <cfRule type="containsText" dxfId="0" priority="1" operator="containsText" text="Vàng">
      <formula>NOT(ISERROR(SEARCH(("Vàng"),(P8))))</formula>
    </cfRule>
  </conditionalFormatting>
  <conditionalFormatting sqref="P8:P92">
    <cfRule type="containsText" dxfId="1" priority="2" operator="containsText" text="Xanh">
      <formula>NOT(ISERROR(SEARCH(("Xanh"),(P8))))</formula>
    </cfRule>
  </conditionalFormatting>
  <conditionalFormatting sqref="P8:P92">
    <cfRule type="containsText" dxfId="2" priority="3" operator="containsText" text="Đỏ">
      <formula>NOT(ISERROR(SEARCH(("Đỏ"),(P8))))</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hidden="1" min="2" max="2" width="25.25"/>
    <col customWidth="1" hidden="1" min="3" max="3" width="11.0"/>
    <col customWidth="1" hidden="1" min="4" max="4" width="5.75"/>
    <col customWidth="1" hidden="1" min="5" max="5" width="19.75"/>
    <col customWidth="1" min="6" max="6" width="17.63"/>
    <col customWidth="1" min="7" max="7" width="40.0"/>
    <col customWidth="1" min="8" max="8" width="36.75"/>
    <col customWidth="1" min="9" max="9" width="59.88"/>
    <col customWidth="1" min="10" max="10" width="31.38"/>
    <col customWidth="1" min="11" max="11" width="25.5"/>
    <col customWidth="1" min="12" max="12" width="15.0"/>
    <col customWidth="1" min="13" max="13" width="8.13"/>
    <col customWidth="1" min="14" max="14" width="12.13"/>
    <col customWidth="1" min="15" max="15" width="38.75"/>
  </cols>
  <sheetData>
    <row r="1">
      <c r="A1" s="18" t="s">
        <v>291</v>
      </c>
      <c r="B1" s="18"/>
      <c r="C1" s="18"/>
      <c r="D1" s="18"/>
      <c r="E1" s="18"/>
      <c r="F1" s="18"/>
      <c r="G1" s="18"/>
      <c r="H1" s="18"/>
      <c r="I1" s="19"/>
      <c r="J1" s="28"/>
      <c r="K1" s="21"/>
    </row>
    <row r="2">
      <c r="A2" s="54" t="s">
        <v>30</v>
      </c>
      <c r="C2" s="24">
        <v>44745.0</v>
      </c>
      <c r="D2" s="25"/>
      <c r="E2" s="26"/>
      <c r="F2" s="27"/>
      <c r="G2" s="97" t="s">
        <v>292</v>
      </c>
      <c r="H2" s="98" t="s">
        <v>293</v>
      </c>
      <c r="I2" s="20"/>
      <c r="J2" s="20"/>
      <c r="K2" s="28"/>
    </row>
    <row r="3">
      <c r="A3" s="54" t="s">
        <v>31</v>
      </c>
      <c r="C3" s="29" t="s">
        <v>32</v>
      </c>
      <c r="E3" s="27"/>
      <c r="F3" s="28"/>
      <c r="G3" s="97" t="s">
        <v>294</v>
      </c>
      <c r="H3" s="98" t="s">
        <v>295</v>
      </c>
      <c r="I3" s="20"/>
      <c r="J3" s="20"/>
      <c r="K3" s="28"/>
    </row>
    <row r="4">
      <c r="A4" s="54" t="s">
        <v>33</v>
      </c>
      <c r="C4" s="30">
        <f> COUNTIF(M8:M935,"TT")</f>
        <v>0</v>
      </c>
      <c r="E4" s="27"/>
      <c r="F4" s="27"/>
      <c r="G4" s="97" t="s">
        <v>296</v>
      </c>
      <c r="H4" s="20"/>
      <c r="I4" s="20"/>
      <c r="J4" s="20"/>
      <c r="K4" s="27"/>
    </row>
    <row r="5">
      <c r="A5" s="54" t="s">
        <v>34</v>
      </c>
      <c r="C5" s="23"/>
      <c r="D5" s="30">
        <f>COUNTIF(M8:M935,"A Tiến")</f>
        <v>0</v>
      </c>
      <c r="E5" s="31"/>
      <c r="F5" s="27"/>
      <c r="G5" s="97" t="s">
        <v>297</v>
      </c>
      <c r="H5" s="20"/>
      <c r="I5" s="20"/>
      <c r="J5" s="20"/>
      <c r="K5" s="27"/>
    </row>
    <row r="6">
      <c r="A6" s="54" t="s">
        <v>35</v>
      </c>
      <c r="C6" s="25">
        <v>107.0</v>
      </c>
      <c r="D6" s="30">
        <f>SUM(C4:D5)</f>
        <v>0</v>
      </c>
      <c r="E6" s="27"/>
      <c r="F6" s="27"/>
      <c r="G6" s="27"/>
      <c r="H6" s="32"/>
      <c r="I6" s="32"/>
      <c r="J6" s="32"/>
      <c r="K6" s="27"/>
    </row>
    <row r="7">
      <c r="A7" s="59" t="s">
        <v>298</v>
      </c>
      <c r="B7" s="84" t="s">
        <v>15</v>
      </c>
      <c r="C7" s="59" t="s">
        <v>16</v>
      </c>
      <c r="D7" s="84" t="s">
        <v>299</v>
      </c>
      <c r="E7" s="84" t="s">
        <v>18</v>
      </c>
      <c r="F7" s="59" t="s">
        <v>19</v>
      </c>
      <c r="G7" s="85" t="s">
        <v>20</v>
      </c>
      <c r="H7" s="85" t="s">
        <v>21</v>
      </c>
      <c r="I7" s="90" t="s">
        <v>22</v>
      </c>
      <c r="J7" s="85" t="s">
        <v>300</v>
      </c>
      <c r="K7" s="59" t="s">
        <v>36</v>
      </c>
      <c r="L7" s="90" t="s">
        <v>25</v>
      </c>
      <c r="M7" s="99" t="s">
        <v>26</v>
      </c>
      <c r="N7" s="100" t="s">
        <v>27</v>
      </c>
      <c r="O7" s="59" t="s">
        <v>28</v>
      </c>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row>
    <row r="8">
      <c r="A8" s="101"/>
      <c r="B8" s="102"/>
      <c r="C8" s="103"/>
      <c r="D8" s="102"/>
      <c r="E8" s="104"/>
      <c r="F8" s="102"/>
      <c r="G8" s="102"/>
      <c r="H8" s="102" t="s">
        <v>301</v>
      </c>
      <c r="I8" s="105" t="s">
        <v>302</v>
      </c>
      <c r="J8" s="102"/>
      <c r="K8" s="102"/>
      <c r="L8" s="106"/>
      <c r="M8" s="106"/>
      <c r="N8" s="106"/>
      <c r="O8" s="106"/>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c r="CH8" s="103"/>
      <c r="CI8" s="103"/>
      <c r="CJ8" s="103"/>
      <c r="CK8" s="103"/>
      <c r="CL8" s="103"/>
      <c r="CM8" s="103"/>
      <c r="CN8" s="103"/>
      <c r="CO8" s="103"/>
      <c r="CP8" s="103"/>
      <c r="CQ8" s="103"/>
      <c r="CR8" s="103"/>
      <c r="CS8" s="103"/>
      <c r="CT8" s="103"/>
      <c r="CU8" s="103"/>
      <c r="CV8" s="103"/>
      <c r="CW8" s="103"/>
      <c r="CX8" s="103"/>
      <c r="CY8" s="103"/>
      <c r="CZ8" s="103"/>
      <c r="DA8" s="103"/>
      <c r="DB8" s="103"/>
      <c r="DC8" s="103"/>
      <c r="DD8" s="103"/>
      <c r="DE8" s="103"/>
    </row>
    <row r="9">
      <c r="A9" s="101"/>
      <c r="B9" s="102"/>
      <c r="C9" s="103"/>
      <c r="D9" s="102"/>
      <c r="E9" s="104"/>
      <c r="F9" s="102"/>
      <c r="G9" s="102"/>
      <c r="H9" s="102" t="s">
        <v>303</v>
      </c>
      <c r="I9" s="105"/>
      <c r="J9" s="102"/>
      <c r="K9" s="102"/>
      <c r="L9" s="106"/>
      <c r="M9" s="106"/>
      <c r="N9" s="106"/>
      <c r="O9" s="106"/>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row>
    <row r="10">
      <c r="A10" s="14" t="s">
        <v>304</v>
      </c>
      <c r="B10" s="41"/>
      <c r="D10" s="41"/>
      <c r="E10" s="107"/>
      <c r="F10" s="41" t="s">
        <v>305</v>
      </c>
      <c r="G10" s="41" t="s">
        <v>306</v>
      </c>
      <c r="H10" s="41" t="s">
        <v>307</v>
      </c>
      <c r="I10" s="43" t="s">
        <v>308</v>
      </c>
      <c r="J10" s="41" t="s">
        <v>309</v>
      </c>
      <c r="K10" s="41"/>
      <c r="L10" s="14"/>
      <c r="M10" s="14"/>
      <c r="N10" s="14"/>
      <c r="O10" s="14"/>
    </row>
    <row r="11">
      <c r="A11" s="108"/>
      <c r="B11" s="41"/>
      <c r="D11" s="41"/>
      <c r="E11" s="107"/>
      <c r="F11" s="41" t="s">
        <v>305</v>
      </c>
      <c r="G11" s="41" t="s">
        <v>310</v>
      </c>
      <c r="H11" s="41" t="s">
        <v>311</v>
      </c>
      <c r="I11" s="43"/>
      <c r="J11" s="41" t="s">
        <v>309</v>
      </c>
      <c r="K11" s="41"/>
      <c r="L11" s="14"/>
      <c r="M11" s="14"/>
      <c r="N11" s="14"/>
      <c r="O11" s="14"/>
    </row>
    <row r="12">
      <c r="A12" s="108"/>
      <c r="B12" s="41"/>
      <c r="D12" s="41"/>
      <c r="E12" s="107"/>
      <c r="F12" s="41"/>
      <c r="G12" s="41"/>
      <c r="H12" s="41" t="s">
        <v>312</v>
      </c>
      <c r="I12" s="43"/>
      <c r="J12" s="41" t="s">
        <v>313</v>
      </c>
      <c r="K12" s="41"/>
      <c r="L12" s="14"/>
      <c r="M12" s="14"/>
      <c r="N12" s="14"/>
      <c r="O12" s="14"/>
    </row>
    <row r="13">
      <c r="A13" s="108">
        <v>46027.0</v>
      </c>
      <c r="B13" s="41"/>
      <c r="D13" s="41"/>
      <c r="E13" s="107"/>
      <c r="F13" s="41" t="s">
        <v>305</v>
      </c>
      <c r="G13" s="41" t="s">
        <v>314</v>
      </c>
      <c r="H13" s="41" t="s">
        <v>315</v>
      </c>
      <c r="I13" s="43"/>
      <c r="J13" s="41" t="s">
        <v>316</v>
      </c>
      <c r="K13" s="41"/>
      <c r="L13" s="14"/>
      <c r="M13" s="14"/>
      <c r="N13" s="14"/>
      <c r="O13" s="14"/>
    </row>
  </sheetData>
  <mergeCells count="7">
    <mergeCell ref="A2:B2"/>
    <mergeCell ref="A3:B3"/>
    <mergeCell ref="C3:D3"/>
    <mergeCell ref="A4:B4"/>
    <mergeCell ref="C4:D4"/>
    <mergeCell ref="A5:B5"/>
    <mergeCell ref="A6:B6"/>
  </mergeCells>
  <conditionalFormatting sqref="L1:L933">
    <cfRule type="containsText" dxfId="0" priority="1" operator="containsText" text="Vàng">
      <formula>NOT(ISERROR(SEARCH(("Vàng"),(L1))))</formula>
    </cfRule>
  </conditionalFormatting>
  <conditionalFormatting sqref="L1:L933">
    <cfRule type="containsText" dxfId="1" priority="2" operator="containsText" text="Xanh">
      <formula>NOT(ISERROR(SEARCH(("Xanh"),(L1))))</formula>
    </cfRule>
  </conditionalFormatting>
  <conditionalFormatting sqref="L1:L933">
    <cfRule type="containsText" dxfId="2" priority="3" operator="containsText" text="Đỏ">
      <formula>NOT(ISERROR(SEARCH(("Đỏ"),(L1))))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2.13"/>
    <col customWidth="1" min="3" max="3" width="9.63"/>
    <col customWidth="1" min="4" max="4" width="8.63"/>
    <col customWidth="1" min="5" max="5" width="10.5"/>
    <col customWidth="1" min="6" max="6" width="7.88"/>
    <col customWidth="1" min="7" max="7" width="21.13"/>
    <col customWidth="1" min="8" max="8" width="18.38"/>
    <col customWidth="1" min="9" max="9" width="37.25"/>
    <col customWidth="1" min="10" max="10" width="30.88"/>
    <col customWidth="1" min="11" max="11" width="18.75"/>
    <col customWidth="1" min="12" max="12" width="8.13"/>
    <col customWidth="1" min="13" max="14" width="10.75"/>
    <col customWidth="1" min="15" max="15" width="31.13"/>
    <col customWidth="1" min="16" max="16" width="20.13"/>
  </cols>
  <sheetData>
    <row r="1">
      <c r="A1" s="17" t="s">
        <v>29</v>
      </c>
      <c r="J1" s="53"/>
      <c r="K1" s="27"/>
      <c r="O1" s="22"/>
    </row>
    <row r="2">
      <c r="A2" s="56" t="s">
        <v>30</v>
      </c>
      <c r="C2" s="25">
        <v>2026.0</v>
      </c>
      <c r="D2" s="25"/>
      <c r="E2" s="26"/>
      <c r="F2" s="20"/>
      <c r="G2" s="20"/>
      <c r="H2" s="20"/>
      <c r="I2" s="20"/>
      <c r="J2" s="20"/>
      <c r="K2" s="28"/>
      <c r="O2" s="22"/>
    </row>
    <row r="3">
      <c r="A3" s="56" t="s">
        <v>290</v>
      </c>
      <c r="C3" s="23">
        <f>COUNTIF(M7:M713,"ASGL")</f>
        <v>7</v>
      </c>
      <c r="D3" s="23"/>
      <c r="E3" s="27"/>
      <c r="F3" s="32"/>
      <c r="G3" s="20"/>
      <c r="H3" s="20"/>
      <c r="I3" s="20"/>
      <c r="J3" s="20"/>
      <c r="K3" s="28"/>
      <c r="O3" s="22"/>
    </row>
    <row r="4">
      <c r="A4" s="56" t="s">
        <v>174</v>
      </c>
      <c r="C4" s="109">
        <f>COUNTIF(M8:M713,"5P")</f>
        <v>10</v>
      </c>
      <c r="D4" s="109"/>
      <c r="E4" s="54"/>
      <c r="F4" s="23"/>
      <c r="G4" s="23"/>
      <c r="H4" s="30"/>
      <c r="I4" s="20"/>
      <c r="J4" s="20"/>
      <c r="K4" s="27"/>
      <c r="O4" s="22"/>
    </row>
    <row r="5">
      <c r="A5" s="23" t="s">
        <v>35</v>
      </c>
      <c r="C5" s="25">
        <f>C3+C4</f>
        <v>17</v>
      </c>
      <c r="D5" s="30"/>
      <c r="E5" s="31"/>
      <c r="F5" s="20"/>
      <c r="G5" s="20"/>
      <c r="H5" s="20"/>
      <c r="I5" s="20"/>
      <c r="J5" s="20"/>
      <c r="K5" s="27"/>
      <c r="O5" s="22"/>
    </row>
    <row r="6">
      <c r="A6" s="20"/>
      <c r="B6" s="27"/>
      <c r="C6" s="20"/>
      <c r="D6" s="20"/>
      <c r="E6" s="27"/>
      <c r="F6" s="20"/>
      <c r="G6" s="20"/>
      <c r="H6" s="20"/>
      <c r="I6" s="20"/>
      <c r="J6" s="20"/>
      <c r="K6" s="27"/>
      <c r="O6" s="22"/>
    </row>
    <row r="7">
      <c r="A7" s="59" t="s">
        <v>14</v>
      </c>
      <c r="B7" s="84" t="s">
        <v>15</v>
      </c>
      <c r="C7" s="59" t="s">
        <v>16</v>
      </c>
      <c r="D7" s="84" t="s">
        <v>17</v>
      </c>
      <c r="E7" s="84" t="s">
        <v>18</v>
      </c>
      <c r="F7" s="59" t="s">
        <v>19</v>
      </c>
      <c r="G7" s="85" t="s">
        <v>20</v>
      </c>
      <c r="H7" s="85" t="s">
        <v>21</v>
      </c>
      <c r="I7" s="86" t="s">
        <v>23</v>
      </c>
      <c r="J7" s="59" t="s">
        <v>22</v>
      </c>
      <c r="K7" s="59" t="s">
        <v>36</v>
      </c>
      <c r="L7" s="90" t="s">
        <v>25</v>
      </c>
      <c r="M7" s="36" t="s">
        <v>317</v>
      </c>
      <c r="N7" s="100"/>
      <c r="O7" s="59" t="s">
        <v>28</v>
      </c>
    </row>
    <row r="8" ht="15.0" customHeight="1">
      <c r="A8" s="94">
        <v>1.0</v>
      </c>
      <c r="B8" s="93">
        <v>1.0786188476E11</v>
      </c>
      <c r="C8" s="110"/>
      <c r="D8" s="94" t="s">
        <v>90</v>
      </c>
      <c r="E8" s="111">
        <v>46027.0</v>
      </c>
      <c r="F8" s="94" t="s">
        <v>138</v>
      </c>
      <c r="G8" s="94" t="s">
        <v>318</v>
      </c>
      <c r="H8" s="94" t="s">
        <v>319</v>
      </c>
      <c r="I8" s="112" t="s">
        <v>320</v>
      </c>
      <c r="J8" s="112" t="s">
        <v>321</v>
      </c>
      <c r="K8" s="94" t="s">
        <v>83</v>
      </c>
      <c r="L8" s="93" t="s">
        <v>57</v>
      </c>
      <c r="M8" s="94" t="s">
        <v>174</v>
      </c>
      <c r="N8" s="94" t="s">
        <v>322</v>
      </c>
      <c r="O8" s="94"/>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3"/>
      <c r="BP8" s="113"/>
      <c r="BQ8" s="113"/>
      <c r="BR8" s="113"/>
      <c r="BS8" s="113"/>
      <c r="BT8" s="113"/>
      <c r="BU8" s="113"/>
      <c r="BV8" s="113"/>
      <c r="BW8" s="113"/>
      <c r="BX8" s="113"/>
      <c r="BY8" s="113"/>
      <c r="BZ8" s="113"/>
      <c r="CA8" s="113"/>
      <c r="CB8" s="113"/>
      <c r="CC8" s="113"/>
      <c r="CD8" s="113"/>
      <c r="CE8" s="113"/>
      <c r="CF8" s="113"/>
      <c r="CG8" s="113"/>
      <c r="CH8" s="113"/>
      <c r="CI8" s="113"/>
      <c r="CJ8" s="113"/>
      <c r="CK8" s="113"/>
      <c r="CL8" s="113"/>
      <c r="CM8" s="113"/>
      <c r="CN8" s="113"/>
      <c r="CO8" s="113"/>
      <c r="CP8" s="113"/>
      <c r="CQ8" s="113"/>
      <c r="CR8" s="113"/>
      <c r="CS8" s="113"/>
      <c r="CT8" s="113"/>
      <c r="CU8" s="113"/>
      <c r="CV8" s="113"/>
      <c r="CW8" s="113"/>
      <c r="CX8" s="113"/>
      <c r="CY8" s="113"/>
      <c r="CZ8" s="113"/>
      <c r="DA8" s="113"/>
      <c r="DB8" s="113"/>
      <c r="DC8" s="113"/>
      <c r="DD8" s="113"/>
      <c r="DE8" s="113"/>
      <c r="DF8" s="113"/>
    </row>
    <row r="9" ht="15.0" customHeight="1">
      <c r="A9" s="94">
        <v>2.0</v>
      </c>
      <c r="B9" s="93">
        <v>1.0786259703E11</v>
      </c>
      <c r="C9" s="110"/>
      <c r="D9" s="94" t="s">
        <v>90</v>
      </c>
      <c r="E9" s="111">
        <v>46027.0</v>
      </c>
      <c r="F9" s="94" t="s">
        <v>138</v>
      </c>
      <c r="G9" s="94" t="s">
        <v>323</v>
      </c>
      <c r="H9" s="94" t="s">
        <v>324</v>
      </c>
      <c r="I9" s="112" t="s">
        <v>325</v>
      </c>
      <c r="J9" s="112" t="s">
        <v>321</v>
      </c>
      <c r="K9" s="94" t="s">
        <v>83</v>
      </c>
      <c r="L9" s="93" t="s">
        <v>57</v>
      </c>
      <c r="M9" s="94" t="s">
        <v>174</v>
      </c>
      <c r="N9" s="94" t="s">
        <v>322</v>
      </c>
      <c r="O9" s="94"/>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3"/>
      <c r="CB9" s="113"/>
      <c r="CC9" s="113"/>
      <c r="CD9" s="113"/>
      <c r="CE9" s="113"/>
      <c r="CF9" s="113"/>
      <c r="CG9" s="113"/>
      <c r="CH9" s="113"/>
      <c r="CI9" s="113"/>
      <c r="CJ9" s="113"/>
      <c r="CK9" s="113"/>
      <c r="CL9" s="113"/>
      <c r="CM9" s="113"/>
      <c r="CN9" s="113"/>
      <c r="CO9" s="113"/>
      <c r="CP9" s="113"/>
      <c r="CQ9" s="113"/>
      <c r="CR9" s="113"/>
      <c r="CS9" s="113"/>
      <c r="CT9" s="113"/>
      <c r="CU9" s="113"/>
      <c r="CV9" s="113"/>
      <c r="CW9" s="113"/>
      <c r="CX9" s="113"/>
      <c r="CY9" s="113"/>
      <c r="CZ9" s="113"/>
      <c r="DA9" s="113"/>
      <c r="DB9" s="113"/>
      <c r="DC9" s="113"/>
      <c r="DD9" s="113"/>
      <c r="DE9" s="113"/>
      <c r="DF9" s="113"/>
    </row>
    <row r="10" ht="15.0" customHeight="1">
      <c r="A10" s="94">
        <v>3.0</v>
      </c>
      <c r="B10" s="93">
        <v>1.0786234912E11</v>
      </c>
      <c r="C10" s="110"/>
      <c r="D10" s="94" t="s">
        <v>90</v>
      </c>
      <c r="E10" s="111">
        <v>46027.0</v>
      </c>
      <c r="F10" s="94" t="s">
        <v>138</v>
      </c>
      <c r="G10" s="94" t="s">
        <v>326</v>
      </c>
      <c r="H10" s="94" t="s">
        <v>327</v>
      </c>
      <c r="I10" s="112" t="s">
        <v>328</v>
      </c>
      <c r="J10" s="112" t="s">
        <v>321</v>
      </c>
      <c r="K10" s="94" t="s">
        <v>83</v>
      </c>
      <c r="L10" s="93" t="s">
        <v>57</v>
      </c>
      <c r="M10" s="94" t="s">
        <v>174</v>
      </c>
      <c r="N10" s="94" t="s">
        <v>322</v>
      </c>
      <c r="O10" s="94" t="s">
        <v>329</v>
      </c>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3"/>
      <c r="BP10" s="113"/>
      <c r="BQ10" s="113"/>
      <c r="BR10" s="113"/>
      <c r="BS10" s="113"/>
      <c r="BT10" s="113"/>
      <c r="BU10" s="113"/>
      <c r="BV10" s="113"/>
      <c r="BW10" s="113"/>
      <c r="BX10" s="113"/>
      <c r="BY10" s="113"/>
      <c r="BZ10" s="113"/>
      <c r="CA10" s="113"/>
      <c r="CB10" s="113"/>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row>
    <row r="11" ht="15.0" customHeight="1">
      <c r="A11" s="94">
        <v>4.0</v>
      </c>
      <c r="B11" s="93">
        <v>1.0786293384E11</v>
      </c>
      <c r="C11" s="110"/>
      <c r="D11" s="94" t="s">
        <v>90</v>
      </c>
      <c r="E11" s="111">
        <v>46027.0</v>
      </c>
      <c r="F11" s="94" t="s">
        <v>138</v>
      </c>
      <c r="G11" s="94" t="s">
        <v>330</v>
      </c>
      <c r="H11" s="94">
        <v>2000027.0</v>
      </c>
      <c r="I11" s="112" t="s">
        <v>331</v>
      </c>
      <c r="J11" s="112" t="s">
        <v>321</v>
      </c>
      <c r="K11" s="94" t="s">
        <v>83</v>
      </c>
      <c r="L11" s="93" t="s">
        <v>57</v>
      </c>
      <c r="M11" s="94" t="s">
        <v>174</v>
      </c>
      <c r="N11" s="94" t="s">
        <v>322</v>
      </c>
      <c r="O11" s="94" t="s">
        <v>332</v>
      </c>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3"/>
      <c r="BP11" s="113"/>
      <c r="BQ11" s="113"/>
      <c r="BR11" s="113"/>
      <c r="BS11" s="113"/>
      <c r="BT11" s="113"/>
      <c r="BU11" s="113"/>
      <c r="BV11" s="113"/>
      <c r="BW11" s="113"/>
      <c r="BX11" s="113"/>
      <c r="BY11" s="113"/>
      <c r="BZ11" s="113"/>
      <c r="CA11" s="113"/>
      <c r="CB11" s="113"/>
      <c r="CC11" s="113"/>
      <c r="CD11" s="113"/>
      <c r="CE11" s="113"/>
      <c r="CF11" s="113"/>
      <c r="CG11" s="113"/>
      <c r="CH11" s="113"/>
      <c r="CI11" s="113"/>
      <c r="CJ11" s="113"/>
      <c r="CK11" s="113"/>
      <c r="CL11" s="113"/>
      <c r="CM11" s="113"/>
      <c r="CN11" s="113"/>
      <c r="CO11" s="113"/>
      <c r="CP11" s="113"/>
      <c r="CQ11" s="113"/>
      <c r="CR11" s="113"/>
      <c r="CS11" s="113"/>
      <c r="CT11" s="113"/>
      <c r="CU11" s="113"/>
      <c r="CV11" s="113"/>
      <c r="CW11" s="113"/>
      <c r="CX11" s="113"/>
      <c r="CY11" s="113"/>
      <c r="CZ11" s="113"/>
      <c r="DA11" s="113"/>
      <c r="DB11" s="113"/>
      <c r="DC11" s="113"/>
      <c r="DD11" s="113"/>
      <c r="DE11" s="113"/>
      <c r="DF11" s="113"/>
    </row>
    <row r="12" ht="15.0" customHeight="1">
      <c r="A12" s="94">
        <v>5.0</v>
      </c>
      <c r="B12" s="93">
        <v>3.0812357361E11</v>
      </c>
      <c r="C12" s="110"/>
      <c r="D12" s="94" t="s">
        <v>194</v>
      </c>
      <c r="E12" s="111">
        <v>46028.0</v>
      </c>
      <c r="F12" s="94" t="s">
        <v>138</v>
      </c>
      <c r="G12" s="94">
        <v>1.22600035642166E14</v>
      </c>
      <c r="H12" s="94" t="s">
        <v>333</v>
      </c>
      <c r="I12" s="112" t="s">
        <v>321</v>
      </c>
      <c r="J12" s="112" t="s">
        <v>334</v>
      </c>
      <c r="K12" s="94" t="s">
        <v>246</v>
      </c>
      <c r="L12" s="93" t="s">
        <v>57</v>
      </c>
      <c r="M12" s="94" t="s">
        <v>335</v>
      </c>
      <c r="N12" s="94" t="s">
        <v>13</v>
      </c>
      <c r="O12" s="94"/>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3"/>
      <c r="CG12" s="113"/>
      <c r="CH12" s="113"/>
      <c r="CI12" s="113"/>
      <c r="CJ12" s="113"/>
      <c r="CK12" s="113"/>
      <c r="CL12" s="113"/>
      <c r="CM12" s="113"/>
      <c r="CN12" s="113"/>
      <c r="CO12" s="113"/>
      <c r="CP12" s="113"/>
      <c r="CQ12" s="113"/>
      <c r="CR12" s="113"/>
      <c r="CS12" s="113"/>
      <c r="CT12" s="113"/>
      <c r="CU12" s="113"/>
      <c r="CV12" s="113"/>
      <c r="CW12" s="113"/>
      <c r="CX12" s="113"/>
      <c r="CY12" s="113"/>
      <c r="CZ12" s="113"/>
      <c r="DA12" s="113"/>
      <c r="DB12" s="113"/>
      <c r="DC12" s="113"/>
      <c r="DD12" s="113"/>
      <c r="DE12" s="113"/>
      <c r="DF12" s="113"/>
    </row>
    <row r="13" ht="15.0" customHeight="1">
      <c r="A13" s="94">
        <v>6.0</v>
      </c>
      <c r="B13" s="93">
        <v>1.0786567375E11</v>
      </c>
      <c r="C13" s="110"/>
      <c r="D13" s="94" t="s">
        <v>37</v>
      </c>
      <c r="E13" s="111">
        <v>46028.0</v>
      </c>
      <c r="F13" s="94" t="s">
        <v>138</v>
      </c>
      <c r="G13" s="94">
        <v>1.32600035640661E14</v>
      </c>
      <c r="H13" s="94" t="s">
        <v>336</v>
      </c>
      <c r="I13" s="112" t="s">
        <v>337</v>
      </c>
      <c r="J13" s="112" t="s">
        <v>321</v>
      </c>
      <c r="K13" s="94" t="s">
        <v>338</v>
      </c>
      <c r="L13" s="93" t="s">
        <v>57</v>
      </c>
      <c r="M13" s="94" t="s">
        <v>290</v>
      </c>
      <c r="N13" s="94" t="s">
        <v>322</v>
      </c>
      <c r="O13" s="94"/>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13"/>
      <c r="CE13" s="113"/>
      <c r="CF13" s="113"/>
      <c r="CG13" s="113"/>
      <c r="CH13" s="113"/>
      <c r="CI13" s="113"/>
      <c r="CJ13" s="113"/>
      <c r="CK13" s="113"/>
      <c r="CL13" s="113"/>
      <c r="CM13" s="113"/>
      <c r="CN13" s="113"/>
      <c r="CO13" s="113"/>
      <c r="CP13" s="113"/>
      <c r="CQ13" s="113"/>
      <c r="CR13" s="113"/>
      <c r="CS13" s="113"/>
      <c r="CT13" s="113"/>
      <c r="CU13" s="113"/>
      <c r="CV13" s="113"/>
      <c r="CW13" s="113"/>
      <c r="CX13" s="113"/>
      <c r="CY13" s="113"/>
      <c r="CZ13" s="113"/>
      <c r="DA13" s="113"/>
      <c r="DB13" s="113"/>
      <c r="DC13" s="113"/>
      <c r="DD13" s="113"/>
      <c r="DE13" s="113"/>
      <c r="DF13" s="113"/>
    </row>
    <row r="14" ht="15.0" customHeight="1">
      <c r="A14" s="94">
        <v>7.0</v>
      </c>
      <c r="B14" s="93">
        <v>3.081255111E11</v>
      </c>
      <c r="C14" s="110"/>
      <c r="D14" s="94" t="s">
        <v>194</v>
      </c>
      <c r="E14" s="111">
        <v>46028.0</v>
      </c>
      <c r="F14" s="94" t="s">
        <v>138</v>
      </c>
      <c r="G14" s="94">
        <v>1.32600035668799E14</v>
      </c>
      <c r="H14" s="94" t="s">
        <v>339</v>
      </c>
      <c r="I14" s="112" t="s">
        <v>340</v>
      </c>
      <c r="J14" s="112" t="s">
        <v>321</v>
      </c>
      <c r="K14" s="94" t="s">
        <v>338</v>
      </c>
      <c r="L14" s="93" t="s">
        <v>57</v>
      </c>
      <c r="M14" s="94" t="s">
        <v>290</v>
      </c>
      <c r="N14" s="94" t="s">
        <v>13</v>
      </c>
      <c r="O14" s="94"/>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c r="CC14" s="113"/>
      <c r="CD14" s="113"/>
      <c r="CE14" s="113"/>
      <c r="CF14" s="113"/>
      <c r="CG14" s="113"/>
      <c r="CH14" s="113"/>
      <c r="CI14" s="113"/>
      <c r="CJ14" s="113"/>
      <c r="CK14" s="113"/>
      <c r="CL14" s="113"/>
      <c r="CM14" s="113"/>
      <c r="CN14" s="113"/>
      <c r="CO14" s="113"/>
      <c r="CP14" s="113"/>
      <c r="CQ14" s="113"/>
      <c r="CR14" s="113"/>
      <c r="CS14" s="113"/>
      <c r="CT14" s="113"/>
      <c r="CU14" s="113"/>
      <c r="CV14" s="113"/>
      <c r="CW14" s="113"/>
      <c r="CX14" s="113"/>
      <c r="CY14" s="113"/>
      <c r="CZ14" s="113"/>
      <c r="DA14" s="113"/>
      <c r="DB14" s="113"/>
      <c r="DC14" s="113"/>
      <c r="DD14" s="113"/>
      <c r="DE14" s="113"/>
      <c r="DF14" s="113"/>
    </row>
    <row r="15" ht="15.0" customHeight="1">
      <c r="A15" s="114"/>
      <c r="B15" s="115"/>
      <c r="C15" s="116"/>
      <c r="D15" s="114"/>
      <c r="E15" s="117"/>
      <c r="F15" s="114"/>
      <c r="G15" s="114"/>
      <c r="H15" s="114" t="s">
        <v>341</v>
      </c>
      <c r="I15" s="118"/>
      <c r="J15" s="118"/>
      <c r="K15" s="114"/>
      <c r="L15" s="115"/>
      <c r="M15" s="114" t="s">
        <v>290</v>
      </c>
      <c r="N15" s="114" t="s">
        <v>322</v>
      </c>
      <c r="O15" s="114" t="s">
        <v>342</v>
      </c>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19"/>
      <c r="CD15" s="119"/>
      <c r="CE15" s="119"/>
      <c r="CF15" s="119"/>
      <c r="CG15" s="119"/>
      <c r="CH15" s="119"/>
      <c r="CI15" s="119"/>
      <c r="CJ15" s="119"/>
      <c r="CK15" s="119"/>
      <c r="CL15" s="119"/>
      <c r="CM15" s="119"/>
      <c r="CN15" s="119"/>
      <c r="CO15" s="119"/>
      <c r="CP15" s="119"/>
      <c r="CQ15" s="119"/>
      <c r="CR15" s="119"/>
      <c r="CS15" s="119"/>
      <c r="CT15" s="119"/>
      <c r="CU15" s="119"/>
      <c r="CV15" s="119"/>
      <c r="CW15" s="119"/>
      <c r="CX15" s="119"/>
      <c r="CY15" s="119"/>
      <c r="CZ15" s="119"/>
      <c r="DA15" s="119"/>
      <c r="DB15" s="119"/>
      <c r="DC15" s="119"/>
      <c r="DD15" s="119"/>
      <c r="DE15" s="119"/>
      <c r="DF15" s="119"/>
    </row>
    <row r="16" ht="15.0" customHeight="1">
      <c r="A16" s="94"/>
      <c r="B16" s="93">
        <v>3.081268362E11</v>
      </c>
      <c r="C16" s="110"/>
      <c r="D16" s="94" t="s">
        <v>269</v>
      </c>
      <c r="E16" s="111">
        <v>46029.0</v>
      </c>
      <c r="F16" s="94" t="s">
        <v>138</v>
      </c>
      <c r="G16" s="94">
        <v>1.22600035688219E14</v>
      </c>
      <c r="H16" s="94" t="s">
        <v>343</v>
      </c>
      <c r="I16" s="112" t="s">
        <v>321</v>
      </c>
      <c r="J16" s="112" t="s">
        <v>334</v>
      </c>
      <c r="K16" s="94" t="s">
        <v>246</v>
      </c>
      <c r="L16" s="93" t="s">
        <v>57</v>
      </c>
      <c r="M16" s="94" t="s">
        <v>335</v>
      </c>
      <c r="N16" s="94" t="s">
        <v>13</v>
      </c>
      <c r="O16" s="94"/>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row>
    <row r="17" ht="15.0" customHeight="1">
      <c r="A17" s="114"/>
      <c r="B17" s="115"/>
      <c r="C17" s="116"/>
      <c r="D17" s="114"/>
      <c r="E17" s="117"/>
      <c r="F17" s="114"/>
      <c r="G17" s="114"/>
      <c r="H17" s="114" t="s">
        <v>344</v>
      </c>
      <c r="I17" s="118"/>
      <c r="J17" s="118"/>
      <c r="K17" s="114"/>
      <c r="L17" s="115"/>
      <c r="M17" s="114" t="s">
        <v>290</v>
      </c>
      <c r="N17" s="114" t="s">
        <v>322</v>
      </c>
      <c r="O17" s="114" t="s">
        <v>345</v>
      </c>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19"/>
      <c r="CG17" s="119"/>
      <c r="CH17" s="119"/>
      <c r="CI17" s="119"/>
      <c r="CJ17" s="119"/>
      <c r="CK17" s="119"/>
      <c r="CL17" s="119"/>
      <c r="CM17" s="119"/>
      <c r="CN17" s="119"/>
      <c r="CO17" s="119"/>
      <c r="CP17" s="119"/>
      <c r="CQ17" s="119"/>
      <c r="CR17" s="119"/>
      <c r="CS17" s="119"/>
      <c r="CT17" s="119"/>
      <c r="CU17" s="119"/>
      <c r="CV17" s="119"/>
      <c r="CW17" s="119"/>
      <c r="CX17" s="119"/>
      <c r="CY17" s="119"/>
      <c r="CZ17" s="119"/>
      <c r="DA17" s="119"/>
      <c r="DB17" s="119"/>
      <c r="DC17" s="119"/>
      <c r="DD17" s="119"/>
      <c r="DE17" s="119"/>
      <c r="DF17" s="119"/>
    </row>
    <row r="18" ht="15.0" customHeight="1">
      <c r="A18" s="94"/>
      <c r="B18" s="93">
        <v>1.0787031151E11</v>
      </c>
      <c r="C18" s="110"/>
      <c r="D18" s="94" t="s">
        <v>346</v>
      </c>
      <c r="E18" s="111">
        <v>46029.0</v>
      </c>
      <c r="F18" s="94" t="s">
        <v>138</v>
      </c>
      <c r="G18" s="94">
        <v>1.32600035700892E14</v>
      </c>
      <c r="H18" s="94" t="s">
        <v>347</v>
      </c>
      <c r="I18" s="112" t="s">
        <v>348</v>
      </c>
      <c r="J18" s="112" t="s">
        <v>321</v>
      </c>
      <c r="K18" s="94" t="s">
        <v>338</v>
      </c>
      <c r="L18" s="93" t="s">
        <v>57</v>
      </c>
      <c r="M18" s="94" t="s">
        <v>290</v>
      </c>
      <c r="N18" s="94" t="s">
        <v>322</v>
      </c>
      <c r="O18" s="94"/>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3"/>
      <c r="CD18" s="113"/>
      <c r="CE18" s="113"/>
      <c r="CF18" s="113"/>
      <c r="CG18" s="113"/>
      <c r="CH18" s="113"/>
      <c r="CI18" s="113"/>
      <c r="CJ18" s="113"/>
      <c r="CK18" s="113"/>
      <c r="CL18" s="113"/>
      <c r="CM18" s="113"/>
      <c r="CN18" s="113"/>
      <c r="CO18" s="113"/>
      <c r="CP18" s="113"/>
      <c r="CQ18" s="113"/>
      <c r="CR18" s="113"/>
      <c r="CS18" s="113"/>
      <c r="CT18" s="113"/>
      <c r="CU18" s="113"/>
      <c r="CV18" s="113"/>
      <c r="CW18" s="113"/>
      <c r="CX18" s="113"/>
      <c r="CY18" s="113"/>
      <c r="CZ18" s="113"/>
      <c r="DA18" s="113"/>
      <c r="DB18" s="113"/>
      <c r="DC18" s="113"/>
      <c r="DD18" s="113"/>
      <c r="DE18" s="113"/>
      <c r="DF18" s="113"/>
    </row>
    <row r="19" ht="15.0" customHeight="1">
      <c r="A19" s="94"/>
      <c r="B19" s="93">
        <v>1.0786990492E11</v>
      </c>
      <c r="C19" s="110"/>
      <c r="D19" s="94" t="s">
        <v>90</v>
      </c>
      <c r="E19" s="111">
        <v>46029.0</v>
      </c>
      <c r="F19" s="94" t="s">
        <v>138</v>
      </c>
      <c r="G19" s="94">
        <v>5.092969954E9</v>
      </c>
      <c r="H19" s="94" t="s">
        <v>349</v>
      </c>
      <c r="I19" s="112" t="s">
        <v>350</v>
      </c>
      <c r="J19" s="112" t="s">
        <v>321</v>
      </c>
      <c r="K19" s="94" t="s">
        <v>246</v>
      </c>
      <c r="L19" s="93" t="s">
        <v>57</v>
      </c>
      <c r="M19" s="94" t="s">
        <v>174</v>
      </c>
      <c r="N19" s="94" t="s">
        <v>322</v>
      </c>
      <c r="O19" s="94"/>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3"/>
      <c r="BP19" s="113"/>
      <c r="BQ19" s="113"/>
      <c r="BR19" s="113"/>
      <c r="BS19" s="113"/>
      <c r="BT19" s="113"/>
      <c r="BU19" s="113"/>
      <c r="BV19" s="113"/>
      <c r="BW19" s="113"/>
      <c r="BX19" s="113"/>
      <c r="BY19" s="113"/>
      <c r="BZ19" s="113"/>
      <c r="CA19" s="113"/>
      <c r="CB19" s="113"/>
      <c r="CC19" s="113"/>
      <c r="CD19" s="113"/>
      <c r="CE19" s="113"/>
      <c r="CF19" s="113"/>
      <c r="CG19" s="113"/>
      <c r="CH19" s="113"/>
      <c r="CI19" s="113"/>
      <c r="CJ19" s="113"/>
      <c r="CK19" s="113"/>
      <c r="CL19" s="113"/>
      <c r="CM19" s="113"/>
      <c r="CN19" s="113"/>
      <c r="CO19" s="113"/>
      <c r="CP19" s="113"/>
      <c r="CQ19" s="113"/>
      <c r="CR19" s="113"/>
      <c r="CS19" s="113"/>
      <c r="CT19" s="113"/>
      <c r="CU19" s="113"/>
      <c r="CV19" s="113"/>
      <c r="CW19" s="113"/>
      <c r="CX19" s="113"/>
      <c r="CY19" s="113"/>
      <c r="CZ19" s="113"/>
      <c r="DA19" s="113"/>
      <c r="DB19" s="113"/>
      <c r="DC19" s="113"/>
      <c r="DD19" s="113"/>
      <c r="DE19" s="113"/>
      <c r="DF19" s="113"/>
    </row>
    <row r="20" ht="15.0" customHeight="1">
      <c r="A20" s="94"/>
      <c r="B20" s="93">
        <v>3.0812816325E11</v>
      </c>
      <c r="C20" s="110"/>
      <c r="D20" s="94" t="s">
        <v>269</v>
      </c>
      <c r="E20" s="111">
        <v>46029.0</v>
      </c>
      <c r="F20" s="94" t="s">
        <v>138</v>
      </c>
      <c r="G20" s="94">
        <v>1.22600035705271E14</v>
      </c>
      <c r="H20" s="94" t="s">
        <v>351</v>
      </c>
      <c r="I20" s="112" t="s">
        <v>321</v>
      </c>
      <c r="J20" s="112" t="s">
        <v>334</v>
      </c>
      <c r="K20" s="94" t="s">
        <v>246</v>
      </c>
      <c r="L20" s="93" t="s">
        <v>57</v>
      </c>
      <c r="M20" s="94" t="s">
        <v>335</v>
      </c>
      <c r="N20" s="94" t="s">
        <v>13</v>
      </c>
      <c r="O20" s="94"/>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3"/>
      <c r="CD20" s="113"/>
      <c r="CE20" s="113"/>
      <c r="CF20" s="113"/>
      <c r="CG20" s="113"/>
      <c r="CH20" s="113"/>
      <c r="CI20" s="113"/>
      <c r="CJ20" s="113"/>
      <c r="CK20" s="113"/>
      <c r="CL20" s="113"/>
      <c r="CM20" s="113"/>
      <c r="CN20" s="113"/>
      <c r="CO20" s="113"/>
      <c r="CP20" s="113"/>
      <c r="CQ20" s="113"/>
      <c r="CR20" s="113"/>
      <c r="CS20" s="113"/>
      <c r="CT20" s="113"/>
      <c r="CU20" s="113"/>
      <c r="CV20" s="113"/>
      <c r="CW20" s="113"/>
      <c r="CX20" s="113"/>
      <c r="CY20" s="113"/>
      <c r="CZ20" s="113"/>
      <c r="DA20" s="113"/>
      <c r="DB20" s="113"/>
      <c r="DC20" s="113"/>
      <c r="DD20" s="113"/>
      <c r="DE20" s="113"/>
      <c r="DF20" s="113"/>
    </row>
    <row r="21" ht="15.0" customHeight="1">
      <c r="A21" s="114"/>
      <c r="B21" s="115"/>
      <c r="C21" s="116"/>
      <c r="D21" s="114"/>
      <c r="E21" s="117"/>
      <c r="F21" s="114"/>
      <c r="G21" s="114"/>
      <c r="H21" s="114" t="s">
        <v>352</v>
      </c>
      <c r="I21" s="118"/>
      <c r="J21" s="118"/>
      <c r="K21" s="114"/>
      <c r="L21" s="115"/>
      <c r="M21" s="114" t="s">
        <v>174</v>
      </c>
      <c r="N21" s="114" t="s">
        <v>322</v>
      </c>
      <c r="O21" s="114" t="s">
        <v>353</v>
      </c>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19"/>
      <c r="CB21" s="119"/>
      <c r="CC21" s="119"/>
      <c r="CD21" s="119"/>
      <c r="CE21" s="119"/>
      <c r="CF21" s="119"/>
      <c r="CG21" s="119"/>
      <c r="CH21" s="119"/>
      <c r="CI21" s="119"/>
      <c r="CJ21" s="119"/>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row>
    <row r="22" ht="15.0" customHeight="1">
      <c r="A22" s="94"/>
      <c r="B22" s="93">
        <v>1.0787522245E11</v>
      </c>
      <c r="C22" s="110"/>
      <c r="D22" s="94" t="s">
        <v>90</v>
      </c>
      <c r="E22" s="111">
        <v>46030.0</v>
      </c>
      <c r="F22" s="94" t="s">
        <v>138</v>
      </c>
      <c r="G22" s="94">
        <v>5.092807801E9</v>
      </c>
      <c r="H22" s="94" t="s">
        <v>354</v>
      </c>
      <c r="I22" s="112" t="s">
        <v>355</v>
      </c>
      <c r="J22" s="112" t="s">
        <v>321</v>
      </c>
      <c r="K22" s="94" t="s">
        <v>246</v>
      </c>
      <c r="L22" s="93" t="s">
        <v>57</v>
      </c>
      <c r="M22" s="94" t="s">
        <v>174</v>
      </c>
      <c r="N22" s="94" t="s">
        <v>322</v>
      </c>
      <c r="O22" s="94"/>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row>
    <row r="23" ht="15.0" customHeight="1">
      <c r="A23" s="94"/>
      <c r="B23" s="93">
        <v>3.0813356353E11</v>
      </c>
      <c r="C23" s="110"/>
      <c r="D23" s="94" t="s">
        <v>269</v>
      </c>
      <c r="E23" s="111">
        <v>46031.0</v>
      </c>
      <c r="F23" s="94" t="s">
        <v>138</v>
      </c>
      <c r="G23" s="94">
        <v>1.2260003578023E14</v>
      </c>
      <c r="H23" s="94" t="s">
        <v>356</v>
      </c>
      <c r="I23" s="112" t="s">
        <v>321</v>
      </c>
      <c r="J23" s="112" t="s">
        <v>334</v>
      </c>
      <c r="K23" s="94" t="s">
        <v>338</v>
      </c>
      <c r="L23" s="93" t="s">
        <v>57</v>
      </c>
      <c r="M23" s="94" t="s">
        <v>335</v>
      </c>
      <c r="N23" s="94" t="s">
        <v>13</v>
      </c>
      <c r="O23" s="94"/>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3"/>
      <c r="BP23" s="113"/>
      <c r="BQ23" s="113"/>
      <c r="BR23" s="113"/>
      <c r="BS23" s="113"/>
      <c r="BT23" s="113"/>
      <c r="BU23" s="113"/>
      <c r="BV23" s="113"/>
      <c r="BW23" s="113"/>
      <c r="BX23" s="113"/>
      <c r="BY23" s="113"/>
      <c r="BZ23" s="113"/>
      <c r="CA23" s="113"/>
      <c r="CB23" s="113"/>
      <c r="CC23" s="113"/>
      <c r="CD23" s="113"/>
      <c r="CE23" s="113"/>
      <c r="CF23" s="113"/>
      <c r="CG23" s="113"/>
      <c r="CH23" s="113"/>
      <c r="CI23" s="113"/>
      <c r="CJ23" s="113"/>
      <c r="CK23" s="113"/>
      <c r="CL23" s="113"/>
      <c r="CM23" s="113"/>
      <c r="CN23" s="113"/>
      <c r="CO23" s="113"/>
      <c r="CP23" s="113"/>
      <c r="CQ23" s="113"/>
      <c r="CR23" s="113"/>
      <c r="CS23" s="113"/>
      <c r="CT23" s="113"/>
      <c r="CU23" s="113"/>
      <c r="CV23" s="113"/>
      <c r="CW23" s="113"/>
      <c r="CX23" s="113"/>
      <c r="CY23" s="113"/>
      <c r="CZ23" s="113"/>
      <c r="DA23" s="113"/>
      <c r="DB23" s="113"/>
      <c r="DC23" s="113"/>
      <c r="DD23" s="113"/>
      <c r="DE23" s="113"/>
      <c r="DF23" s="113"/>
    </row>
    <row r="24" ht="15.0" customHeight="1">
      <c r="A24" s="94"/>
      <c r="B24" s="93">
        <v>3.0814193343E11</v>
      </c>
      <c r="C24" s="110"/>
      <c r="D24" s="94" t="s">
        <v>194</v>
      </c>
      <c r="E24" s="111">
        <v>46034.0</v>
      </c>
      <c r="F24" s="94" t="s">
        <v>138</v>
      </c>
      <c r="G24" s="94">
        <v>1.2260003589425E14</v>
      </c>
      <c r="H24" s="94" t="s">
        <v>357</v>
      </c>
      <c r="I24" s="112" t="s">
        <v>321</v>
      </c>
      <c r="J24" s="112" t="s">
        <v>334</v>
      </c>
      <c r="K24" s="94" t="s">
        <v>246</v>
      </c>
      <c r="L24" s="93" t="s">
        <v>57</v>
      </c>
      <c r="M24" s="94" t="s">
        <v>335</v>
      </c>
      <c r="N24" s="94" t="s">
        <v>13</v>
      </c>
      <c r="O24" s="94"/>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3"/>
      <c r="BP24" s="113"/>
      <c r="BQ24" s="113"/>
      <c r="BR24" s="113"/>
      <c r="BS24" s="113"/>
      <c r="BT24" s="113"/>
      <c r="BU24" s="113"/>
      <c r="BV24" s="113"/>
      <c r="BW24" s="113"/>
      <c r="BX24" s="113"/>
      <c r="BY24" s="113"/>
      <c r="BZ24" s="113"/>
      <c r="CA24" s="113"/>
      <c r="CB24" s="113"/>
      <c r="CC24" s="113"/>
      <c r="CD24" s="113"/>
      <c r="CE24" s="113"/>
      <c r="CF24" s="113"/>
      <c r="CG24" s="113"/>
      <c r="CH24" s="113"/>
      <c r="CI24" s="113"/>
      <c r="CJ24" s="113"/>
      <c r="CK24" s="113"/>
      <c r="CL24" s="113"/>
      <c r="CM24" s="113"/>
      <c r="CN24" s="113"/>
      <c r="CO24" s="113"/>
      <c r="CP24" s="113"/>
      <c r="CQ24" s="113"/>
      <c r="CR24" s="113"/>
      <c r="CS24" s="113"/>
      <c r="CT24" s="113"/>
      <c r="CU24" s="113"/>
      <c r="CV24" s="113"/>
      <c r="CW24" s="113"/>
      <c r="CX24" s="113"/>
      <c r="CY24" s="113"/>
      <c r="CZ24" s="113"/>
      <c r="DA24" s="113"/>
      <c r="DB24" s="113"/>
      <c r="DC24" s="113"/>
      <c r="DD24" s="113"/>
      <c r="DE24" s="113"/>
      <c r="DF24" s="113"/>
    </row>
    <row r="25" ht="15.0" customHeight="1">
      <c r="A25" s="94"/>
      <c r="B25" s="93">
        <v>3.0813696892E11</v>
      </c>
      <c r="C25" s="110"/>
      <c r="D25" s="94" t="s">
        <v>194</v>
      </c>
      <c r="E25" s="111">
        <v>46031.0</v>
      </c>
      <c r="F25" s="94" t="s">
        <v>138</v>
      </c>
      <c r="G25" s="94">
        <v>1.32600035826193E14</v>
      </c>
      <c r="H25" s="94" t="s">
        <v>358</v>
      </c>
      <c r="I25" s="112" t="s">
        <v>359</v>
      </c>
      <c r="J25" s="112" t="s">
        <v>321</v>
      </c>
      <c r="K25" s="94" t="s">
        <v>338</v>
      </c>
      <c r="L25" s="93" t="s">
        <v>57</v>
      </c>
      <c r="M25" s="94" t="s">
        <v>290</v>
      </c>
      <c r="N25" s="94" t="s">
        <v>13</v>
      </c>
      <c r="O25" s="94"/>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c r="BX25" s="113"/>
      <c r="BY25" s="113"/>
      <c r="BZ25" s="113"/>
      <c r="CA25" s="113"/>
      <c r="CB25" s="113"/>
      <c r="CC25" s="113"/>
      <c r="CD25" s="113"/>
      <c r="CE25" s="113"/>
      <c r="CF25" s="113"/>
      <c r="CG25" s="113"/>
      <c r="CH25" s="113"/>
      <c r="CI25" s="113"/>
      <c r="CJ25" s="113"/>
      <c r="CK25" s="113"/>
      <c r="CL25" s="113"/>
      <c r="CM25" s="113"/>
      <c r="CN25" s="113"/>
      <c r="CO25" s="113"/>
      <c r="CP25" s="113"/>
      <c r="CQ25" s="113"/>
      <c r="CR25" s="113"/>
      <c r="CS25" s="113"/>
      <c r="CT25" s="113"/>
      <c r="CU25" s="113"/>
      <c r="CV25" s="113"/>
      <c r="CW25" s="113"/>
      <c r="CX25" s="113"/>
      <c r="CY25" s="113"/>
      <c r="CZ25" s="113"/>
      <c r="DA25" s="113"/>
      <c r="DB25" s="113"/>
      <c r="DC25" s="113"/>
      <c r="DD25" s="113"/>
      <c r="DE25" s="113"/>
      <c r="DF25" s="113"/>
    </row>
    <row r="26" ht="15.0" customHeight="1">
      <c r="A26" s="94"/>
      <c r="B26" s="93">
        <v>1.0788465646E11</v>
      </c>
      <c r="C26" s="110"/>
      <c r="D26" s="94" t="s">
        <v>37</v>
      </c>
      <c r="E26" s="111">
        <v>46034.0</v>
      </c>
      <c r="F26" s="94" t="s">
        <v>138</v>
      </c>
      <c r="G26" s="94">
        <v>1.32600035911215E14</v>
      </c>
      <c r="H26" s="94" t="s">
        <v>347</v>
      </c>
      <c r="I26" s="112" t="s">
        <v>359</v>
      </c>
      <c r="J26" s="112" t="s">
        <v>321</v>
      </c>
      <c r="K26" s="94" t="s">
        <v>338</v>
      </c>
      <c r="L26" s="93" t="s">
        <v>57</v>
      </c>
      <c r="M26" s="94" t="s">
        <v>290</v>
      </c>
      <c r="N26" s="94" t="s">
        <v>322</v>
      </c>
      <c r="O26" s="94"/>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c r="BU26" s="113"/>
      <c r="BV26" s="113"/>
      <c r="BW26" s="113"/>
      <c r="BX26" s="113"/>
      <c r="BY26" s="113"/>
      <c r="BZ26" s="113"/>
      <c r="CA26" s="113"/>
      <c r="CB26" s="113"/>
      <c r="CC26" s="113"/>
      <c r="CD26" s="113"/>
      <c r="CE26" s="113"/>
      <c r="CF26" s="113"/>
      <c r="CG26" s="113"/>
      <c r="CH26" s="113"/>
      <c r="CI26" s="113"/>
      <c r="CJ26" s="113"/>
      <c r="CK26" s="113"/>
      <c r="CL26" s="113"/>
      <c r="CM26" s="113"/>
      <c r="CN26" s="113"/>
      <c r="CO26" s="113"/>
      <c r="CP26" s="113"/>
      <c r="CQ26" s="113"/>
      <c r="CR26" s="113"/>
      <c r="CS26" s="113"/>
      <c r="CT26" s="113"/>
      <c r="CU26" s="113"/>
      <c r="CV26" s="113"/>
      <c r="CW26" s="113"/>
      <c r="CX26" s="113"/>
      <c r="CY26" s="113"/>
      <c r="CZ26" s="113"/>
      <c r="DA26" s="113"/>
      <c r="DB26" s="113"/>
      <c r="DC26" s="113"/>
      <c r="DD26" s="113"/>
      <c r="DE26" s="113"/>
      <c r="DF26" s="113"/>
    </row>
    <row r="27" ht="15.0" customHeight="1">
      <c r="A27" s="94"/>
      <c r="B27" s="93">
        <v>1.0787922332E11</v>
      </c>
      <c r="C27" s="110"/>
      <c r="D27" s="94" t="s">
        <v>90</v>
      </c>
      <c r="E27" s="111">
        <v>46031.0</v>
      </c>
      <c r="F27" s="94" t="s">
        <v>138</v>
      </c>
      <c r="G27" s="94" t="s">
        <v>360</v>
      </c>
      <c r="H27" s="94" t="s">
        <v>361</v>
      </c>
      <c r="I27" s="112" t="s">
        <v>362</v>
      </c>
      <c r="J27" s="112" t="s">
        <v>321</v>
      </c>
      <c r="K27" s="94" t="s">
        <v>83</v>
      </c>
      <c r="L27" s="93" t="s">
        <v>57</v>
      </c>
      <c r="M27" s="94" t="s">
        <v>335</v>
      </c>
      <c r="N27" s="94" t="s">
        <v>322</v>
      </c>
      <c r="O27" s="94"/>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3"/>
      <c r="BP27" s="113"/>
      <c r="BQ27" s="113"/>
      <c r="BR27" s="113"/>
      <c r="BS27" s="113"/>
      <c r="BT27" s="113"/>
      <c r="BU27" s="113"/>
      <c r="BV27" s="113"/>
      <c r="BW27" s="113"/>
      <c r="BX27" s="113"/>
      <c r="BY27" s="113"/>
      <c r="BZ27" s="113"/>
      <c r="CA27" s="113"/>
      <c r="CB27" s="113"/>
      <c r="CC27" s="113"/>
      <c r="CD27" s="113"/>
      <c r="CE27" s="113"/>
      <c r="CF27" s="113"/>
      <c r="CG27" s="113"/>
      <c r="CH27" s="113"/>
      <c r="CI27" s="113"/>
      <c r="CJ27" s="113"/>
      <c r="CK27" s="113"/>
      <c r="CL27" s="113"/>
      <c r="CM27" s="113"/>
      <c r="CN27" s="113"/>
      <c r="CO27" s="113"/>
      <c r="CP27" s="113"/>
      <c r="CQ27" s="113"/>
      <c r="CR27" s="113"/>
      <c r="CS27" s="113"/>
      <c r="CT27" s="113"/>
      <c r="CU27" s="113"/>
      <c r="CV27" s="113"/>
      <c r="CW27" s="113"/>
      <c r="CX27" s="113"/>
      <c r="CY27" s="113"/>
      <c r="CZ27" s="113"/>
      <c r="DA27" s="113"/>
      <c r="DB27" s="113"/>
      <c r="DC27" s="113"/>
      <c r="DD27" s="113"/>
      <c r="DE27" s="113"/>
      <c r="DF27" s="113"/>
    </row>
    <row r="28" ht="15.0" customHeight="1">
      <c r="A28" s="114"/>
      <c r="B28" s="115"/>
      <c r="C28" s="116"/>
      <c r="D28" s="114"/>
      <c r="E28" s="117"/>
      <c r="F28" s="114"/>
      <c r="G28" s="114"/>
      <c r="H28" s="114" t="s">
        <v>363</v>
      </c>
      <c r="I28" s="118"/>
      <c r="J28" s="118"/>
      <c r="K28" s="114"/>
      <c r="L28" s="115"/>
      <c r="M28" s="114" t="s">
        <v>174</v>
      </c>
      <c r="N28" s="114" t="s">
        <v>322</v>
      </c>
      <c r="O28" s="114" t="s">
        <v>364</v>
      </c>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c r="CJ28" s="119"/>
      <c r="CK28" s="119"/>
      <c r="CL28" s="119"/>
      <c r="CM28" s="119"/>
      <c r="CN28" s="119"/>
      <c r="CO28" s="119"/>
      <c r="CP28" s="119"/>
      <c r="CQ28" s="119"/>
      <c r="CR28" s="119"/>
      <c r="CS28" s="119"/>
      <c r="CT28" s="119"/>
      <c r="CU28" s="119"/>
      <c r="CV28" s="119"/>
      <c r="CW28" s="119"/>
      <c r="CX28" s="119"/>
      <c r="CY28" s="119"/>
      <c r="CZ28" s="119"/>
      <c r="DA28" s="119"/>
      <c r="DB28" s="119"/>
      <c r="DC28" s="119"/>
      <c r="DD28" s="119"/>
      <c r="DE28" s="119"/>
      <c r="DF28" s="119"/>
    </row>
    <row r="29" ht="15.0" customHeight="1">
      <c r="A29" s="94"/>
      <c r="B29" s="93">
        <v>1.0788498631E11</v>
      </c>
      <c r="C29" s="110"/>
      <c r="D29" s="94" t="s">
        <v>90</v>
      </c>
      <c r="E29" s="111">
        <v>46034.0</v>
      </c>
      <c r="F29" s="94" t="s">
        <v>138</v>
      </c>
      <c r="G29" s="94" t="s">
        <v>365</v>
      </c>
      <c r="H29" s="94" t="s">
        <v>366</v>
      </c>
      <c r="I29" s="112" t="s">
        <v>355</v>
      </c>
      <c r="J29" s="112" t="s">
        <v>321</v>
      </c>
      <c r="K29" s="94" t="s">
        <v>83</v>
      </c>
      <c r="L29" s="93" t="s">
        <v>57</v>
      </c>
      <c r="M29" s="94" t="s">
        <v>174</v>
      </c>
      <c r="N29" s="94" t="s">
        <v>322</v>
      </c>
      <c r="O29" s="94" t="s">
        <v>367</v>
      </c>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3"/>
      <c r="CM29" s="113"/>
      <c r="CN29" s="113"/>
      <c r="CO29" s="113"/>
      <c r="CP29" s="113"/>
      <c r="CQ29" s="113"/>
      <c r="CR29" s="113"/>
      <c r="CS29" s="113"/>
      <c r="CT29" s="113"/>
      <c r="CU29" s="113"/>
      <c r="CV29" s="113"/>
      <c r="CW29" s="113"/>
      <c r="CX29" s="113"/>
      <c r="CY29" s="113"/>
      <c r="CZ29" s="113"/>
      <c r="DA29" s="113"/>
      <c r="DB29" s="113"/>
      <c r="DC29" s="113"/>
      <c r="DD29" s="113"/>
      <c r="DE29" s="113"/>
      <c r="DF29" s="113"/>
    </row>
    <row r="30" ht="15.0" customHeight="1">
      <c r="A30" s="114"/>
      <c r="B30" s="115"/>
      <c r="C30" s="116"/>
      <c r="D30" s="114"/>
      <c r="E30" s="117"/>
      <c r="F30" s="114"/>
      <c r="G30" s="114"/>
      <c r="H30" s="114">
        <v>1700.0</v>
      </c>
      <c r="I30" s="118"/>
      <c r="J30" s="118"/>
      <c r="K30" s="114"/>
      <c r="L30" s="115"/>
      <c r="M30" s="114" t="s">
        <v>174</v>
      </c>
      <c r="N30" s="114" t="s">
        <v>322</v>
      </c>
      <c r="O30" s="114" t="s">
        <v>368</v>
      </c>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9"/>
      <c r="CF30" s="119"/>
      <c r="CG30" s="119"/>
      <c r="CH30" s="119"/>
      <c r="CI30" s="119"/>
      <c r="CJ30" s="119"/>
      <c r="CK30" s="119"/>
      <c r="CL30" s="119"/>
      <c r="CM30" s="119"/>
      <c r="CN30" s="119"/>
      <c r="CO30" s="119"/>
      <c r="CP30" s="119"/>
      <c r="CQ30" s="119"/>
      <c r="CR30" s="119"/>
      <c r="CS30" s="119"/>
      <c r="CT30" s="119"/>
      <c r="CU30" s="119"/>
      <c r="CV30" s="119"/>
      <c r="CW30" s="119"/>
      <c r="CX30" s="119"/>
      <c r="CY30" s="119"/>
      <c r="CZ30" s="119"/>
      <c r="DA30" s="119"/>
      <c r="DB30" s="119"/>
      <c r="DC30" s="119"/>
      <c r="DD30" s="119"/>
      <c r="DE30" s="119"/>
      <c r="DF30" s="119"/>
    </row>
    <row r="31">
      <c r="A31" s="120"/>
      <c r="B31" s="113"/>
      <c r="C31" s="120"/>
      <c r="D31" s="120"/>
      <c r="E31" s="113"/>
      <c r="F31" s="120"/>
      <c r="G31" s="120"/>
      <c r="H31" s="113"/>
      <c r="I31" s="113"/>
      <c r="J31" s="113"/>
      <c r="K31" s="113"/>
      <c r="L31" s="113"/>
      <c r="M31" s="113"/>
      <c r="N31" s="113"/>
      <c r="O31" s="120"/>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c r="AR31" s="113"/>
      <c r="AS31" s="113"/>
      <c r="AT31" s="113"/>
      <c r="AU31" s="113"/>
      <c r="AV31" s="113"/>
      <c r="AW31" s="113"/>
      <c r="AX31" s="113"/>
      <c r="AY31" s="113"/>
      <c r="AZ31" s="113"/>
      <c r="BA31" s="113"/>
      <c r="BB31" s="113"/>
      <c r="BC31" s="113"/>
      <c r="BD31" s="113"/>
      <c r="BE31" s="113"/>
      <c r="BF31" s="113"/>
      <c r="BG31" s="113"/>
      <c r="BH31" s="113"/>
      <c r="BI31" s="113"/>
      <c r="BJ31" s="113"/>
      <c r="BK31" s="113"/>
      <c r="BL31" s="113"/>
      <c r="BM31" s="113"/>
      <c r="BN31" s="113"/>
      <c r="BO31" s="113"/>
      <c r="BP31" s="113"/>
      <c r="BQ31" s="113"/>
      <c r="BR31" s="113"/>
      <c r="BS31" s="113"/>
      <c r="BT31" s="113"/>
      <c r="BU31" s="113"/>
      <c r="BV31" s="113"/>
      <c r="BW31" s="113"/>
      <c r="BX31" s="113"/>
      <c r="BY31" s="113"/>
      <c r="BZ31" s="113"/>
      <c r="CA31" s="113"/>
      <c r="CB31" s="113"/>
      <c r="CC31" s="113"/>
      <c r="CD31" s="113"/>
      <c r="CE31" s="113"/>
      <c r="CF31" s="113"/>
      <c r="CG31" s="113"/>
      <c r="CH31" s="113"/>
      <c r="CI31" s="113"/>
      <c r="CJ31" s="113"/>
      <c r="CK31" s="113"/>
      <c r="CL31" s="113"/>
      <c r="CM31" s="113"/>
      <c r="CN31" s="113"/>
      <c r="CO31" s="113"/>
      <c r="CP31" s="113"/>
      <c r="CQ31" s="113"/>
      <c r="CR31" s="113"/>
      <c r="CS31" s="113"/>
      <c r="CT31" s="113"/>
      <c r="CU31" s="113"/>
      <c r="CV31" s="113"/>
      <c r="CW31" s="113"/>
      <c r="CX31" s="113"/>
      <c r="CY31" s="113"/>
      <c r="CZ31" s="113"/>
      <c r="DA31" s="113"/>
      <c r="DB31" s="113"/>
      <c r="DC31" s="113"/>
      <c r="DD31" s="113"/>
      <c r="DE31" s="113"/>
      <c r="DF31" s="113"/>
    </row>
    <row r="32">
      <c r="A32" s="120"/>
      <c r="B32" s="113"/>
      <c r="C32" s="120"/>
      <c r="D32" s="120"/>
      <c r="E32" s="113"/>
      <c r="F32" s="120"/>
      <c r="G32" s="120"/>
      <c r="H32" s="113"/>
      <c r="I32" s="113"/>
      <c r="J32" s="113"/>
      <c r="K32" s="113"/>
      <c r="L32" s="113"/>
      <c r="M32" s="113"/>
      <c r="N32" s="113"/>
      <c r="O32" s="120"/>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3"/>
      <c r="BM32" s="113"/>
      <c r="BN32" s="113"/>
      <c r="BO32" s="113"/>
      <c r="BP32" s="113"/>
      <c r="BQ32" s="113"/>
      <c r="BR32" s="113"/>
      <c r="BS32" s="113"/>
      <c r="BT32" s="113"/>
      <c r="BU32" s="113"/>
      <c r="BV32" s="113"/>
      <c r="BW32" s="113"/>
      <c r="BX32" s="113"/>
      <c r="BY32" s="113"/>
      <c r="BZ32" s="113"/>
      <c r="CA32" s="113"/>
      <c r="CB32" s="113"/>
      <c r="CC32" s="113"/>
      <c r="CD32" s="113"/>
      <c r="CE32" s="113"/>
      <c r="CF32" s="113"/>
      <c r="CG32" s="113"/>
      <c r="CH32" s="113"/>
      <c r="CI32" s="113"/>
      <c r="CJ32" s="113"/>
      <c r="CK32" s="113"/>
      <c r="CL32" s="113"/>
      <c r="CM32" s="113"/>
      <c r="CN32" s="113"/>
      <c r="CO32" s="113"/>
      <c r="CP32" s="113"/>
      <c r="CQ32" s="113"/>
      <c r="CR32" s="113"/>
      <c r="CS32" s="113"/>
      <c r="CT32" s="113"/>
      <c r="CU32" s="113"/>
      <c r="CV32" s="113"/>
      <c r="CW32" s="113"/>
      <c r="CX32" s="113"/>
      <c r="CY32" s="113"/>
      <c r="CZ32" s="113"/>
      <c r="DA32" s="113"/>
      <c r="DB32" s="113"/>
      <c r="DC32" s="113"/>
      <c r="DD32" s="113"/>
      <c r="DE32" s="113"/>
      <c r="DF32" s="113"/>
    </row>
    <row r="33">
      <c r="A33" s="120"/>
      <c r="B33" s="113"/>
      <c r="C33" s="120"/>
      <c r="D33" s="120"/>
      <c r="E33" s="113"/>
      <c r="F33" s="120"/>
      <c r="G33" s="120"/>
      <c r="H33" s="113"/>
      <c r="I33" s="113"/>
      <c r="J33" s="113"/>
      <c r="K33" s="113"/>
      <c r="L33" s="113"/>
      <c r="M33" s="113"/>
      <c r="N33" s="113"/>
      <c r="O33" s="120"/>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c r="BM33" s="113"/>
      <c r="BN33" s="113"/>
      <c r="BO33" s="113"/>
      <c r="BP33" s="113"/>
      <c r="BQ33" s="113"/>
      <c r="BR33" s="113"/>
      <c r="BS33" s="113"/>
      <c r="BT33" s="113"/>
      <c r="BU33" s="113"/>
      <c r="BV33" s="113"/>
      <c r="BW33" s="113"/>
      <c r="BX33" s="113"/>
      <c r="BY33" s="113"/>
      <c r="BZ33" s="113"/>
      <c r="CA33" s="113"/>
      <c r="CB33" s="113"/>
      <c r="CC33" s="113"/>
      <c r="CD33" s="113"/>
      <c r="CE33" s="113"/>
      <c r="CF33" s="113"/>
      <c r="CG33" s="113"/>
      <c r="CH33" s="113"/>
      <c r="CI33" s="113"/>
      <c r="CJ33" s="113"/>
      <c r="CK33" s="113"/>
      <c r="CL33" s="113"/>
      <c r="CM33" s="113"/>
      <c r="CN33" s="113"/>
      <c r="CO33" s="113"/>
      <c r="CP33" s="113"/>
      <c r="CQ33" s="113"/>
      <c r="CR33" s="113"/>
      <c r="CS33" s="113"/>
      <c r="CT33" s="113"/>
      <c r="CU33" s="113"/>
      <c r="CV33" s="113"/>
      <c r="CW33" s="113"/>
      <c r="CX33" s="113"/>
      <c r="CY33" s="113"/>
      <c r="CZ33" s="113"/>
      <c r="DA33" s="113"/>
      <c r="DB33" s="113"/>
      <c r="DC33" s="113"/>
      <c r="DD33" s="113"/>
      <c r="DE33" s="113"/>
      <c r="DF33" s="113"/>
    </row>
    <row r="34">
      <c r="A34" s="120"/>
      <c r="B34" s="113"/>
      <c r="C34" s="120"/>
      <c r="D34" s="120"/>
      <c r="E34" s="113"/>
      <c r="F34" s="120"/>
      <c r="G34" s="120"/>
      <c r="H34" s="113"/>
      <c r="I34" s="113"/>
      <c r="J34" s="113"/>
      <c r="K34" s="113"/>
      <c r="L34" s="113"/>
      <c r="M34" s="113"/>
      <c r="N34" s="113"/>
      <c r="O34" s="120"/>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113"/>
      <c r="BJ34" s="113"/>
      <c r="BK34" s="113"/>
      <c r="BL34" s="113"/>
      <c r="BM34" s="113"/>
      <c r="BN34" s="113"/>
      <c r="BO34" s="113"/>
      <c r="BP34" s="113"/>
      <c r="BQ34" s="113"/>
      <c r="BR34" s="113"/>
      <c r="BS34" s="113"/>
      <c r="BT34" s="113"/>
      <c r="BU34" s="113"/>
      <c r="BV34" s="113"/>
      <c r="BW34" s="113"/>
      <c r="BX34" s="113"/>
      <c r="BY34" s="113"/>
      <c r="BZ34" s="113"/>
      <c r="CA34" s="113"/>
      <c r="CB34" s="113"/>
      <c r="CC34" s="113"/>
      <c r="CD34" s="113"/>
      <c r="CE34" s="113"/>
      <c r="CF34" s="113"/>
      <c r="CG34" s="113"/>
      <c r="CH34" s="113"/>
      <c r="CI34" s="113"/>
      <c r="CJ34" s="113"/>
      <c r="CK34" s="113"/>
      <c r="CL34" s="113"/>
      <c r="CM34" s="113"/>
      <c r="CN34" s="113"/>
      <c r="CO34" s="113"/>
      <c r="CP34" s="113"/>
      <c r="CQ34" s="113"/>
      <c r="CR34" s="113"/>
      <c r="CS34" s="113"/>
      <c r="CT34" s="113"/>
      <c r="CU34" s="113"/>
      <c r="CV34" s="113"/>
      <c r="CW34" s="113"/>
      <c r="CX34" s="113"/>
      <c r="CY34" s="113"/>
      <c r="CZ34" s="113"/>
      <c r="DA34" s="113"/>
      <c r="DB34" s="113"/>
      <c r="DC34" s="113"/>
      <c r="DD34" s="113"/>
      <c r="DE34" s="113"/>
      <c r="DF34" s="113"/>
    </row>
    <row r="35">
      <c r="A35" s="120"/>
      <c r="B35" s="113"/>
      <c r="C35" s="120"/>
      <c r="D35" s="120"/>
      <c r="E35" s="113"/>
      <c r="F35" s="120"/>
      <c r="G35" s="120"/>
      <c r="H35" s="113"/>
      <c r="I35" s="113"/>
      <c r="J35" s="113"/>
      <c r="K35" s="113"/>
      <c r="L35" s="113"/>
      <c r="M35" s="113"/>
      <c r="N35" s="113"/>
      <c r="O35" s="120"/>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c r="BM35" s="113"/>
      <c r="BN35" s="113"/>
      <c r="BO35" s="113"/>
      <c r="BP35" s="113"/>
      <c r="BQ35" s="113"/>
      <c r="BR35" s="113"/>
      <c r="BS35" s="113"/>
      <c r="BT35" s="113"/>
      <c r="BU35" s="113"/>
      <c r="BV35" s="113"/>
      <c r="BW35" s="113"/>
      <c r="BX35" s="113"/>
      <c r="BY35" s="113"/>
      <c r="BZ35" s="113"/>
      <c r="CA35" s="113"/>
      <c r="CB35" s="113"/>
      <c r="CC35" s="113"/>
      <c r="CD35" s="113"/>
      <c r="CE35" s="113"/>
      <c r="CF35" s="113"/>
      <c r="CG35" s="113"/>
      <c r="CH35" s="113"/>
      <c r="CI35" s="113"/>
      <c r="CJ35" s="113"/>
      <c r="CK35" s="113"/>
      <c r="CL35" s="113"/>
      <c r="CM35" s="113"/>
      <c r="CN35" s="113"/>
      <c r="CO35" s="113"/>
      <c r="CP35" s="113"/>
      <c r="CQ35" s="113"/>
      <c r="CR35" s="113"/>
      <c r="CS35" s="113"/>
      <c r="CT35" s="113"/>
      <c r="CU35" s="113"/>
      <c r="CV35" s="113"/>
      <c r="CW35" s="113"/>
      <c r="CX35" s="113"/>
      <c r="CY35" s="113"/>
      <c r="CZ35" s="113"/>
      <c r="DA35" s="113"/>
      <c r="DB35" s="113"/>
      <c r="DC35" s="113"/>
      <c r="DD35" s="113"/>
      <c r="DE35" s="113"/>
      <c r="DF35" s="113"/>
    </row>
    <row r="36">
      <c r="A36" s="120"/>
      <c r="B36" s="113"/>
      <c r="C36" s="120"/>
      <c r="D36" s="120"/>
      <c r="E36" s="113"/>
      <c r="F36" s="120"/>
      <c r="G36" s="120"/>
      <c r="H36" s="113"/>
      <c r="I36" s="113"/>
      <c r="J36" s="113"/>
      <c r="K36" s="113"/>
      <c r="L36" s="113"/>
      <c r="M36" s="113"/>
      <c r="N36" s="113"/>
      <c r="O36" s="120"/>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c r="CQ36" s="113"/>
      <c r="CR36" s="113"/>
      <c r="CS36" s="113"/>
      <c r="CT36" s="113"/>
      <c r="CU36" s="113"/>
      <c r="CV36" s="113"/>
      <c r="CW36" s="113"/>
      <c r="CX36" s="113"/>
      <c r="CY36" s="113"/>
      <c r="CZ36" s="113"/>
      <c r="DA36" s="113"/>
      <c r="DB36" s="113"/>
      <c r="DC36" s="113"/>
      <c r="DD36" s="113"/>
      <c r="DE36" s="113"/>
      <c r="DF36" s="113"/>
    </row>
    <row r="37">
      <c r="A37" s="120"/>
      <c r="B37" s="113"/>
      <c r="C37" s="120"/>
      <c r="D37" s="120"/>
      <c r="E37" s="113"/>
      <c r="F37" s="120"/>
      <c r="G37" s="120"/>
      <c r="H37" s="113"/>
      <c r="I37" s="113"/>
      <c r="J37" s="113"/>
      <c r="K37" s="113"/>
      <c r="L37" s="113"/>
      <c r="M37" s="113"/>
      <c r="N37" s="113"/>
      <c r="O37" s="120"/>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c r="BM37" s="113"/>
      <c r="BN37" s="113"/>
      <c r="BO37" s="113"/>
      <c r="BP37" s="113"/>
      <c r="BQ37" s="113"/>
      <c r="BR37" s="113"/>
      <c r="BS37" s="113"/>
      <c r="BT37" s="113"/>
      <c r="BU37" s="113"/>
      <c r="BV37" s="113"/>
      <c r="BW37" s="113"/>
      <c r="BX37" s="113"/>
      <c r="BY37" s="113"/>
      <c r="BZ37" s="113"/>
      <c r="CA37" s="113"/>
      <c r="CB37" s="113"/>
      <c r="CC37" s="113"/>
      <c r="CD37" s="113"/>
      <c r="CE37" s="113"/>
      <c r="CF37" s="113"/>
      <c r="CG37" s="113"/>
      <c r="CH37" s="113"/>
      <c r="CI37" s="113"/>
      <c r="CJ37" s="113"/>
      <c r="CK37" s="113"/>
      <c r="CL37" s="113"/>
      <c r="CM37" s="113"/>
      <c r="CN37" s="113"/>
      <c r="CO37" s="113"/>
      <c r="CP37" s="113"/>
      <c r="CQ37" s="113"/>
      <c r="CR37" s="113"/>
      <c r="CS37" s="113"/>
      <c r="CT37" s="113"/>
      <c r="CU37" s="113"/>
      <c r="CV37" s="113"/>
      <c r="CW37" s="113"/>
      <c r="CX37" s="113"/>
      <c r="CY37" s="113"/>
      <c r="CZ37" s="113"/>
      <c r="DA37" s="113"/>
      <c r="DB37" s="113"/>
      <c r="DC37" s="113"/>
      <c r="DD37" s="113"/>
      <c r="DE37" s="113"/>
      <c r="DF37" s="113"/>
    </row>
    <row r="38">
      <c r="A38" s="120"/>
      <c r="B38" s="113"/>
      <c r="C38" s="120"/>
      <c r="D38" s="120"/>
      <c r="E38" s="113"/>
      <c r="F38" s="120"/>
      <c r="G38" s="120"/>
      <c r="H38" s="113"/>
      <c r="I38" s="113"/>
      <c r="J38" s="113"/>
      <c r="K38" s="113"/>
      <c r="L38" s="113"/>
      <c r="M38" s="113"/>
      <c r="N38" s="113"/>
      <c r="O38" s="120"/>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3"/>
      <c r="BP38" s="113"/>
      <c r="BQ38" s="113"/>
      <c r="BR38" s="113"/>
      <c r="BS38" s="113"/>
      <c r="BT38" s="113"/>
      <c r="BU38" s="113"/>
      <c r="BV38" s="113"/>
      <c r="BW38" s="113"/>
      <c r="BX38" s="113"/>
      <c r="BY38" s="113"/>
      <c r="BZ38" s="113"/>
      <c r="CA38" s="113"/>
      <c r="CB38" s="113"/>
      <c r="CC38" s="113"/>
      <c r="CD38" s="113"/>
      <c r="CE38" s="113"/>
      <c r="CF38" s="113"/>
      <c r="CG38" s="113"/>
      <c r="CH38" s="113"/>
      <c r="CI38" s="113"/>
      <c r="CJ38" s="113"/>
      <c r="CK38" s="113"/>
      <c r="CL38" s="113"/>
      <c r="CM38" s="113"/>
      <c r="CN38" s="113"/>
      <c r="CO38" s="113"/>
      <c r="CP38" s="113"/>
      <c r="CQ38" s="113"/>
      <c r="CR38" s="113"/>
      <c r="CS38" s="113"/>
      <c r="CT38" s="113"/>
      <c r="CU38" s="113"/>
      <c r="CV38" s="113"/>
      <c r="CW38" s="113"/>
      <c r="CX38" s="113"/>
      <c r="CY38" s="113"/>
      <c r="CZ38" s="113"/>
      <c r="DA38" s="113"/>
      <c r="DB38" s="113"/>
      <c r="DC38" s="113"/>
      <c r="DD38" s="113"/>
      <c r="DE38" s="113"/>
      <c r="DF38" s="113"/>
    </row>
    <row r="39">
      <c r="A39" s="120"/>
      <c r="B39" s="113"/>
      <c r="C39" s="120"/>
      <c r="D39" s="120"/>
      <c r="E39" s="113"/>
      <c r="F39" s="120"/>
      <c r="G39" s="120"/>
      <c r="H39" s="113"/>
      <c r="I39" s="113"/>
      <c r="J39" s="113"/>
      <c r="K39" s="113"/>
      <c r="L39" s="113"/>
      <c r="M39" s="113"/>
      <c r="N39" s="113"/>
      <c r="O39" s="120"/>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3"/>
      <c r="BP39" s="113"/>
      <c r="BQ39" s="113"/>
      <c r="BR39" s="113"/>
      <c r="BS39" s="113"/>
      <c r="BT39" s="113"/>
      <c r="BU39" s="113"/>
      <c r="BV39" s="113"/>
      <c r="BW39" s="113"/>
      <c r="BX39" s="113"/>
      <c r="BY39" s="113"/>
      <c r="BZ39" s="113"/>
      <c r="CA39" s="113"/>
      <c r="CB39" s="113"/>
      <c r="CC39" s="113"/>
      <c r="CD39" s="113"/>
      <c r="CE39" s="113"/>
      <c r="CF39" s="113"/>
      <c r="CG39" s="113"/>
      <c r="CH39" s="113"/>
      <c r="CI39" s="113"/>
      <c r="CJ39" s="113"/>
      <c r="CK39" s="113"/>
      <c r="CL39" s="113"/>
      <c r="CM39" s="113"/>
      <c r="CN39" s="113"/>
      <c r="CO39" s="113"/>
      <c r="CP39" s="113"/>
      <c r="CQ39" s="113"/>
      <c r="CR39" s="113"/>
      <c r="CS39" s="113"/>
      <c r="CT39" s="113"/>
      <c r="CU39" s="113"/>
      <c r="CV39" s="113"/>
      <c r="CW39" s="113"/>
      <c r="CX39" s="113"/>
      <c r="CY39" s="113"/>
      <c r="CZ39" s="113"/>
      <c r="DA39" s="113"/>
      <c r="DB39" s="113"/>
      <c r="DC39" s="113"/>
      <c r="DD39" s="113"/>
      <c r="DE39" s="113"/>
      <c r="DF39" s="113"/>
    </row>
    <row r="40">
      <c r="A40" s="120"/>
      <c r="B40" s="113"/>
      <c r="C40" s="120"/>
      <c r="D40" s="120"/>
      <c r="E40" s="113"/>
      <c r="F40" s="120"/>
      <c r="G40" s="120"/>
      <c r="H40" s="113"/>
      <c r="I40" s="113"/>
      <c r="J40" s="113"/>
      <c r="K40" s="113"/>
      <c r="L40" s="113"/>
      <c r="M40" s="113"/>
      <c r="N40" s="113"/>
      <c r="O40" s="120"/>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c r="BM40" s="113"/>
      <c r="BN40" s="113"/>
      <c r="BO40" s="113"/>
      <c r="BP40" s="113"/>
      <c r="BQ40" s="113"/>
      <c r="BR40" s="113"/>
      <c r="BS40" s="113"/>
      <c r="BT40" s="113"/>
      <c r="BU40" s="113"/>
      <c r="BV40" s="113"/>
      <c r="BW40" s="113"/>
      <c r="BX40" s="113"/>
      <c r="BY40" s="113"/>
      <c r="BZ40" s="113"/>
      <c r="CA40" s="113"/>
      <c r="CB40" s="113"/>
      <c r="CC40" s="113"/>
      <c r="CD40" s="113"/>
      <c r="CE40" s="113"/>
      <c r="CF40" s="113"/>
      <c r="CG40" s="113"/>
      <c r="CH40" s="113"/>
      <c r="CI40" s="113"/>
      <c r="CJ40" s="113"/>
      <c r="CK40" s="113"/>
      <c r="CL40" s="113"/>
      <c r="CM40" s="113"/>
      <c r="CN40" s="113"/>
      <c r="CO40" s="113"/>
      <c r="CP40" s="113"/>
      <c r="CQ40" s="113"/>
      <c r="CR40" s="113"/>
      <c r="CS40" s="113"/>
      <c r="CT40" s="113"/>
      <c r="CU40" s="113"/>
      <c r="CV40" s="113"/>
      <c r="CW40" s="113"/>
      <c r="CX40" s="113"/>
      <c r="CY40" s="113"/>
      <c r="CZ40" s="113"/>
      <c r="DA40" s="113"/>
      <c r="DB40" s="113"/>
      <c r="DC40" s="113"/>
      <c r="DD40" s="113"/>
      <c r="DE40" s="113"/>
      <c r="DF40" s="113"/>
    </row>
    <row r="41">
      <c r="A41" s="120"/>
      <c r="B41" s="113"/>
      <c r="C41" s="120"/>
      <c r="D41" s="120"/>
      <c r="E41" s="113"/>
      <c r="F41" s="120"/>
      <c r="G41" s="120"/>
      <c r="H41" s="113"/>
      <c r="I41" s="113"/>
      <c r="J41" s="113"/>
      <c r="K41" s="113"/>
      <c r="L41" s="113"/>
      <c r="M41" s="113"/>
      <c r="N41" s="113"/>
      <c r="O41" s="120"/>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113"/>
      <c r="AX41" s="113"/>
      <c r="AY41" s="113"/>
      <c r="AZ41" s="113"/>
      <c r="BA41" s="113"/>
      <c r="BB41" s="113"/>
      <c r="BC41" s="113"/>
      <c r="BD41" s="113"/>
      <c r="BE41" s="113"/>
      <c r="BF41" s="113"/>
      <c r="BG41" s="113"/>
      <c r="BH41" s="113"/>
      <c r="BI41" s="113"/>
      <c r="BJ41" s="113"/>
      <c r="BK41" s="113"/>
      <c r="BL41" s="113"/>
      <c r="BM41" s="113"/>
      <c r="BN41" s="113"/>
      <c r="BO41" s="113"/>
      <c r="BP41" s="113"/>
      <c r="BQ41" s="113"/>
      <c r="BR41" s="113"/>
      <c r="BS41" s="113"/>
      <c r="BT41" s="113"/>
      <c r="BU41" s="113"/>
      <c r="BV41" s="113"/>
      <c r="BW41" s="113"/>
      <c r="BX41" s="113"/>
      <c r="BY41" s="113"/>
      <c r="BZ41" s="113"/>
      <c r="CA41" s="113"/>
      <c r="CB41" s="113"/>
      <c r="CC41" s="113"/>
      <c r="CD41" s="113"/>
      <c r="CE41" s="113"/>
      <c r="CF41" s="113"/>
      <c r="CG41" s="113"/>
      <c r="CH41" s="113"/>
      <c r="CI41" s="113"/>
      <c r="CJ41" s="113"/>
      <c r="CK41" s="113"/>
      <c r="CL41" s="113"/>
      <c r="CM41" s="113"/>
      <c r="CN41" s="113"/>
      <c r="CO41" s="113"/>
      <c r="CP41" s="113"/>
      <c r="CQ41" s="113"/>
      <c r="CR41" s="113"/>
      <c r="CS41" s="113"/>
      <c r="CT41" s="113"/>
      <c r="CU41" s="113"/>
      <c r="CV41" s="113"/>
      <c r="CW41" s="113"/>
      <c r="CX41" s="113"/>
      <c r="CY41" s="113"/>
      <c r="CZ41" s="113"/>
      <c r="DA41" s="113"/>
      <c r="DB41" s="113"/>
      <c r="DC41" s="113"/>
      <c r="DD41" s="113"/>
      <c r="DE41" s="113"/>
      <c r="DF41" s="113"/>
    </row>
    <row r="42">
      <c r="A42" s="120"/>
      <c r="B42" s="113"/>
      <c r="C42" s="120"/>
      <c r="D42" s="120"/>
      <c r="E42" s="113"/>
      <c r="F42" s="120"/>
      <c r="G42" s="120"/>
      <c r="H42" s="113"/>
      <c r="I42" s="113"/>
      <c r="J42" s="113"/>
      <c r="K42" s="113"/>
      <c r="L42" s="113"/>
      <c r="M42" s="113"/>
      <c r="N42" s="113"/>
      <c r="O42" s="120"/>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3"/>
      <c r="AX42" s="113"/>
      <c r="AY42" s="113"/>
      <c r="AZ42" s="113"/>
      <c r="BA42" s="113"/>
      <c r="BB42" s="113"/>
      <c r="BC42" s="113"/>
      <c r="BD42" s="113"/>
      <c r="BE42" s="113"/>
      <c r="BF42" s="113"/>
      <c r="BG42" s="113"/>
      <c r="BH42" s="113"/>
      <c r="BI42" s="113"/>
      <c r="BJ42" s="113"/>
      <c r="BK42" s="113"/>
      <c r="BL42" s="113"/>
      <c r="BM42" s="113"/>
      <c r="BN42" s="113"/>
      <c r="BO42" s="113"/>
      <c r="BP42" s="113"/>
      <c r="BQ42" s="113"/>
      <c r="BR42" s="113"/>
      <c r="BS42" s="113"/>
      <c r="BT42" s="113"/>
      <c r="BU42" s="113"/>
      <c r="BV42" s="113"/>
      <c r="BW42" s="113"/>
      <c r="BX42" s="113"/>
      <c r="BY42" s="113"/>
      <c r="BZ42" s="113"/>
      <c r="CA42" s="113"/>
      <c r="CB42" s="113"/>
      <c r="CC42" s="113"/>
      <c r="CD42" s="113"/>
      <c r="CE42" s="113"/>
      <c r="CF42" s="113"/>
      <c r="CG42" s="113"/>
      <c r="CH42" s="113"/>
      <c r="CI42" s="113"/>
      <c r="CJ42" s="113"/>
      <c r="CK42" s="113"/>
      <c r="CL42" s="113"/>
      <c r="CM42" s="113"/>
      <c r="CN42" s="113"/>
      <c r="CO42" s="113"/>
      <c r="CP42" s="113"/>
      <c r="CQ42" s="113"/>
      <c r="CR42" s="113"/>
      <c r="CS42" s="113"/>
      <c r="CT42" s="113"/>
      <c r="CU42" s="113"/>
      <c r="CV42" s="113"/>
      <c r="CW42" s="113"/>
      <c r="CX42" s="113"/>
      <c r="CY42" s="113"/>
      <c r="CZ42" s="113"/>
      <c r="DA42" s="113"/>
      <c r="DB42" s="113"/>
      <c r="DC42" s="113"/>
      <c r="DD42" s="113"/>
      <c r="DE42" s="113"/>
      <c r="DF42" s="113"/>
    </row>
    <row r="43">
      <c r="A43" s="120"/>
      <c r="B43" s="113"/>
      <c r="C43" s="120"/>
      <c r="D43" s="120"/>
      <c r="E43" s="113"/>
      <c r="F43" s="120"/>
      <c r="G43" s="120"/>
      <c r="H43" s="113"/>
      <c r="I43" s="113"/>
      <c r="J43" s="113"/>
      <c r="K43" s="113"/>
      <c r="L43" s="113"/>
      <c r="M43" s="113"/>
      <c r="N43" s="113"/>
      <c r="O43" s="120"/>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113"/>
      <c r="AX43" s="113"/>
      <c r="AY43" s="113"/>
      <c r="AZ43" s="113"/>
      <c r="BA43" s="113"/>
      <c r="BB43" s="113"/>
      <c r="BC43" s="113"/>
      <c r="BD43" s="113"/>
      <c r="BE43" s="113"/>
      <c r="BF43" s="113"/>
      <c r="BG43" s="113"/>
      <c r="BH43" s="113"/>
      <c r="BI43" s="113"/>
      <c r="BJ43" s="113"/>
      <c r="BK43" s="113"/>
      <c r="BL43" s="113"/>
      <c r="BM43" s="113"/>
      <c r="BN43" s="113"/>
      <c r="BO43" s="113"/>
      <c r="BP43" s="113"/>
      <c r="BQ43" s="113"/>
      <c r="BR43" s="113"/>
      <c r="BS43" s="113"/>
      <c r="BT43" s="113"/>
      <c r="BU43" s="113"/>
      <c r="BV43" s="113"/>
      <c r="BW43" s="113"/>
      <c r="BX43" s="113"/>
      <c r="BY43" s="113"/>
      <c r="BZ43" s="113"/>
      <c r="CA43" s="113"/>
      <c r="CB43" s="113"/>
      <c r="CC43" s="113"/>
      <c r="CD43" s="113"/>
      <c r="CE43" s="113"/>
      <c r="CF43" s="113"/>
      <c r="CG43" s="113"/>
      <c r="CH43" s="113"/>
      <c r="CI43" s="113"/>
      <c r="CJ43" s="113"/>
      <c r="CK43" s="113"/>
      <c r="CL43" s="113"/>
      <c r="CM43" s="113"/>
      <c r="CN43" s="113"/>
      <c r="CO43" s="113"/>
      <c r="CP43" s="113"/>
      <c r="CQ43" s="113"/>
      <c r="CR43" s="113"/>
      <c r="CS43" s="113"/>
      <c r="CT43" s="113"/>
      <c r="CU43" s="113"/>
      <c r="CV43" s="113"/>
      <c r="CW43" s="113"/>
      <c r="CX43" s="113"/>
      <c r="CY43" s="113"/>
      <c r="CZ43" s="113"/>
      <c r="DA43" s="113"/>
      <c r="DB43" s="113"/>
      <c r="DC43" s="113"/>
      <c r="DD43" s="113"/>
      <c r="DE43" s="113"/>
      <c r="DF43" s="113"/>
    </row>
    <row r="44">
      <c r="A44" s="120"/>
      <c r="B44" s="113"/>
      <c r="C44" s="120"/>
      <c r="D44" s="120"/>
      <c r="E44" s="113"/>
      <c r="F44" s="120"/>
      <c r="G44" s="120"/>
      <c r="H44" s="113"/>
      <c r="I44" s="113"/>
      <c r="J44" s="113"/>
      <c r="K44" s="113"/>
      <c r="L44" s="113"/>
      <c r="M44" s="113"/>
      <c r="N44" s="113"/>
      <c r="O44" s="120"/>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3"/>
      <c r="AZ44" s="113"/>
      <c r="BA44" s="113"/>
      <c r="BB44" s="113"/>
      <c r="BC44" s="113"/>
      <c r="BD44" s="113"/>
      <c r="BE44" s="113"/>
      <c r="BF44" s="113"/>
      <c r="BG44" s="113"/>
      <c r="BH44" s="113"/>
      <c r="BI44" s="113"/>
      <c r="BJ44" s="113"/>
      <c r="BK44" s="113"/>
      <c r="BL44" s="113"/>
      <c r="BM44" s="113"/>
      <c r="BN44" s="113"/>
      <c r="BO44" s="113"/>
      <c r="BP44" s="113"/>
      <c r="BQ44" s="113"/>
      <c r="BR44" s="113"/>
      <c r="BS44" s="113"/>
      <c r="BT44" s="113"/>
      <c r="BU44" s="113"/>
      <c r="BV44" s="113"/>
      <c r="BW44" s="113"/>
      <c r="BX44" s="113"/>
      <c r="BY44" s="113"/>
      <c r="BZ44" s="113"/>
      <c r="CA44" s="113"/>
      <c r="CB44" s="113"/>
      <c r="CC44" s="113"/>
      <c r="CD44" s="113"/>
      <c r="CE44" s="113"/>
      <c r="CF44" s="113"/>
      <c r="CG44" s="113"/>
      <c r="CH44" s="113"/>
      <c r="CI44" s="113"/>
      <c r="CJ44" s="113"/>
      <c r="CK44" s="113"/>
      <c r="CL44" s="113"/>
      <c r="CM44" s="113"/>
      <c r="CN44" s="113"/>
      <c r="CO44" s="113"/>
      <c r="CP44" s="113"/>
      <c r="CQ44" s="113"/>
      <c r="CR44" s="113"/>
      <c r="CS44" s="113"/>
      <c r="CT44" s="113"/>
      <c r="CU44" s="113"/>
      <c r="CV44" s="113"/>
      <c r="CW44" s="113"/>
      <c r="CX44" s="113"/>
      <c r="CY44" s="113"/>
      <c r="CZ44" s="113"/>
      <c r="DA44" s="113"/>
      <c r="DB44" s="113"/>
      <c r="DC44" s="113"/>
      <c r="DD44" s="113"/>
      <c r="DE44" s="113"/>
      <c r="DF44" s="113"/>
    </row>
    <row r="45">
      <c r="A45" s="120"/>
      <c r="B45" s="113"/>
      <c r="C45" s="120"/>
      <c r="D45" s="120"/>
      <c r="E45" s="113"/>
      <c r="F45" s="120"/>
      <c r="G45" s="120"/>
      <c r="H45" s="113"/>
      <c r="I45" s="113"/>
      <c r="J45" s="113"/>
      <c r="K45" s="113"/>
      <c r="L45" s="113"/>
      <c r="M45" s="113"/>
      <c r="N45" s="113"/>
      <c r="O45" s="120"/>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13"/>
      <c r="BC45" s="113"/>
      <c r="BD45" s="113"/>
      <c r="BE45" s="113"/>
      <c r="BF45" s="113"/>
      <c r="BG45" s="113"/>
      <c r="BH45" s="113"/>
      <c r="BI45" s="113"/>
      <c r="BJ45" s="113"/>
      <c r="BK45" s="113"/>
      <c r="BL45" s="113"/>
      <c r="BM45" s="113"/>
      <c r="BN45" s="113"/>
      <c r="BO45" s="113"/>
      <c r="BP45" s="113"/>
      <c r="BQ45" s="113"/>
      <c r="BR45" s="113"/>
      <c r="BS45" s="113"/>
      <c r="BT45" s="113"/>
      <c r="BU45" s="113"/>
      <c r="BV45" s="113"/>
      <c r="BW45" s="113"/>
      <c r="BX45" s="113"/>
      <c r="BY45" s="113"/>
      <c r="BZ45" s="113"/>
      <c r="CA45" s="113"/>
      <c r="CB45" s="113"/>
      <c r="CC45" s="113"/>
      <c r="CD45" s="113"/>
      <c r="CE45" s="113"/>
      <c r="CF45" s="113"/>
      <c r="CG45" s="113"/>
      <c r="CH45" s="113"/>
      <c r="CI45" s="113"/>
      <c r="CJ45" s="113"/>
      <c r="CK45" s="113"/>
      <c r="CL45" s="113"/>
      <c r="CM45" s="113"/>
      <c r="CN45" s="113"/>
      <c r="CO45" s="113"/>
      <c r="CP45" s="113"/>
      <c r="CQ45" s="113"/>
      <c r="CR45" s="113"/>
      <c r="CS45" s="113"/>
      <c r="CT45" s="113"/>
      <c r="CU45" s="113"/>
      <c r="CV45" s="113"/>
      <c r="CW45" s="113"/>
      <c r="CX45" s="113"/>
      <c r="CY45" s="113"/>
      <c r="CZ45" s="113"/>
      <c r="DA45" s="113"/>
      <c r="DB45" s="113"/>
      <c r="DC45" s="113"/>
      <c r="DD45" s="113"/>
      <c r="DE45" s="113"/>
      <c r="DF45" s="113"/>
    </row>
    <row r="46">
      <c r="A46" s="120"/>
      <c r="B46" s="113"/>
      <c r="C46" s="120"/>
      <c r="D46" s="120"/>
      <c r="E46" s="113"/>
      <c r="F46" s="120"/>
      <c r="G46" s="120"/>
      <c r="H46" s="113"/>
      <c r="I46" s="113"/>
      <c r="J46" s="113"/>
      <c r="K46" s="113"/>
      <c r="L46" s="113"/>
      <c r="M46" s="113"/>
      <c r="N46" s="113"/>
      <c r="O46" s="120"/>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3"/>
      <c r="CB46" s="113"/>
      <c r="CC46" s="113"/>
      <c r="CD46" s="113"/>
      <c r="CE46" s="113"/>
      <c r="CF46" s="113"/>
      <c r="CG46" s="113"/>
      <c r="CH46" s="113"/>
      <c r="CI46" s="113"/>
      <c r="CJ46" s="113"/>
      <c r="CK46" s="113"/>
      <c r="CL46" s="113"/>
      <c r="CM46" s="113"/>
      <c r="CN46" s="113"/>
      <c r="CO46" s="113"/>
      <c r="CP46" s="113"/>
      <c r="CQ46" s="113"/>
      <c r="CR46" s="113"/>
      <c r="CS46" s="113"/>
      <c r="CT46" s="113"/>
      <c r="CU46" s="113"/>
      <c r="CV46" s="113"/>
      <c r="CW46" s="113"/>
      <c r="CX46" s="113"/>
      <c r="CY46" s="113"/>
      <c r="CZ46" s="113"/>
      <c r="DA46" s="113"/>
      <c r="DB46" s="113"/>
      <c r="DC46" s="113"/>
      <c r="DD46" s="113"/>
      <c r="DE46" s="113"/>
      <c r="DF46" s="113"/>
    </row>
    <row r="47">
      <c r="A47" s="120"/>
      <c r="B47" s="113"/>
      <c r="C47" s="120"/>
      <c r="D47" s="120"/>
      <c r="E47" s="113"/>
      <c r="F47" s="120"/>
      <c r="G47" s="120"/>
      <c r="H47" s="113"/>
      <c r="I47" s="113"/>
      <c r="J47" s="113"/>
      <c r="K47" s="113"/>
      <c r="L47" s="113"/>
      <c r="M47" s="113"/>
      <c r="N47" s="113"/>
      <c r="O47" s="120"/>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113"/>
      <c r="BQ47" s="113"/>
      <c r="BR47" s="113"/>
      <c r="BS47" s="113"/>
      <c r="BT47" s="113"/>
      <c r="BU47" s="113"/>
      <c r="BV47" s="113"/>
      <c r="BW47" s="113"/>
      <c r="BX47" s="113"/>
      <c r="BY47" s="113"/>
      <c r="BZ47" s="113"/>
      <c r="CA47" s="113"/>
      <c r="CB47" s="113"/>
      <c r="CC47" s="113"/>
      <c r="CD47" s="113"/>
      <c r="CE47" s="113"/>
      <c r="CF47" s="113"/>
      <c r="CG47" s="113"/>
      <c r="CH47" s="113"/>
      <c r="CI47" s="113"/>
      <c r="CJ47" s="113"/>
      <c r="CK47" s="113"/>
      <c r="CL47" s="113"/>
      <c r="CM47" s="113"/>
      <c r="CN47" s="113"/>
      <c r="CO47" s="113"/>
      <c r="CP47" s="113"/>
      <c r="CQ47" s="113"/>
      <c r="CR47" s="113"/>
      <c r="CS47" s="113"/>
      <c r="CT47" s="113"/>
      <c r="CU47" s="113"/>
      <c r="CV47" s="113"/>
      <c r="CW47" s="113"/>
      <c r="CX47" s="113"/>
      <c r="CY47" s="113"/>
      <c r="CZ47" s="113"/>
      <c r="DA47" s="113"/>
      <c r="DB47" s="113"/>
      <c r="DC47" s="113"/>
      <c r="DD47" s="113"/>
      <c r="DE47" s="113"/>
      <c r="DF47" s="113"/>
    </row>
    <row r="48">
      <c r="A48" s="120"/>
      <c r="B48" s="113"/>
      <c r="C48" s="120"/>
      <c r="D48" s="120"/>
      <c r="E48" s="113"/>
      <c r="F48" s="120"/>
      <c r="G48" s="120"/>
      <c r="H48" s="113"/>
      <c r="I48" s="113"/>
      <c r="J48" s="113"/>
      <c r="K48" s="113"/>
      <c r="L48" s="113"/>
      <c r="M48" s="113"/>
      <c r="N48" s="113"/>
      <c r="O48" s="120"/>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c r="CA48" s="113"/>
      <c r="CB48" s="113"/>
      <c r="CC48" s="113"/>
      <c r="CD48" s="113"/>
      <c r="CE48" s="113"/>
      <c r="CF48" s="113"/>
      <c r="CG48" s="113"/>
      <c r="CH48" s="113"/>
      <c r="CI48" s="113"/>
      <c r="CJ48" s="113"/>
      <c r="CK48" s="113"/>
      <c r="CL48" s="113"/>
      <c r="CM48" s="113"/>
      <c r="CN48" s="113"/>
      <c r="CO48" s="113"/>
      <c r="CP48" s="113"/>
      <c r="CQ48" s="113"/>
      <c r="CR48" s="113"/>
      <c r="CS48" s="113"/>
      <c r="CT48" s="113"/>
      <c r="CU48" s="113"/>
      <c r="CV48" s="113"/>
      <c r="CW48" s="113"/>
      <c r="CX48" s="113"/>
      <c r="CY48" s="113"/>
      <c r="CZ48" s="113"/>
      <c r="DA48" s="113"/>
      <c r="DB48" s="113"/>
      <c r="DC48" s="113"/>
      <c r="DD48" s="113"/>
      <c r="DE48" s="113"/>
      <c r="DF48" s="113"/>
    </row>
    <row r="49">
      <c r="A49" s="120"/>
      <c r="B49" s="113"/>
      <c r="C49" s="120"/>
      <c r="D49" s="120"/>
      <c r="E49" s="113"/>
      <c r="F49" s="120"/>
      <c r="G49" s="120"/>
      <c r="H49" s="113"/>
      <c r="I49" s="113"/>
      <c r="J49" s="113"/>
      <c r="K49" s="113"/>
      <c r="L49" s="113"/>
      <c r="M49" s="113"/>
      <c r="N49" s="113"/>
      <c r="O49" s="120"/>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3"/>
      <c r="CB49" s="113"/>
      <c r="CC49" s="113"/>
      <c r="CD49" s="113"/>
      <c r="CE49" s="113"/>
      <c r="CF49" s="113"/>
      <c r="CG49" s="113"/>
      <c r="CH49" s="113"/>
      <c r="CI49" s="113"/>
      <c r="CJ49" s="113"/>
      <c r="CK49" s="113"/>
      <c r="CL49" s="113"/>
      <c r="CM49" s="113"/>
      <c r="CN49" s="113"/>
      <c r="CO49" s="113"/>
      <c r="CP49" s="113"/>
      <c r="CQ49" s="113"/>
      <c r="CR49" s="113"/>
      <c r="CS49" s="113"/>
      <c r="CT49" s="113"/>
      <c r="CU49" s="113"/>
      <c r="CV49" s="113"/>
      <c r="CW49" s="113"/>
      <c r="CX49" s="113"/>
      <c r="CY49" s="113"/>
      <c r="CZ49" s="113"/>
      <c r="DA49" s="113"/>
      <c r="DB49" s="113"/>
      <c r="DC49" s="113"/>
      <c r="DD49" s="113"/>
      <c r="DE49" s="113"/>
      <c r="DF49" s="113"/>
    </row>
    <row r="50">
      <c r="A50" s="120"/>
      <c r="B50" s="113"/>
      <c r="C50" s="120"/>
      <c r="D50" s="120"/>
      <c r="E50" s="113"/>
      <c r="F50" s="120"/>
      <c r="G50" s="120"/>
      <c r="H50" s="113"/>
      <c r="I50" s="113"/>
      <c r="J50" s="113"/>
      <c r="K50" s="113"/>
      <c r="L50" s="113"/>
      <c r="M50" s="113"/>
      <c r="N50" s="113"/>
      <c r="O50" s="120"/>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13"/>
      <c r="CE50" s="113"/>
      <c r="CF50" s="113"/>
      <c r="CG50" s="113"/>
      <c r="CH50" s="113"/>
      <c r="CI50" s="113"/>
      <c r="CJ50" s="113"/>
      <c r="CK50" s="113"/>
      <c r="CL50" s="113"/>
      <c r="CM50" s="113"/>
      <c r="CN50" s="113"/>
      <c r="CO50" s="113"/>
      <c r="CP50" s="113"/>
      <c r="CQ50" s="113"/>
      <c r="CR50" s="113"/>
      <c r="CS50" s="113"/>
      <c r="CT50" s="113"/>
      <c r="CU50" s="113"/>
      <c r="CV50" s="113"/>
      <c r="CW50" s="113"/>
      <c r="CX50" s="113"/>
      <c r="CY50" s="113"/>
      <c r="CZ50" s="113"/>
      <c r="DA50" s="113"/>
      <c r="DB50" s="113"/>
      <c r="DC50" s="113"/>
      <c r="DD50" s="113"/>
      <c r="DE50" s="113"/>
      <c r="DF50" s="113"/>
    </row>
    <row r="51">
      <c r="A51" s="22"/>
      <c r="C51" s="22"/>
      <c r="D51" s="22"/>
      <c r="F51" s="22"/>
      <c r="G51" s="22"/>
      <c r="O51" s="22"/>
    </row>
    <row r="52">
      <c r="A52" s="22"/>
      <c r="C52" s="22"/>
      <c r="D52" s="22"/>
      <c r="F52" s="22"/>
      <c r="G52" s="22"/>
      <c r="O52" s="22"/>
    </row>
    <row r="53">
      <c r="A53" s="22"/>
      <c r="C53" s="22"/>
      <c r="D53" s="22"/>
      <c r="F53" s="22"/>
      <c r="G53" s="22"/>
      <c r="O53" s="22"/>
    </row>
    <row r="54">
      <c r="A54" s="22"/>
      <c r="C54" s="22"/>
      <c r="D54" s="22"/>
      <c r="F54" s="22"/>
      <c r="G54" s="22"/>
      <c r="O54" s="22"/>
    </row>
    <row r="55">
      <c r="A55" s="22"/>
      <c r="C55" s="22"/>
      <c r="D55" s="22"/>
      <c r="F55" s="22"/>
      <c r="G55" s="22"/>
      <c r="O55" s="22"/>
    </row>
    <row r="56">
      <c r="A56" s="22"/>
      <c r="C56" s="22"/>
      <c r="D56" s="22"/>
      <c r="F56" s="22"/>
      <c r="G56" s="22"/>
      <c r="O56" s="22"/>
    </row>
    <row r="57">
      <c r="A57" s="22"/>
      <c r="C57" s="22"/>
      <c r="D57" s="22"/>
      <c r="F57" s="22"/>
      <c r="G57" s="22"/>
      <c r="O57" s="22"/>
    </row>
    <row r="58">
      <c r="A58" s="22"/>
      <c r="C58" s="22"/>
      <c r="D58" s="22"/>
      <c r="F58" s="22"/>
      <c r="G58" s="22"/>
      <c r="O58" s="22"/>
    </row>
    <row r="59">
      <c r="A59" s="22"/>
      <c r="C59" s="22"/>
      <c r="D59" s="22"/>
      <c r="F59" s="22"/>
      <c r="G59" s="22"/>
      <c r="O59" s="22"/>
    </row>
    <row r="60">
      <c r="A60" s="22"/>
      <c r="C60" s="22"/>
      <c r="D60" s="22"/>
      <c r="F60" s="22"/>
      <c r="G60" s="22"/>
      <c r="O60" s="22"/>
    </row>
    <row r="61">
      <c r="A61" s="22"/>
      <c r="C61" s="22"/>
      <c r="D61" s="22"/>
      <c r="F61" s="22"/>
      <c r="G61" s="22"/>
      <c r="O61" s="22"/>
    </row>
    <row r="62">
      <c r="A62" s="22"/>
      <c r="C62" s="22"/>
      <c r="D62" s="22"/>
      <c r="F62" s="22"/>
      <c r="G62" s="22"/>
      <c r="O62" s="22"/>
    </row>
    <row r="63">
      <c r="A63" s="22"/>
      <c r="C63" s="22"/>
      <c r="D63" s="22"/>
      <c r="F63" s="22"/>
      <c r="G63" s="22"/>
      <c r="O63" s="22"/>
    </row>
    <row r="64">
      <c r="A64" s="22"/>
      <c r="C64" s="22"/>
      <c r="D64" s="22"/>
      <c r="F64" s="22"/>
      <c r="G64" s="22"/>
      <c r="O64" s="22"/>
    </row>
    <row r="65">
      <c r="A65" s="22"/>
      <c r="C65" s="22"/>
      <c r="D65" s="22"/>
      <c r="F65" s="22"/>
      <c r="G65" s="22"/>
      <c r="O65" s="22"/>
    </row>
    <row r="66">
      <c r="A66" s="22"/>
      <c r="C66" s="22"/>
      <c r="D66" s="22"/>
      <c r="F66" s="22"/>
      <c r="G66" s="22"/>
      <c r="O66" s="22"/>
    </row>
    <row r="67">
      <c r="A67" s="22"/>
      <c r="C67" s="22"/>
      <c r="D67" s="22"/>
      <c r="F67" s="22"/>
      <c r="G67" s="22"/>
      <c r="O67" s="22"/>
    </row>
    <row r="68">
      <c r="A68" s="22"/>
      <c r="C68" s="22"/>
      <c r="D68" s="22"/>
      <c r="F68" s="22"/>
      <c r="G68" s="22"/>
      <c r="O68" s="22"/>
    </row>
    <row r="69">
      <c r="A69" s="22"/>
      <c r="C69" s="22"/>
      <c r="D69" s="22"/>
      <c r="F69" s="22"/>
      <c r="G69" s="22"/>
      <c r="O69" s="22"/>
    </row>
    <row r="70">
      <c r="A70" s="22"/>
      <c r="C70" s="22"/>
      <c r="D70" s="22"/>
      <c r="F70" s="22"/>
      <c r="G70" s="22"/>
      <c r="O70" s="22"/>
    </row>
    <row r="71">
      <c r="A71" s="22"/>
      <c r="C71" s="22"/>
      <c r="D71" s="22"/>
      <c r="F71" s="22"/>
      <c r="G71" s="22"/>
      <c r="O71" s="22"/>
    </row>
    <row r="72">
      <c r="A72" s="22"/>
      <c r="C72" s="22"/>
      <c r="D72" s="22"/>
      <c r="F72" s="22"/>
      <c r="G72" s="22"/>
      <c r="O72" s="22"/>
    </row>
    <row r="73">
      <c r="A73" s="22"/>
      <c r="C73" s="22"/>
      <c r="D73" s="22"/>
      <c r="F73" s="22"/>
      <c r="G73" s="22"/>
      <c r="O73" s="22"/>
    </row>
    <row r="74">
      <c r="A74" s="22"/>
      <c r="C74" s="22"/>
      <c r="D74" s="22"/>
      <c r="F74" s="22"/>
      <c r="G74" s="22"/>
      <c r="O74" s="22"/>
    </row>
    <row r="75">
      <c r="A75" s="22"/>
      <c r="C75" s="22"/>
      <c r="D75" s="22"/>
      <c r="F75" s="22"/>
      <c r="G75" s="22"/>
      <c r="O75" s="22"/>
    </row>
    <row r="76">
      <c r="A76" s="22"/>
      <c r="C76" s="22"/>
      <c r="D76" s="22"/>
      <c r="F76" s="22"/>
      <c r="G76" s="22"/>
      <c r="O76" s="22"/>
    </row>
    <row r="77">
      <c r="A77" s="22"/>
      <c r="C77" s="22"/>
      <c r="D77" s="22"/>
      <c r="F77" s="22"/>
      <c r="G77" s="22"/>
      <c r="O77" s="22"/>
    </row>
    <row r="78">
      <c r="A78" s="22"/>
      <c r="C78" s="22"/>
      <c r="D78" s="22"/>
      <c r="F78" s="22"/>
      <c r="G78" s="22"/>
      <c r="O78" s="22"/>
    </row>
    <row r="79">
      <c r="A79" s="22"/>
      <c r="C79" s="22"/>
      <c r="D79" s="22"/>
      <c r="F79" s="22"/>
      <c r="G79" s="22"/>
      <c r="O79" s="22"/>
    </row>
    <row r="80">
      <c r="A80" s="22"/>
      <c r="C80" s="22"/>
      <c r="D80" s="22"/>
      <c r="F80" s="22"/>
      <c r="G80" s="22"/>
      <c r="O80" s="22"/>
    </row>
    <row r="81">
      <c r="A81" s="22"/>
      <c r="C81" s="22"/>
      <c r="D81" s="22"/>
      <c r="F81" s="22"/>
      <c r="G81" s="22"/>
      <c r="O81" s="22"/>
    </row>
    <row r="82">
      <c r="A82" s="22"/>
      <c r="C82" s="22"/>
      <c r="D82" s="22"/>
      <c r="F82" s="22"/>
      <c r="G82" s="22"/>
      <c r="O82" s="22"/>
    </row>
    <row r="83">
      <c r="A83" s="22"/>
      <c r="C83" s="22"/>
      <c r="D83" s="22"/>
      <c r="F83" s="22"/>
      <c r="G83" s="22"/>
      <c r="O83" s="22"/>
    </row>
    <row r="84">
      <c r="A84" s="22"/>
      <c r="C84" s="22"/>
      <c r="D84" s="22"/>
      <c r="F84" s="22"/>
      <c r="G84" s="22"/>
      <c r="O84" s="22"/>
    </row>
    <row r="85">
      <c r="A85" s="22"/>
      <c r="C85" s="22"/>
      <c r="D85" s="22"/>
      <c r="F85" s="22"/>
      <c r="G85" s="22"/>
      <c r="O85" s="22"/>
    </row>
    <row r="86">
      <c r="A86" s="22"/>
      <c r="C86" s="22"/>
      <c r="D86" s="22"/>
      <c r="F86" s="22"/>
      <c r="G86" s="22"/>
      <c r="O86" s="22"/>
    </row>
    <row r="87">
      <c r="A87" s="22"/>
      <c r="C87" s="22"/>
      <c r="D87" s="22"/>
      <c r="F87" s="22"/>
      <c r="G87" s="22"/>
      <c r="O87" s="22"/>
    </row>
    <row r="88">
      <c r="A88" s="22"/>
      <c r="C88" s="22"/>
      <c r="D88" s="22"/>
      <c r="F88" s="22"/>
      <c r="G88" s="22"/>
      <c r="O88" s="22"/>
    </row>
    <row r="89">
      <c r="A89" s="22"/>
      <c r="C89" s="22"/>
      <c r="D89" s="22"/>
      <c r="F89" s="22"/>
      <c r="G89" s="22"/>
      <c r="O89" s="22"/>
    </row>
    <row r="90">
      <c r="A90" s="22"/>
      <c r="C90" s="22"/>
      <c r="D90" s="22"/>
      <c r="F90" s="22"/>
      <c r="G90" s="22"/>
      <c r="O90" s="22"/>
    </row>
    <row r="91">
      <c r="A91" s="22"/>
      <c r="C91" s="22"/>
      <c r="D91" s="22"/>
      <c r="F91" s="22"/>
      <c r="G91" s="22"/>
      <c r="O91" s="22"/>
    </row>
    <row r="92">
      <c r="A92" s="22"/>
      <c r="C92" s="22"/>
      <c r="D92" s="22"/>
      <c r="F92" s="22"/>
      <c r="G92" s="22"/>
      <c r="O92" s="22"/>
    </row>
    <row r="93">
      <c r="A93" s="22"/>
      <c r="C93" s="22"/>
      <c r="D93" s="22"/>
      <c r="F93" s="22"/>
      <c r="G93" s="22"/>
      <c r="O93" s="22"/>
    </row>
    <row r="94">
      <c r="A94" s="22"/>
      <c r="C94" s="22"/>
      <c r="D94" s="22"/>
      <c r="F94" s="22"/>
      <c r="G94" s="22"/>
      <c r="O94" s="22"/>
    </row>
    <row r="95">
      <c r="A95" s="22"/>
      <c r="C95" s="22"/>
      <c r="D95" s="22"/>
      <c r="F95" s="22"/>
      <c r="G95" s="22"/>
      <c r="O95" s="22"/>
    </row>
    <row r="96">
      <c r="A96" s="22"/>
      <c r="C96" s="22"/>
      <c r="D96" s="22"/>
      <c r="F96" s="22"/>
      <c r="G96" s="22"/>
      <c r="O96" s="22"/>
    </row>
    <row r="97">
      <c r="A97" s="22"/>
      <c r="C97" s="22"/>
      <c r="D97" s="22"/>
      <c r="F97" s="22"/>
      <c r="G97" s="22"/>
      <c r="O97" s="22"/>
    </row>
    <row r="98">
      <c r="A98" s="22"/>
      <c r="C98" s="22"/>
      <c r="D98" s="22"/>
      <c r="F98" s="22"/>
      <c r="G98" s="22"/>
      <c r="O98" s="22"/>
    </row>
    <row r="99">
      <c r="A99" s="22"/>
      <c r="C99" s="22"/>
      <c r="D99" s="22"/>
      <c r="F99" s="22"/>
      <c r="G99" s="22"/>
      <c r="O99" s="22"/>
    </row>
    <row r="100">
      <c r="A100" s="22"/>
      <c r="C100" s="22"/>
      <c r="D100" s="22"/>
      <c r="F100" s="22"/>
      <c r="G100" s="22"/>
      <c r="O100" s="22"/>
    </row>
    <row r="101">
      <c r="A101" s="22"/>
      <c r="C101" s="22"/>
      <c r="D101" s="22"/>
      <c r="F101" s="22"/>
      <c r="G101" s="22"/>
      <c r="O101" s="22"/>
    </row>
    <row r="102">
      <c r="A102" s="22"/>
      <c r="C102" s="22"/>
      <c r="D102" s="22"/>
      <c r="F102" s="22"/>
      <c r="G102" s="22"/>
      <c r="O102" s="22"/>
    </row>
    <row r="103">
      <c r="A103" s="22"/>
      <c r="C103" s="22"/>
      <c r="D103" s="22"/>
      <c r="F103" s="22"/>
      <c r="G103" s="22"/>
      <c r="O103" s="22"/>
    </row>
    <row r="104">
      <c r="A104" s="22"/>
      <c r="C104" s="22"/>
      <c r="D104" s="22"/>
      <c r="F104" s="22"/>
      <c r="G104" s="22"/>
      <c r="O104" s="22"/>
    </row>
    <row r="105">
      <c r="A105" s="22"/>
      <c r="C105" s="22"/>
      <c r="D105" s="22"/>
      <c r="F105" s="22"/>
      <c r="G105" s="22"/>
      <c r="O105" s="22"/>
    </row>
    <row r="106">
      <c r="A106" s="22"/>
      <c r="C106" s="22"/>
      <c r="D106" s="22"/>
      <c r="F106" s="22"/>
      <c r="G106" s="22"/>
      <c r="O106" s="22"/>
    </row>
    <row r="107">
      <c r="A107" s="22"/>
      <c r="C107" s="22"/>
      <c r="D107" s="22"/>
      <c r="F107" s="22"/>
      <c r="G107" s="22"/>
      <c r="O107" s="22"/>
    </row>
    <row r="108">
      <c r="A108" s="22"/>
      <c r="C108" s="22"/>
      <c r="D108" s="22"/>
      <c r="F108" s="22"/>
      <c r="G108" s="22"/>
      <c r="O108" s="22"/>
    </row>
    <row r="109">
      <c r="A109" s="22"/>
      <c r="C109" s="22"/>
      <c r="D109" s="22"/>
      <c r="F109" s="22"/>
      <c r="G109" s="22"/>
      <c r="O109" s="22"/>
    </row>
    <row r="110">
      <c r="A110" s="22"/>
      <c r="C110" s="22"/>
      <c r="D110" s="22"/>
      <c r="F110" s="22"/>
      <c r="G110" s="22"/>
      <c r="O110" s="22"/>
    </row>
    <row r="111">
      <c r="A111" s="22"/>
      <c r="C111" s="22"/>
      <c r="D111" s="22"/>
      <c r="F111" s="22"/>
      <c r="G111" s="22"/>
      <c r="O111" s="22"/>
    </row>
    <row r="112">
      <c r="A112" s="22"/>
      <c r="C112" s="22"/>
      <c r="D112" s="22"/>
      <c r="F112" s="22"/>
      <c r="G112" s="22"/>
      <c r="O112" s="22"/>
    </row>
    <row r="113">
      <c r="A113" s="22"/>
      <c r="C113" s="22"/>
      <c r="D113" s="22"/>
      <c r="F113" s="22"/>
      <c r="G113" s="22"/>
      <c r="O113" s="22"/>
    </row>
    <row r="114">
      <c r="A114" s="22"/>
      <c r="C114" s="22"/>
      <c r="D114" s="22"/>
      <c r="F114" s="22"/>
      <c r="G114" s="22"/>
      <c r="O114" s="22"/>
    </row>
    <row r="115">
      <c r="A115" s="22"/>
      <c r="C115" s="22"/>
      <c r="D115" s="22"/>
      <c r="F115" s="22"/>
      <c r="G115" s="22"/>
      <c r="O115" s="22"/>
    </row>
    <row r="116">
      <c r="A116" s="22"/>
      <c r="C116" s="22"/>
      <c r="D116" s="22"/>
      <c r="F116" s="22"/>
      <c r="G116" s="22"/>
      <c r="O116" s="22"/>
    </row>
    <row r="117">
      <c r="A117" s="22"/>
      <c r="C117" s="22"/>
      <c r="D117" s="22"/>
      <c r="F117" s="22"/>
      <c r="G117" s="22"/>
      <c r="O117" s="22"/>
    </row>
    <row r="118">
      <c r="A118" s="22"/>
      <c r="C118" s="22"/>
      <c r="D118" s="22"/>
      <c r="F118" s="22"/>
      <c r="G118" s="22"/>
      <c r="O118" s="22"/>
    </row>
    <row r="119">
      <c r="A119" s="22"/>
      <c r="C119" s="22"/>
      <c r="D119" s="22"/>
      <c r="F119" s="22"/>
      <c r="G119" s="22"/>
      <c r="O119" s="22"/>
    </row>
    <row r="120">
      <c r="A120" s="22"/>
      <c r="C120" s="22"/>
      <c r="D120" s="22"/>
      <c r="F120" s="22"/>
      <c r="G120" s="22"/>
      <c r="O120" s="22"/>
    </row>
    <row r="121">
      <c r="A121" s="22"/>
      <c r="C121" s="22"/>
      <c r="D121" s="22"/>
      <c r="F121" s="22"/>
      <c r="G121" s="22"/>
      <c r="O121" s="22"/>
    </row>
    <row r="122">
      <c r="A122" s="22"/>
      <c r="C122" s="22"/>
      <c r="D122" s="22"/>
      <c r="F122" s="22"/>
      <c r="G122" s="22"/>
      <c r="O122" s="22"/>
    </row>
    <row r="123">
      <c r="A123" s="22"/>
      <c r="C123" s="22"/>
      <c r="D123" s="22"/>
      <c r="F123" s="22"/>
      <c r="G123" s="22"/>
      <c r="O123" s="22"/>
    </row>
    <row r="124">
      <c r="A124" s="22"/>
      <c r="C124" s="22"/>
      <c r="D124" s="22"/>
      <c r="F124" s="22"/>
      <c r="G124" s="22"/>
      <c r="O124" s="22"/>
    </row>
    <row r="125">
      <c r="A125" s="22"/>
      <c r="C125" s="22"/>
      <c r="D125" s="22"/>
      <c r="F125" s="22"/>
      <c r="G125" s="22"/>
      <c r="O125" s="22"/>
    </row>
    <row r="126">
      <c r="A126" s="22"/>
      <c r="C126" s="22"/>
      <c r="D126" s="22"/>
      <c r="F126" s="22"/>
      <c r="G126" s="22"/>
      <c r="O126" s="22"/>
    </row>
    <row r="127">
      <c r="A127" s="22"/>
      <c r="C127" s="22"/>
      <c r="D127" s="22"/>
      <c r="F127" s="22"/>
      <c r="G127" s="22"/>
      <c r="O127" s="22"/>
    </row>
    <row r="128">
      <c r="A128" s="22"/>
      <c r="C128" s="22"/>
      <c r="D128" s="22"/>
      <c r="F128" s="22"/>
      <c r="G128" s="22"/>
      <c r="O128" s="22"/>
    </row>
    <row r="129">
      <c r="A129" s="22"/>
      <c r="C129" s="22"/>
      <c r="D129" s="22"/>
      <c r="F129" s="22"/>
      <c r="G129" s="22"/>
      <c r="O129" s="22"/>
    </row>
    <row r="130">
      <c r="A130" s="22"/>
      <c r="C130" s="22"/>
      <c r="D130" s="22"/>
      <c r="F130" s="22"/>
      <c r="G130" s="22"/>
      <c r="O130" s="22"/>
    </row>
    <row r="131">
      <c r="A131" s="22"/>
      <c r="C131" s="22"/>
      <c r="D131" s="22"/>
      <c r="F131" s="22"/>
      <c r="G131" s="22"/>
      <c r="O131" s="22"/>
    </row>
    <row r="132">
      <c r="A132" s="22"/>
      <c r="C132" s="22"/>
      <c r="D132" s="22"/>
      <c r="F132" s="22"/>
      <c r="G132" s="22"/>
      <c r="O132" s="22"/>
    </row>
    <row r="133">
      <c r="A133" s="22"/>
      <c r="C133" s="22"/>
      <c r="D133" s="22"/>
      <c r="F133" s="22"/>
      <c r="G133" s="22"/>
      <c r="O133" s="22"/>
    </row>
    <row r="134">
      <c r="A134" s="22"/>
      <c r="C134" s="22"/>
      <c r="D134" s="22"/>
      <c r="F134" s="22"/>
      <c r="G134" s="22"/>
      <c r="O134" s="22"/>
    </row>
    <row r="135">
      <c r="A135" s="22"/>
      <c r="C135" s="22"/>
      <c r="D135" s="22"/>
      <c r="F135" s="22"/>
      <c r="G135" s="22"/>
      <c r="O135" s="22"/>
    </row>
    <row r="136">
      <c r="A136" s="22"/>
      <c r="C136" s="22"/>
      <c r="D136" s="22"/>
      <c r="F136" s="22"/>
      <c r="G136" s="22"/>
      <c r="O136" s="22"/>
    </row>
    <row r="137">
      <c r="A137" s="22"/>
      <c r="C137" s="22"/>
      <c r="D137" s="22"/>
      <c r="F137" s="22"/>
      <c r="G137" s="22"/>
      <c r="O137" s="22"/>
    </row>
    <row r="138">
      <c r="A138" s="22"/>
      <c r="C138" s="22"/>
      <c r="D138" s="22"/>
      <c r="F138" s="22"/>
      <c r="G138" s="22"/>
      <c r="O138" s="22"/>
    </row>
    <row r="139">
      <c r="A139" s="22"/>
      <c r="C139" s="22"/>
      <c r="D139" s="22"/>
      <c r="F139" s="22"/>
      <c r="G139" s="22"/>
      <c r="O139" s="22"/>
    </row>
    <row r="140">
      <c r="A140" s="22"/>
      <c r="C140" s="22"/>
      <c r="D140" s="22"/>
      <c r="F140" s="22"/>
      <c r="G140" s="22"/>
      <c r="O140" s="22"/>
    </row>
    <row r="141">
      <c r="A141" s="22"/>
      <c r="C141" s="22"/>
      <c r="D141" s="22"/>
      <c r="F141" s="22"/>
      <c r="G141" s="22"/>
      <c r="O141" s="22"/>
    </row>
    <row r="142">
      <c r="A142" s="22"/>
      <c r="C142" s="22"/>
      <c r="D142" s="22"/>
      <c r="F142" s="22"/>
      <c r="G142" s="22"/>
      <c r="O142" s="22"/>
    </row>
    <row r="143">
      <c r="A143" s="22"/>
      <c r="C143" s="22"/>
      <c r="D143" s="22"/>
      <c r="F143" s="22"/>
      <c r="G143" s="22"/>
      <c r="O143" s="22"/>
    </row>
    <row r="144">
      <c r="A144" s="22"/>
      <c r="C144" s="22"/>
      <c r="D144" s="22"/>
      <c r="F144" s="22"/>
      <c r="G144" s="22"/>
      <c r="O144" s="22"/>
    </row>
    <row r="145">
      <c r="A145" s="22"/>
      <c r="C145" s="22"/>
      <c r="D145" s="22"/>
      <c r="F145" s="22"/>
      <c r="G145" s="22"/>
      <c r="O145" s="22"/>
    </row>
    <row r="146">
      <c r="A146" s="22"/>
      <c r="C146" s="22"/>
      <c r="D146" s="22"/>
      <c r="F146" s="22"/>
      <c r="G146" s="22"/>
      <c r="O146" s="22"/>
    </row>
    <row r="147">
      <c r="A147" s="22"/>
      <c r="C147" s="22"/>
      <c r="D147" s="22"/>
      <c r="F147" s="22"/>
      <c r="G147" s="22"/>
      <c r="O147" s="22"/>
    </row>
    <row r="148">
      <c r="A148" s="22"/>
      <c r="C148" s="22"/>
      <c r="D148" s="22"/>
      <c r="F148" s="22"/>
      <c r="G148" s="22"/>
      <c r="O148" s="22"/>
    </row>
    <row r="149">
      <c r="A149" s="22"/>
      <c r="C149" s="22"/>
      <c r="D149" s="22"/>
      <c r="F149" s="22"/>
      <c r="G149" s="22"/>
      <c r="O149" s="22"/>
    </row>
    <row r="150">
      <c r="A150" s="22"/>
      <c r="C150" s="22"/>
      <c r="D150" s="22"/>
      <c r="F150" s="22"/>
      <c r="G150" s="22"/>
      <c r="O150" s="22"/>
    </row>
    <row r="151">
      <c r="A151" s="22"/>
      <c r="C151" s="22"/>
      <c r="D151" s="22"/>
      <c r="F151" s="22"/>
      <c r="G151" s="22"/>
      <c r="O151" s="22"/>
    </row>
    <row r="152">
      <c r="A152" s="22"/>
      <c r="C152" s="22"/>
      <c r="D152" s="22"/>
      <c r="F152" s="22"/>
      <c r="G152" s="22"/>
      <c r="O152" s="22"/>
    </row>
    <row r="153">
      <c r="A153" s="22"/>
      <c r="C153" s="22"/>
      <c r="D153" s="22"/>
      <c r="F153" s="22"/>
      <c r="G153" s="22"/>
      <c r="O153" s="22"/>
    </row>
    <row r="154">
      <c r="A154" s="22"/>
      <c r="C154" s="22"/>
      <c r="D154" s="22"/>
      <c r="F154" s="22"/>
      <c r="G154" s="22"/>
      <c r="O154" s="22"/>
    </row>
    <row r="155">
      <c r="A155" s="22"/>
      <c r="C155" s="22"/>
      <c r="D155" s="22"/>
      <c r="F155" s="22"/>
      <c r="G155" s="22"/>
      <c r="O155" s="22"/>
    </row>
    <row r="156">
      <c r="A156" s="22"/>
      <c r="C156" s="22"/>
      <c r="D156" s="22"/>
      <c r="F156" s="22"/>
      <c r="G156" s="22"/>
      <c r="O156" s="22"/>
    </row>
    <row r="157">
      <c r="A157" s="22"/>
      <c r="C157" s="22"/>
      <c r="D157" s="22"/>
      <c r="F157" s="22"/>
      <c r="G157" s="22"/>
      <c r="O157" s="22"/>
    </row>
    <row r="158">
      <c r="A158" s="22"/>
      <c r="C158" s="22"/>
      <c r="D158" s="22"/>
      <c r="F158" s="22"/>
      <c r="G158" s="22"/>
      <c r="O158" s="22"/>
    </row>
    <row r="159">
      <c r="A159" s="22"/>
      <c r="C159" s="22"/>
      <c r="D159" s="22"/>
      <c r="F159" s="22"/>
      <c r="G159" s="22"/>
      <c r="O159" s="22"/>
    </row>
    <row r="160">
      <c r="A160" s="22"/>
      <c r="C160" s="22"/>
      <c r="D160" s="22"/>
      <c r="F160" s="22"/>
      <c r="G160" s="22"/>
      <c r="O160" s="22"/>
    </row>
    <row r="161">
      <c r="A161" s="22"/>
      <c r="C161" s="22"/>
      <c r="D161" s="22"/>
      <c r="F161" s="22"/>
      <c r="G161" s="22"/>
      <c r="O161" s="22"/>
    </row>
    <row r="162">
      <c r="A162" s="22"/>
      <c r="C162" s="22"/>
      <c r="D162" s="22"/>
      <c r="F162" s="22"/>
      <c r="G162" s="22"/>
      <c r="O162" s="22"/>
    </row>
    <row r="163">
      <c r="A163" s="22"/>
      <c r="C163" s="22"/>
      <c r="D163" s="22"/>
      <c r="F163" s="22"/>
      <c r="G163" s="22"/>
      <c r="O163" s="22"/>
    </row>
    <row r="164">
      <c r="A164" s="22"/>
      <c r="C164" s="22"/>
      <c r="D164" s="22"/>
      <c r="F164" s="22"/>
      <c r="G164" s="22"/>
      <c r="O164" s="22"/>
    </row>
    <row r="165">
      <c r="A165" s="22"/>
      <c r="C165" s="22"/>
      <c r="D165" s="22"/>
      <c r="F165" s="22"/>
      <c r="G165" s="22"/>
      <c r="O165" s="22"/>
    </row>
    <row r="166">
      <c r="A166" s="22"/>
      <c r="C166" s="22"/>
      <c r="D166" s="22"/>
      <c r="F166" s="22"/>
      <c r="G166" s="22"/>
      <c r="O166" s="22"/>
    </row>
    <row r="167">
      <c r="A167" s="22"/>
      <c r="C167" s="22"/>
      <c r="D167" s="22"/>
      <c r="F167" s="22"/>
      <c r="G167" s="22"/>
      <c r="O167" s="22"/>
    </row>
    <row r="168">
      <c r="A168" s="22"/>
      <c r="C168" s="22"/>
      <c r="D168" s="22"/>
      <c r="F168" s="22"/>
      <c r="G168" s="22"/>
      <c r="O168" s="22"/>
    </row>
    <row r="169">
      <c r="A169" s="22"/>
      <c r="C169" s="22"/>
      <c r="D169" s="22"/>
      <c r="F169" s="22"/>
      <c r="G169" s="22"/>
      <c r="O169" s="22"/>
    </row>
    <row r="170">
      <c r="A170" s="22"/>
      <c r="C170" s="22"/>
      <c r="D170" s="22"/>
      <c r="F170" s="22"/>
      <c r="G170" s="22"/>
      <c r="O170" s="22"/>
    </row>
    <row r="171">
      <c r="A171" s="22"/>
      <c r="C171" s="22"/>
      <c r="D171" s="22"/>
      <c r="F171" s="22"/>
      <c r="G171" s="22"/>
      <c r="O171" s="22"/>
    </row>
    <row r="172">
      <c r="A172" s="22"/>
      <c r="C172" s="22"/>
      <c r="D172" s="22"/>
      <c r="F172" s="22"/>
      <c r="G172" s="22"/>
      <c r="O172" s="22"/>
    </row>
    <row r="173">
      <c r="A173" s="22"/>
      <c r="C173" s="22"/>
      <c r="D173" s="22"/>
      <c r="F173" s="22"/>
      <c r="G173" s="22"/>
      <c r="O173" s="22"/>
    </row>
    <row r="174">
      <c r="A174" s="22"/>
      <c r="C174" s="22"/>
      <c r="D174" s="22"/>
      <c r="F174" s="22"/>
      <c r="G174" s="22"/>
      <c r="O174" s="22"/>
    </row>
    <row r="175">
      <c r="A175" s="22"/>
      <c r="C175" s="22"/>
      <c r="D175" s="22"/>
      <c r="F175" s="22"/>
      <c r="G175" s="22"/>
      <c r="O175" s="22"/>
    </row>
    <row r="176">
      <c r="A176" s="22"/>
      <c r="C176" s="22"/>
      <c r="D176" s="22"/>
      <c r="F176" s="22"/>
      <c r="G176" s="22"/>
      <c r="O176" s="22"/>
    </row>
    <row r="177">
      <c r="A177" s="22"/>
      <c r="C177" s="22"/>
      <c r="D177" s="22"/>
      <c r="F177" s="22"/>
      <c r="G177" s="22"/>
      <c r="O177" s="22"/>
    </row>
    <row r="178">
      <c r="A178" s="22"/>
      <c r="C178" s="22"/>
      <c r="D178" s="22"/>
      <c r="F178" s="22"/>
      <c r="G178" s="22"/>
      <c r="O178" s="22"/>
    </row>
    <row r="179">
      <c r="A179" s="22"/>
      <c r="C179" s="22"/>
      <c r="D179" s="22"/>
      <c r="F179" s="22"/>
      <c r="G179" s="22"/>
      <c r="O179" s="22"/>
    </row>
    <row r="180">
      <c r="A180" s="22"/>
      <c r="C180" s="22"/>
      <c r="D180" s="22"/>
      <c r="F180" s="22"/>
      <c r="G180" s="22"/>
      <c r="O180" s="22"/>
    </row>
    <row r="181">
      <c r="A181" s="22"/>
      <c r="C181" s="22"/>
      <c r="D181" s="22"/>
      <c r="F181" s="22"/>
      <c r="G181" s="22"/>
      <c r="O181" s="22"/>
    </row>
    <row r="182">
      <c r="A182" s="22"/>
      <c r="C182" s="22"/>
      <c r="D182" s="22"/>
      <c r="F182" s="22"/>
      <c r="G182" s="22"/>
      <c r="O182" s="22"/>
    </row>
    <row r="183">
      <c r="A183" s="22"/>
      <c r="C183" s="22"/>
      <c r="D183" s="22"/>
      <c r="F183" s="22"/>
      <c r="G183" s="22"/>
      <c r="O183" s="22"/>
    </row>
    <row r="184">
      <c r="A184" s="22"/>
      <c r="C184" s="22"/>
      <c r="D184" s="22"/>
      <c r="F184" s="22"/>
      <c r="G184" s="22"/>
      <c r="O184" s="22"/>
    </row>
    <row r="185">
      <c r="A185" s="22"/>
      <c r="C185" s="22"/>
      <c r="D185" s="22"/>
      <c r="F185" s="22"/>
      <c r="G185" s="22"/>
      <c r="O185" s="22"/>
    </row>
    <row r="186">
      <c r="A186" s="22"/>
      <c r="C186" s="22"/>
      <c r="D186" s="22"/>
      <c r="F186" s="22"/>
      <c r="G186" s="22"/>
      <c r="O186" s="22"/>
    </row>
    <row r="187">
      <c r="A187" s="22"/>
      <c r="C187" s="22"/>
      <c r="D187" s="22"/>
      <c r="F187" s="22"/>
      <c r="G187" s="22"/>
      <c r="O187" s="22"/>
    </row>
    <row r="188">
      <c r="A188" s="22"/>
      <c r="C188" s="22"/>
      <c r="D188" s="22"/>
      <c r="F188" s="22"/>
      <c r="G188" s="22"/>
      <c r="O188" s="22"/>
    </row>
    <row r="189">
      <c r="A189" s="22"/>
      <c r="C189" s="22"/>
      <c r="D189" s="22"/>
      <c r="F189" s="22"/>
      <c r="G189" s="22"/>
      <c r="O189" s="22"/>
    </row>
    <row r="190">
      <c r="A190" s="22"/>
      <c r="C190" s="22"/>
      <c r="D190" s="22"/>
      <c r="F190" s="22"/>
      <c r="G190" s="22"/>
      <c r="O190" s="22"/>
    </row>
    <row r="191">
      <c r="A191" s="22"/>
      <c r="C191" s="22"/>
      <c r="D191" s="22"/>
      <c r="F191" s="22"/>
      <c r="G191" s="22"/>
      <c r="O191" s="22"/>
    </row>
    <row r="192">
      <c r="A192" s="22"/>
      <c r="C192" s="22"/>
      <c r="D192" s="22"/>
      <c r="F192" s="22"/>
      <c r="G192" s="22"/>
      <c r="O192" s="22"/>
    </row>
    <row r="193">
      <c r="A193" s="22"/>
      <c r="C193" s="22"/>
      <c r="D193" s="22"/>
      <c r="F193" s="22"/>
      <c r="G193" s="22"/>
      <c r="O193" s="22"/>
    </row>
    <row r="194">
      <c r="A194" s="22"/>
      <c r="C194" s="22"/>
      <c r="D194" s="22"/>
      <c r="F194" s="22"/>
      <c r="G194" s="22"/>
      <c r="O194" s="22"/>
    </row>
    <row r="195">
      <c r="A195" s="22"/>
      <c r="C195" s="22"/>
      <c r="D195" s="22"/>
      <c r="F195" s="22"/>
      <c r="G195" s="22"/>
      <c r="O195" s="22"/>
    </row>
    <row r="196">
      <c r="A196" s="22"/>
      <c r="C196" s="22"/>
      <c r="D196" s="22"/>
      <c r="F196" s="22"/>
      <c r="G196" s="22"/>
      <c r="O196" s="22"/>
    </row>
    <row r="197">
      <c r="A197" s="22"/>
      <c r="C197" s="22"/>
      <c r="D197" s="22"/>
      <c r="F197" s="22"/>
      <c r="G197" s="22"/>
      <c r="O197" s="22"/>
    </row>
    <row r="198">
      <c r="A198" s="22"/>
      <c r="C198" s="22"/>
      <c r="D198" s="22"/>
      <c r="F198" s="22"/>
      <c r="G198" s="22"/>
      <c r="O198" s="22"/>
    </row>
    <row r="199">
      <c r="A199" s="22"/>
      <c r="C199" s="22"/>
      <c r="D199" s="22"/>
      <c r="F199" s="22"/>
      <c r="G199" s="22"/>
      <c r="O199" s="22"/>
    </row>
    <row r="200">
      <c r="A200" s="22"/>
      <c r="C200" s="22"/>
      <c r="D200" s="22"/>
      <c r="F200" s="22"/>
      <c r="G200" s="22"/>
      <c r="O200" s="22"/>
    </row>
    <row r="201">
      <c r="A201" s="22"/>
      <c r="C201" s="22"/>
      <c r="D201" s="22"/>
      <c r="F201" s="22"/>
      <c r="G201" s="22"/>
      <c r="O201" s="22"/>
    </row>
    <row r="202">
      <c r="A202" s="22"/>
      <c r="C202" s="22"/>
      <c r="D202" s="22"/>
      <c r="F202" s="22"/>
      <c r="G202" s="22"/>
      <c r="O202" s="22"/>
    </row>
    <row r="203">
      <c r="A203" s="22"/>
      <c r="C203" s="22"/>
      <c r="D203" s="22"/>
      <c r="F203" s="22"/>
      <c r="G203" s="22"/>
      <c r="O203" s="22"/>
    </row>
    <row r="204">
      <c r="A204" s="22"/>
      <c r="C204" s="22"/>
      <c r="D204" s="22"/>
      <c r="F204" s="22"/>
      <c r="G204" s="22"/>
      <c r="O204" s="22"/>
    </row>
    <row r="205">
      <c r="A205" s="22"/>
      <c r="C205" s="22"/>
      <c r="D205" s="22"/>
      <c r="F205" s="22"/>
      <c r="G205" s="22"/>
      <c r="O205" s="22"/>
    </row>
    <row r="206">
      <c r="A206" s="22"/>
      <c r="C206" s="22"/>
      <c r="D206" s="22"/>
      <c r="F206" s="22"/>
      <c r="G206" s="22"/>
      <c r="O206" s="22"/>
    </row>
    <row r="207">
      <c r="A207" s="22"/>
      <c r="C207" s="22"/>
      <c r="D207" s="22"/>
      <c r="F207" s="22"/>
      <c r="G207" s="22"/>
      <c r="O207" s="22"/>
    </row>
    <row r="208">
      <c r="A208" s="22"/>
      <c r="C208" s="22"/>
      <c r="D208" s="22"/>
      <c r="F208" s="22"/>
      <c r="G208" s="22"/>
      <c r="O208" s="22"/>
    </row>
    <row r="209">
      <c r="A209" s="22"/>
      <c r="C209" s="22"/>
      <c r="D209" s="22"/>
      <c r="F209" s="22"/>
      <c r="G209" s="22"/>
      <c r="O209" s="22"/>
    </row>
    <row r="210">
      <c r="A210" s="22"/>
      <c r="C210" s="22"/>
      <c r="D210" s="22"/>
      <c r="F210" s="22"/>
      <c r="G210" s="22"/>
      <c r="O210" s="22"/>
    </row>
    <row r="211">
      <c r="A211" s="22"/>
      <c r="C211" s="22"/>
      <c r="D211" s="22"/>
      <c r="F211" s="22"/>
      <c r="G211" s="22"/>
      <c r="O211" s="22"/>
    </row>
    <row r="212">
      <c r="A212" s="22"/>
      <c r="C212" s="22"/>
      <c r="D212" s="22"/>
      <c r="F212" s="22"/>
      <c r="G212" s="22"/>
      <c r="O212" s="22"/>
    </row>
    <row r="213">
      <c r="A213" s="22"/>
      <c r="C213" s="22"/>
      <c r="D213" s="22"/>
      <c r="F213" s="22"/>
      <c r="G213" s="22"/>
      <c r="O213" s="22"/>
    </row>
    <row r="214">
      <c r="A214" s="22"/>
      <c r="C214" s="22"/>
      <c r="D214" s="22"/>
      <c r="F214" s="22"/>
      <c r="G214" s="22"/>
      <c r="O214" s="22"/>
    </row>
    <row r="215">
      <c r="A215" s="22"/>
      <c r="C215" s="22"/>
      <c r="D215" s="22"/>
      <c r="F215" s="22"/>
      <c r="G215" s="22"/>
      <c r="O215" s="22"/>
    </row>
    <row r="216">
      <c r="A216" s="22"/>
      <c r="C216" s="22"/>
      <c r="D216" s="22"/>
      <c r="F216" s="22"/>
      <c r="G216" s="22"/>
      <c r="O216" s="22"/>
    </row>
    <row r="217">
      <c r="A217" s="22"/>
      <c r="C217" s="22"/>
      <c r="D217" s="22"/>
      <c r="F217" s="22"/>
      <c r="G217" s="22"/>
      <c r="O217" s="22"/>
    </row>
    <row r="218">
      <c r="A218" s="22"/>
      <c r="C218" s="22"/>
      <c r="D218" s="22"/>
      <c r="F218" s="22"/>
      <c r="G218" s="22"/>
      <c r="O218" s="22"/>
    </row>
    <row r="219">
      <c r="A219" s="22"/>
      <c r="C219" s="22"/>
      <c r="D219" s="22"/>
      <c r="F219" s="22"/>
      <c r="G219" s="22"/>
      <c r="O219" s="22"/>
    </row>
    <row r="220">
      <c r="A220" s="22"/>
      <c r="C220" s="22"/>
      <c r="D220" s="22"/>
      <c r="F220" s="22"/>
      <c r="G220" s="22"/>
      <c r="O220" s="22"/>
    </row>
    <row r="221">
      <c r="A221" s="22"/>
      <c r="C221" s="22"/>
      <c r="D221" s="22"/>
      <c r="F221" s="22"/>
      <c r="G221" s="22"/>
      <c r="O221" s="22"/>
    </row>
    <row r="222">
      <c r="A222" s="22"/>
      <c r="C222" s="22"/>
      <c r="D222" s="22"/>
      <c r="F222" s="22"/>
      <c r="G222" s="22"/>
      <c r="O222" s="22"/>
    </row>
    <row r="223">
      <c r="A223" s="22"/>
      <c r="C223" s="22"/>
      <c r="D223" s="22"/>
      <c r="F223" s="22"/>
      <c r="G223" s="22"/>
      <c r="O223" s="22"/>
    </row>
    <row r="224">
      <c r="A224" s="22"/>
      <c r="C224" s="22"/>
      <c r="D224" s="22"/>
      <c r="F224" s="22"/>
      <c r="G224" s="22"/>
      <c r="O224" s="22"/>
    </row>
    <row r="225">
      <c r="A225" s="22"/>
      <c r="C225" s="22"/>
      <c r="D225" s="22"/>
      <c r="F225" s="22"/>
      <c r="G225" s="22"/>
      <c r="O225" s="22"/>
    </row>
    <row r="226">
      <c r="A226" s="22"/>
      <c r="C226" s="22"/>
      <c r="D226" s="22"/>
      <c r="F226" s="22"/>
      <c r="G226" s="22"/>
      <c r="O226" s="22"/>
    </row>
    <row r="227">
      <c r="A227" s="22"/>
      <c r="C227" s="22"/>
      <c r="D227" s="22"/>
      <c r="F227" s="22"/>
      <c r="G227" s="22"/>
      <c r="O227" s="22"/>
    </row>
    <row r="228">
      <c r="A228" s="22"/>
      <c r="C228" s="22"/>
      <c r="D228" s="22"/>
      <c r="F228" s="22"/>
      <c r="G228" s="22"/>
      <c r="O228" s="22"/>
    </row>
    <row r="229">
      <c r="A229" s="22"/>
      <c r="C229" s="22"/>
      <c r="D229" s="22"/>
      <c r="F229" s="22"/>
      <c r="G229" s="22"/>
      <c r="O229" s="22"/>
    </row>
    <row r="230">
      <c r="A230" s="22"/>
      <c r="C230" s="22"/>
      <c r="D230" s="22"/>
      <c r="F230" s="22"/>
      <c r="G230" s="22"/>
      <c r="O230" s="22"/>
    </row>
    <row r="231">
      <c r="A231" s="22"/>
      <c r="C231" s="22"/>
      <c r="D231" s="22"/>
      <c r="F231" s="22"/>
      <c r="G231" s="22"/>
      <c r="O231" s="22"/>
    </row>
    <row r="232">
      <c r="A232" s="22"/>
      <c r="C232" s="22"/>
      <c r="D232" s="22"/>
      <c r="F232" s="22"/>
      <c r="G232" s="22"/>
      <c r="O232" s="22"/>
    </row>
    <row r="233">
      <c r="A233" s="22"/>
      <c r="C233" s="22"/>
      <c r="D233" s="22"/>
      <c r="F233" s="22"/>
      <c r="G233" s="22"/>
      <c r="O233" s="22"/>
    </row>
    <row r="234">
      <c r="A234" s="22"/>
      <c r="C234" s="22"/>
      <c r="D234" s="22"/>
      <c r="F234" s="22"/>
      <c r="G234" s="22"/>
      <c r="O234" s="22"/>
    </row>
    <row r="235">
      <c r="A235" s="22"/>
      <c r="C235" s="22"/>
      <c r="D235" s="22"/>
      <c r="F235" s="22"/>
      <c r="G235" s="22"/>
      <c r="O235" s="22"/>
    </row>
    <row r="236">
      <c r="A236" s="22"/>
      <c r="C236" s="22"/>
      <c r="D236" s="22"/>
      <c r="F236" s="22"/>
      <c r="G236" s="22"/>
      <c r="O236" s="22"/>
    </row>
    <row r="237">
      <c r="A237" s="22"/>
      <c r="C237" s="22"/>
      <c r="D237" s="22"/>
      <c r="F237" s="22"/>
      <c r="G237" s="22"/>
      <c r="O237" s="22"/>
    </row>
    <row r="238">
      <c r="A238" s="22"/>
      <c r="C238" s="22"/>
      <c r="D238" s="22"/>
      <c r="F238" s="22"/>
      <c r="G238" s="22"/>
      <c r="O238" s="22"/>
    </row>
    <row r="239">
      <c r="A239" s="22"/>
      <c r="C239" s="22"/>
      <c r="D239" s="22"/>
      <c r="F239" s="22"/>
      <c r="G239" s="22"/>
      <c r="O239" s="22"/>
    </row>
    <row r="240">
      <c r="A240" s="22"/>
      <c r="C240" s="22"/>
      <c r="D240" s="22"/>
      <c r="F240" s="22"/>
      <c r="G240" s="22"/>
      <c r="O240" s="22"/>
    </row>
    <row r="241">
      <c r="A241" s="22"/>
      <c r="C241" s="22"/>
      <c r="D241" s="22"/>
      <c r="F241" s="22"/>
      <c r="G241" s="22"/>
      <c r="O241" s="22"/>
    </row>
    <row r="242">
      <c r="A242" s="22"/>
      <c r="C242" s="22"/>
      <c r="D242" s="22"/>
      <c r="F242" s="22"/>
      <c r="G242" s="22"/>
      <c r="O242" s="22"/>
    </row>
    <row r="243">
      <c r="A243" s="22"/>
      <c r="C243" s="22"/>
      <c r="D243" s="22"/>
      <c r="F243" s="22"/>
      <c r="G243" s="22"/>
      <c r="O243" s="22"/>
    </row>
    <row r="244">
      <c r="A244" s="22"/>
      <c r="C244" s="22"/>
      <c r="D244" s="22"/>
      <c r="F244" s="22"/>
      <c r="G244" s="22"/>
      <c r="O244" s="22"/>
    </row>
    <row r="245">
      <c r="A245" s="22"/>
      <c r="C245" s="22"/>
      <c r="D245" s="22"/>
      <c r="F245" s="22"/>
      <c r="G245" s="22"/>
      <c r="O245" s="22"/>
    </row>
    <row r="246">
      <c r="A246" s="22"/>
      <c r="C246" s="22"/>
      <c r="D246" s="22"/>
      <c r="F246" s="22"/>
      <c r="G246" s="22"/>
      <c r="O246" s="22"/>
    </row>
    <row r="247">
      <c r="A247" s="22"/>
      <c r="C247" s="22"/>
      <c r="D247" s="22"/>
      <c r="F247" s="22"/>
      <c r="G247" s="22"/>
      <c r="O247" s="22"/>
    </row>
    <row r="248">
      <c r="A248" s="22"/>
      <c r="C248" s="22"/>
      <c r="D248" s="22"/>
      <c r="F248" s="22"/>
      <c r="G248" s="22"/>
      <c r="O248" s="22"/>
    </row>
    <row r="249">
      <c r="A249" s="22"/>
      <c r="C249" s="22"/>
      <c r="D249" s="22"/>
      <c r="F249" s="22"/>
      <c r="G249" s="22"/>
      <c r="O249" s="22"/>
    </row>
    <row r="250">
      <c r="A250" s="22"/>
      <c r="C250" s="22"/>
      <c r="D250" s="22"/>
      <c r="F250" s="22"/>
      <c r="G250" s="22"/>
      <c r="O250" s="22"/>
    </row>
    <row r="251">
      <c r="A251" s="22"/>
      <c r="C251" s="22"/>
      <c r="D251" s="22"/>
      <c r="F251" s="22"/>
      <c r="G251" s="22"/>
      <c r="O251" s="22"/>
    </row>
    <row r="252">
      <c r="A252" s="22"/>
      <c r="C252" s="22"/>
      <c r="D252" s="22"/>
      <c r="F252" s="22"/>
      <c r="G252" s="22"/>
      <c r="O252" s="22"/>
    </row>
    <row r="253">
      <c r="A253" s="22"/>
      <c r="C253" s="22"/>
      <c r="D253" s="22"/>
      <c r="F253" s="22"/>
      <c r="G253" s="22"/>
      <c r="O253" s="22"/>
    </row>
    <row r="254">
      <c r="A254" s="22"/>
      <c r="C254" s="22"/>
      <c r="D254" s="22"/>
      <c r="F254" s="22"/>
      <c r="G254" s="22"/>
      <c r="O254" s="22"/>
    </row>
    <row r="255">
      <c r="A255" s="22"/>
      <c r="C255" s="22"/>
      <c r="D255" s="22"/>
      <c r="F255" s="22"/>
      <c r="G255" s="22"/>
      <c r="O255" s="22"/>
    </row>
    <row r="256">
      <c r="A256" s="22"/>
      <c r="C256" s="22"/>
      <c r="D256" s="22"/>
      <c r="F256" s="22"/>
      <c r="G256" s="22"/>
      <c r="O256" s="22"/>
    </row>
    <row r="257">
      <c r="A257" s="22"/>
      <c r="C257" s="22"/>
      <c r="D257" s="22"/>
      <c r="F257" s="22"/>
      <c r="G257" s="22"/>
      <c r="O257" s="22"/>
    </row>
    <row r="258">
      <c r="A258" s="22"/>
      <c r="C258" s="22"/>
      <c r="D258" s="22"/>
      <c r="F258" s="22"/>
      <c r="G258" s="22"/>
      <c r="O258" s="22"/>
    </row>
    <row r="259">
      <c r="A259" s="22"/>
      <c r="C259" s="22"/>
      <c r="D259" s="22"/>
      <c r="F259" s="22"/>
      <c r="G259" s="22"/>
      <c r="O259" s="22"/>
    </row>
    <row r="260">
      <c r="A260" s="22"/>
      <c r="C260" s="22"/>
      <c r="D260" s="22"/>
      <c r="F260" s="22"/>
      <c r="G260" s="22"/>
      <c r="O260" s="22"/>
    </row>
    <row r="261">
      <c r="A261" s="22"/>
      <c r="C261" s="22"/>
      <c r="D261" s="22"/>
      <c r="F261" s="22"/>
      <c r="G261" s="22"/>
      <c r="O261" s="22"/>
    </row>
    <row r="262">
      <c r="A262" s="22"/>
      <c r="C262" s="22"/>
      <c r="D262" s="22"/>
      <c r="F262" s="22"/>
      <c r="G262" s="22"/>
      <c r="O262" s="22"/>
    </row>
    <row r="263">
      <c r="A263" s="22"/>
      <c r="C263" s="22"/>
      <c r="D263" s="22"/>
      <c r="F263" s="22"/>
      <c r="G263" s="22"/>
      <c r="O263" s="22"/>
    </row>
    <row r="264">
      <c r="A264" s="22"/>
      <c r="C264" s="22"/>
      <c r="D264" s="22"/>
      <c r="F264" s="22"/>
      <c r="G264" s="22"/>
      <c r="O264" s="22"/>
    </row>
    <row r="265">
      <c r="A265" s="22"/>
      <c r="C265" s="22"/>
      <c r="D265" s="22"/>
      <c r="F265" s="22"/>
      <c r="G265" s="22"/>
      <c r="O265" s="22"/>
    </row>
    <row r="266">
      <c r="A266" s="22"/>
      <c r="C266" s="22"/>
      <c r="D266" s="22"/>
      <c r="F266" s="22"/>
      <c r="G266" s="22"/>
      <c r="O266" s="22"/>
    </row>
    <row r="267">
      <c r="A267" s="22"/>
      <c r="C267" s="22"/>
      <c r="D267" s="22"/>
      <c r="F267" s="22"/>
      <c r="G267" s="22"/>
      <c r="O267" s="22"/>
    </row>
    <row r="268">
      <c r="A268" s="22"/>
      <c r="C268" s="22"/>
      <c r="D268" s="22"/>
      <c r="F268" s="22"/>
      <c r="G268" s="22"/>
      <c r="O268" s="22"/>
    </row>
    <row r="269">
      <c r="A269" s="22"/>
      <c r="C269" s="22"/>
      <c r="D269" s="22"/>
      <c r="F269" s="22"/>
      <c r="G269" s="22"/>
      <c r="O269" s="22"/>
    </row>
    <row r="270">
      <c r="A270" s="22"/>
      <c r="C270" s="22"/>
      <c r="D270" s="22"/>
      <c r="F270" s="22"/>
      <c r="G270" s="22"/>
      <c r="O270" s="22"/>
    </row>
    <row r="271">
      <c r="A271" s="22"/>
      <c r="C271" s="22"/>
      <c r="D271" s="22"/>
      <c r="F271" s="22"/>
      <c r="G271" s="22"/>
      <c r="O271" s="22"/>
    </row>
    <row r="272">
      <c r="A272" s="22"/>
      <c r="C272" s="22"/>
      <c r="D272" s="22"/>
      <c r="F272" s="22"/>
      <c r="G272" s="22"/>
      <c r="O272" s="22"/>
    </row>
    <row r="273">
      <c r="A273" s="22"/>
      <c r="C273" s="22"/>
      <c r="D273" s="22"/>
      <c r="F273" s="22"/>
      <c r="G273" s="22"/>
      <c r="O273" s="22"/>
    </row>
    <row r="274">
      <c r="A274" s="22"/>
      <c r="C274" s="22"/>
      <c r="D274" s="22"/>
      <c r="F274" s="22"/>
      <c r="G274" s="22"/>
      <c r="O274" s="22"/>
    </row>
    <row r="275">
      <c r="A275" s="22"/>
      <c r="C275" s="22"/>
      <c r="D275" s="22"/>
      <c r="F275" s="22"/>
      <c r="G275" s="22"/>
      <c r="O275" s="22"/>
    </row>
    <row r="276">
      <c r="A276" s="22"/>
      <c r="C276" s="22"/>
      <c r="D276" s="22"/>
      <c r="F276" s="22"/>
      <c r="G276" s="22"/>
      <c r="O276" s="22"/>
    </row>
    <row r="277">
      <c r="A277" s="22"/>
      <c r="C277" s="22"/>
      <c r="D277" s="22"/>
      <c r="F277" s="22"/>
      <c r="G277" s="22"/>
      <c r="O277" s="22"/>
    </row>
    <row r="278">
      <c r="A278" s="22"/>
      <c r="C278" s="22"/>
      <c r="D278" s="22"/>
      <c r="F278" s="22"/>
      <c r="G278" s="22"/>
      <c r="O278" s="22"/>
    </row>
    <row r="279">
      <c r="A279" s="22"/>
      <c r="C279" s="22"/>
      <c r="D279" s="22"/>
      <c r="F279" s="22"/>
      <c r="G279" s="22"/>
      <c r="O279" s="22"/>
    </row>
    <row r="280">
      <c r="A280" s="22"/>
      <c r="C280" s="22"/>
      <c r="D280" s="22"/>
      <c r="F280" s="22"/>
      <c r="G280" s="22"/>
      <c r="O280" s="22"/>
    </row>
    <row r="281">
      <c r="A281" s="22"/>
      <c r="C281" s="22"/>
      <c r="D281" s="22"/>
      <c r="F281" s="22"/>
      <c r="G281" s="22"/>
      <c r="O281" s="22"/>
    </row>
    <row r="282">
      <c r="A282" s="22"/>
      <c r="C282" s="22"/>
      <c r="D282" s="22"/>
      <c r="F282" s="22"/>
      <c r="G282" s="22"/>
      <c r="O282" s="22"/>
    </row>
    <row r="283">
      <c r="A283" s="22"/>
      <c r="C283" s="22"/>
      <c r="D283" s="22"/>
      <c r="F283" s="22"/>
      <c r="G283" s="22"/>
      <c r="O283" s="22"/>
    </row>
    <row r="284">
      <c r="A284" s="22"/>
      <c r="C284" s="22"/>
      <c r="D284" s="22"/>
      <c r="F284" s="22"/>
      <c r="G284" s="22"/>
      <c r="O284" s="22"/>
    </row>
    <row r="285">
      <c r="A285" s="22"/>
      <c r="C285" s="22"/>
      <c r="D285" s="22"/>
      <c r="F285" s="22"/>
      <c r="G285" s="22"/>
      <c r="O285" s="22"/>
    </row>
    <row r="286">
      <c r="A286" s="22"/>
      <c r="C286" s="22"/>
      <c r="D286" s="22"/>
      <c r="F286" s="22"/>
      <c r="G286" s="22"/>
      <c r="O286" s="22"/>
    </row>
    <row r="287">
      <c r="A287" s="22"/>
      <c r="C287" s="22"/>
      <c r="D287" s="22"/>
      <c r="F287" s="22"/>
      <c r="G287" s="22"/>
      <c r="O287" s="22"/>
    </row>
    <row r="288">
      <c r="A288" s="22"/>
      <c r="C288" s="22"/>
      <c r="D288" s="22"/>
      <c r="F288" s="22"/>
      <c r="G288" s="22"/>
      <c r="O288" s="22"/>
    </row>
    <row r="289">
      <c r="A289" s="22"/>
      <c r="C289" s="22"/>
      <c r="D289" s="22"/>
      <c r="F289" s="22"/>
      <c r="G289" s="22"/>
      <c r="O289" s="22"/>
    </row>
    <row r="290">
      <c r="A290" s="22"/>
      <c r="C290" s="22"/>
      <c r="D290" s="22"/>
      <c r="F290" s="22"/>
      <c r="G290" s="22"/>
      <c r="O290" s="22"/>
    </row>
    <row r="291">
      <c r="A291" s="22"/>
      <c r="C291" s="22"/>
      <c r="D291" s="22"/>
      <c r="F291" s="22"/>
      <c r="G291" s="22"/>
      <c r="O291" s="22"/>
    </row>
    <row r="292">
      <c r="A292" s="22"/>
      <c r="C292" s="22"/>
      <c r="D292" s="22"/>
      <c r="F292" s="22"/>
      <c r="G292" s="22"/>
      <c r="O292" s="22"/>
    </row>
    <row r="293">
      <c r="A293" s="22"/>
      <c r="C293" s="22"/>
      <c r="D293" s="22"/>
      <c r="F293" s="22"/>
      <c r="G293" s="22"/>
      <c r="O293" s="22"/>
    </row>
    <row r="294">
      <c r="A294" s="22"/>
      <c r="C294" s="22"/>
      <c r="D294" s="22"/>
      <c r="F294" s="22"/>
      <c r="G294" s="22"/>
      <c r="O294" s="22"/>
    </row>
    <row r="295">
      <c r="A295" s="22"/>
      <c r="C295" s="22"/>
      <c r="D295" s="22"/>
      <c r="F295" s="22"/>
      <c r="G295" s="22"/>
      <c r="O295" s="22"/>
    </row>
    <row r="296">
      <c r="A296" s="22"/>
      <c r="C296" s="22"/>
      <c r="D296" s="22"/>
      <c r="F296" s="22"/>
      <c r="G296" s="22"/>
      <c r="O296" s="22"/>
    </row>
    <row r="297">
      <c r="A297" s="22"/>
      <c r="C297" s="22"/>
      <c r="D297" s="22"/>
      <c r="F297" s="22"/>
      <c r="G297" s="22"/>
      <c r="O297" s="22"/>
    </row>
    <row r="298">
      <c r="A298" s="22"/>
      <c r="C298" s="22"/>
      <c r="D298" s="22"/>
      <c r="F298" s="22"/>
      <c r="G298" s="22"/>
      <c r="O298" s="22"/>
    </row>
    <row r="299">
      <c r="A299" s="22"/>
      <c r="C299" s="22"/>
      <c r="D299" s="22"/>
      <c r="F299" s="22"/>
      <c r="G299" s="22"/>
      <c r="O299" s="22"/>
    </row>
    <row r="300">
      <c r="A300" s="22"/>
      <c r="C300" s="22"/>
      <c r="D300" s="22"/>
      <c r="F300" s="22"/>
      <c r="G300" s="22"/>
      <c r="O300" s="22"/>
    </row>
    <row r="301">
      <c r="A301" s="22"/>
      <c r="C301" s="22"/>
      <c r="D301" s="22"/>
      <c r="F301" s="22"/>
      <c r="G301" s="22"/>
      <c r="O301" s="22"/>
    </row>
    <row r="302">
      <c r="A302" s="22"/>
      <c r="C302" s="22"/>
      <c r="D302" s="22"/>
      <c r="F302" s="22"/>
      <c r="G302" s="22"/>
      <c r="O302" s="22"/>
    </row>
    <row r="303">
      <c r="A303" s="22"/>
      <c r="C303" s="22"/>
      <c r="D303" s="22"/>
      <c r="F303" s="22"/>
      <c r="G303" s="22"/>
      <c r="O303" s="22"/>
    </row>
    <row r="304">
      <c r="A304" s="22"/>
      <c r="C304" s="22"/>
      <c r="D304" s="22"/>
      <c r="F304" s="22"/>
      <c r="G304" s="22"/>
      <c r="O304" s="22"/>
    </row>
    <row r="305">
      <c r="A305" s="22"/>
      <c r="C305" s="22"/>
      <c r="D305" s="22"/>
      <c r="F305" s="22"/>
      <c r="G305" s="22"/>
      <c r="O305" s="22"/>
    </row>
    <row r="306">
      <c r="A306" s="22"/>
      <c r="C306" s="22"/>
      <c r="D306" s="22"/>
      <c r="F306" s="22"/>
      <c r="G306" s="22"/>
      <c r="O306" s="22"/>
    </row>
    <row r="307">
      <c r="A307" s="22"/>
      <c r="C307" s="22"/>
      <c r="D307" s="22"/>
      <c r="F307" s="22"/>
      <c r="G307" s="22"/>
      <c r="O307" s="22"/>
    </row>
    <row r="308">
      <c r="A308" s="22"/>
      <c r="C308" s="22"/>
      <c r="D308" s="22"/>
      <c r="F308" s="22"/>
      <c r="G308" s="22"/>
      <c r="O308" s="22"/>
    </row>
    <row r="309">
      <c r="A309" s="22"/>
      <c r="C309" s="22"/>
      <c r="D309" s="22"/>
      <c r="F309" s="22"/>
      <c r="G309" s="22"/>
      <c r="O309" s="22"/>
    </row>
    <row r="310">
      <c r="A310" s="22"/>
      <c r="C310" s="22"/>
      <c r="D310" s="22"/>
      <c r="F310" s="22"/>
      <c r="G310" s="22"/>
      <c r="O310" s="22"/>
    </row>
    <row r="311">
      <c r="A311" s="22"/>
      <c r="C311" s="22"/>
      <c r="D311" s="22"/>
      <c r="F311" s="22"/>
      <c r="G311" s="22"/>
      <c r="O311" s="22"/>
    </row>
    <row r="312">
      <c r="A312" s="22"/>
      <c r="C312" s="22"/>
      <c r="D312" s="22"/>
      <c r="F312" s="22"/>
      <c r="G312" s="22"/>
      <c r="O312" s="22"/>
    </row>
    <row r="313">
      <c r="A313" s="22"/>
      <c r="C313" s="22"/>
      <c r="D313" s="22"/>
      <c r="F313" s="22"/>
      <c r="G313" s="22"/>
      <c r="O313" s="22"/>
    </row>
    <row r="314">
      <c r="A314" s="22"/>
      <c r="C314" s="22"/>
      <c r="D314" s="22"/>
      <c r="F314" s="22"/>
      <c r="G314" s="22"/>
      <c r="O314" s="22"/>
    </row>
    <row r="315">
      <c r="A315" s="22"/>
      <c r="C315" s="22"/>
      <c r="D315" s="22"/>
      <c r="F315" s="22"/>
      <c r="G315" s="22"/>
      <c r="O315" s="22"/>
    </row>
    <row r="316">
      <c r="A316" s="22"/>
      <c r="C316" s="22"/>
      <c r="D316" s="22"/>
      <c r="F316" s="22"/>
      <c r="G316" s="22"/>
      <c r="O316" s="22"/>
    </row>
    <row r="317">
      <c r="A317" s="22"/>
      <c r="C317" s="22"/>
      <c r="D317" s="22"/>
      <c r="F317" s="22"/>
      <c r="G317" s="22"/>
      <c r="O317" s="22"/>
    </row>
    <row r="318">
      <c r="A318" s="22"/>
      <c r="C318" s="22"/>
      <c r="D318" s="22"/>
      <c r="F318" s="22"/>
      <c r="G318" s="22"/>
      <c r="O318" s="22"/>
    </row>
    <row r="319">
      <c r="A319" s="22"/>
      <c r="C319" s="22"/>
      <c r="D319" s="22"/>
      <c r="F319" s="22"/>
      <c r="G319" s="22"/>
      <c r="O319" s="22"/>
    </row>
    <row r="320">
      <c r="A320" s="22"/>
      <c r="C320" s="22"/>
      <c r="D320" s="22"/>
      <c r="F320" s="22"/>
      <c r="G320" s="22"/>
      <c r="O320" s="22"/>
    </row>
    <row r="321">
      <c r="A321" s="22"/>
      <c r="C321" s="22"/>
      <c r="D321" s="22"/>
      <c r="F321" s="22"/>
      <c r="G321" s="22"/>
      <c r="O321" s="22"/>
    </row>
    <row r="322">
      <c r="A322" s="22"/>
      <c r="C322" s="22"/>
      <c r="D322" s="22"/>
      <c r="F322" s="22"/>
      <c r="G322" s="22"/>
      <c r="O322" s="22"/>
    </row>
    <row r="323">
      <c r="A323" s="22"/>
      <c r="C323" s="22"/>
      <c r="D323" s="22"/>
      <c r="F323" s="22"/>
      <c r="G323" s="22"/>
      <c r="O323" s="22"/>
    </row>
    <row r="324">
      <c r="A324" s="22"/>
      <c r="C324" s="22"/>
      <c r="D324" s="22"/>
      <c r="F324" s="22"/>
      <c r="G324" s="22"/>
      <c r="O324" s="22"/>
    </row>
    <row r="325">
      <c r="A325" s="22"/>
      <c r="C325" s="22"/>
      <c r="D325" s="22"/>
      <c r="F325" s="22"/>
      <c r="G325" s="22"/>
      <c r="O325" s="22"/>
    </row>
    <row r="326">
      <c r="A326" s="22"/>
      <c r="C326" s="22"/>
      <c r="D326" s="22"/>
      <c r="F326" s="22"/>
      <c r="G326" s="22"/>
      <c r="O326" s="22"/>
    </row>
    <row r="327">
      <c r="A327" s="22"/>
      <c r="C327" s="22"/>
      <c r="D327" s="22"/>
      <c r="F327" s="22"/>
      <c r="G327" s="22"/>
      <c r="O327" s="22"/>
    </row>
    <row r="328">
      <c r="A328" s="22"/>
      <c r="C328" s="22"/>
      <c r="D328" s="22"/>
      <c r="F328" s="22"/>
      <c r="G328" s="22"/>
      <c r="O328" s="22"/>
    </row>
    <row r="329">
      <c r="A329" s="22"/>
      <c r="C329" s="22"/>
      <c r="D329" s="22"/>
      <c r="F329" s="22"/>
      <c r="G329" s="22"/>
      <c r="O329" s="22"/>
    </row>
    <row r="330">
      <c r="A330" s="22"/>
      <c r="C330" s="22"/>
      <c r="D330" s="22"/>
      <c r="F330" s="22"/>
      <c r="G330" s="22"/>
      <c r="O330" s="22"/>
    </row>
    <row r="331">
      <c r="A331" s="22"/>
      <c r="C331" s="22"/>
      <c r="D331" s="22"/>
      <c r="F331" s="22"/>
      <c r="G331" s="22"/>
      <c r="O331" s="22"/>
    </row>
    <row r="332">
      <c r="A332" s="22"/>
      <c r="C332" s="22"/>
      <c r="D332" s="22"/>
      <c r="F332" s="22"/>
      <c r="G332" s="22"/>
      <c r="O332" s="22"/>
    </row>
    <row r="333">
      <c r="A333" s="22"/>
      <c r="C333" s="22"/>
      <c r="D333" s="22"/>
      <c r="F333" s="22"/>
      <c r="G333" s="22"/>
      <c r="O333" s="22"/>
    </row>
    <row r="334">
      <c r="A334" s="22"/>
      <c r="C334" s="22"/>
      <c r="D334" s="22"/>
      <c r="F334" s="22"/>
      <c r="G334" s="22"/>
      <c r="O334" s="22"/>
    </row>
    <row r="335">
      <c r="A335" s="22"/>
      <c r="C335" s="22"/>
      <c r="D335" s="22"/>
      <c r="F335" s="22"/>
      <c r="G335" s="22"/>
      <c r="O335" s="22"/>
    </row>
    <row r="336">
      <c r="A336" s="22"/>
      <c r="C336" s="22"/>
      <c r="D336" s="22"/>
      <c r="F336" s="22"/>
      <c r="G336" s="22"/>
      <c r="O336" s="22"/>
    </row>
    <row r="337">
      <c r="A337" s="22"/>
      <c r="C337" s="22"/>
      <c r="D337" s="22"/>
      <c r="F337" s="22"/>
      <c r="G337" s="22"/>
      <c r="O337" s="22"/>
    </row>
    <row r="338">
      <c r="A338" s="22"/>
      <c r="C338" s="22"/>
      <c r="D338" s="22"/>
      <c r="F338" s="22"/>
      <c r="G338" s="22"/>
      <c r="O338" s="22"/>
    </row>
    <row r="339">
      <c r="A339" s="22"/>
      <c r="C339" s="22"/>
      <c r="D339" s="22"/>
      <c r="F339" s="22"/>
      <c r="G339" s="22"/>
      <c r="O339" s="22"/>
    </row>
    <row r="340">
      <c r="A340" s="22"/>
      <c r="C340" s="22"/>
      <c r="D340" s="22"/>
      <c r="F340" s="22"/>
      <c r="G340" s="22"/>
      <c r="O340" s="22"/>
    </row>
    <row r="341">
      <c r="A341" s="22"/>
      <c r="C341" s="22"/>
      <c r="D341" s="22"/>
      <c r="F341" s="22"/>
      <c r="G341" s="22"/>
      <c r="O341" s="22"/>
    </row>
    <row r="342">
      <c r="A342" s="22"/>
      <c r="C342" s="22"/>
      <c r="D342" s="22"/>
      <c r="F342" s="22"/>
      <c r="G342" s="22"/>
      <c r="O342" s="22"/>
    </row>
    <row r="343">
      <c r="A343" s="22"/>
      <c r="C343" s="22"/>
      <c r="D343" s="22"/>
      <c r="F343" s="22"/>
      <c r="G343" s="22"/>
      <c r="O343" s="22"/>
    </row>
    <row r="344">
      <c r="A344" s="22"/>
      <c r="C344" s="22"/>
      <c r="D344" s="22"/>
      <c r="F344" s="22"/>
      <c r="G344" s="22"/>
      <c r="O344" s="22"/>
    </row>
    <row r="345">
      <c r="A345" s="22"/>
      <c r="C345" s="22"/>
      <c r="D345" s="22"/>
      <c r="F345" s="22"/>
      <c r="G345" s="22"/>
      <c r="O345" s="22"/>
    </row>
    <row r="346">
      <c r="A346" s="22"/>
      <c r="C346" s="22"/>
      <c r="D346" s="22"/>
      <c r="F346" s="22"/>
      <c r="G346" s="22"/>
      <c r="O346" s="22"/>
    </row>
    <row r="347">
      <c r="A347" s="22"/>
      <c r="C347" s="22"/>
      <c r="D347" s="22"/>
      <c r="F347" s="22"/>
      <c r="G347" s="22"/>
      <c r="O347" s="22"/>
    </row>
    <row r="348">
      <c r="A348" s="22"/>
      <c r="C348" s="22"/>
      <c r="D348" s="22"/>
      <c r="F348" s="22"/>
      <c r="G348" s="22"/>
      <c r="O348" s="22"/>
    </row>
    <row r="349">
      <c r="A349" s="22"/>
      <c r="C349" s="22"/>
      <c r="D349" s="22"/>
      <c r="F349" s="22"/>
      <c r="G349" s="22"/>
      <c r="O349" s="22"/>
    </row>
    <row r="350">
      <c r="A350" s="22"/>
      <c r="C350" s="22"/>
      <c r="D350" s="22"/>
      <c r="F350" s="22"/>
      <c r="G350" s="22"/>
      <c r="O350" s="22"/>
    </row>
    <row r="351">
      <c r="A351" s="22"/>
      <c r="C351" s="22"/>
      <c r="D351" s="22"/>
      <c r="F351" s="22"/>
      <c r="G351" s="22"/>
      <c r="O351" s="22"/>
    </row>
    <row r="352">
      <c r="A352" s="22"/>
      <c r="C352" s="22"/>
      <c r="D352" s="22"/>
      <c r="F352" s="22"/>
      <c r="G352" s="22"/>
      <c r="O352" s="22"/>
    </row>
    <row r="353">
      <c r="A353" s="22"/>
      <c r="C353" s="22"/>
      <c r="D353" s="22"/>
      <c r="F353" s="22"/>
      <c r="G353" s="22"/>
      <c r="O353" s="22"/>
    </row>
    <row r="354">
      <c r="A354" s="22"/>
      <c r="C354" s="22"/>
      <c r="D354" s="22"/>
      <c r="F354" s="22"/>
      <c r="G354" s="22"/>
      <c r="O354" s="22"/>
    </row>
    <row r="355">
      <c r="A355" s="22"/>
      <c r="C355" s="22"/>
      <c r="D355" s="22"/>
      <c r="F355" s="22"/>
      <c r="G355" s="22"/>
      <c r="O355" s="22"/>
    </row>
    <row r="356">
      <c r="A356" s="22"/>
      <c r="C356" s="22"/>
      <c r="D356" s="22"/>
      <c r="F356" s="22"/>
      <c r="G356" s="22"/>
      <c r="O356" s="22"/>
    </row>
    <row r="357">
      <c r="A357" s="22"/>
      <c r="C357" s="22"/>
      <c r="D357" s="22"/>
      <c r="F357" s="22"/>
      <c r="G357" s="22"/>
      <c r="O357" s="22"/>
    </row>
    <row r="358">
      <c r="A358" s="22"/>
      <c r="C358" s="22"/>
      <c r="D358" s="22"/>
      <c r="F358" s="22"/>
      <c r="G358" s="22"/>
      <c r="O358" s="22"/>
    </row>
    <row r="359">
      <c r="A359" s="22"/>
      <c r="C359" s="22"/>
      <c r="D359" s="22"/>
      <c r="F359" s="22"/>
      <c r="G359" s="22"/>
      <c r="O359" s="22"/>
    </row>
    <row r="360">
      <c r="A360" s="22"/>
      <c r="C360" s="22"/>
      <c r="D360" s="22"/>
      <c r="F360" s="22"/>
      <c r="G360" s="22"/>
      <c r="O360" s="22"/>
    </row>
    <row r="361">
      <c r="A361" s="22"/>
      <c r="C361" s="22"/>
      <c r="D361" s="22"/>
      <c r="F361" s="22"/>
      <c r="G361" s="22"/>
      <c r="O361" s="22"/>
    </row>
    <row r="362">
      <c r="A362" s="22"/>
      <c r="C362" s="22"/>
      <c r="D362" s="22"/>
      <c r="F362" s="22"/>
      <c r="G362" s="22"/>
      <c r="O362" s="22"/>
    </row>
    <row r="363">
      <c r="A363" s="22"/>
      <c r="C363" s="22"/>
      <c r="D363" s="22"/>
      <c r="F363" s="22"/>
      <c r="G363" s="22"/>
      <c r="O363" s="22"/>
    </row>
    <row r="364">
      <c r="A364" s="22"/>
      <c r="C364" s="22"/>
      <c r="D364" s="22"/>
      <c r="F364" s="22"/>
      <c r="G364" s="22"/>
      <c r="O364" s="22"/>
    </row>
    <row r="365">
      <c r="A365" s="22"/>
      <c r="C365" s="22"/>
      <c r="D365" s="22"/>
      <c r="F365" s="22"/>
      <c r="G365" s="22"/>
      <c r="O365" s="22"/>
    </row>
    <row r="366">
      <c r="A366" s="22"/>
      <c r="C366" s="22"/>
      <c r="D366" s="22"/>
      <c r="F366" s="22"/>
      <c r="G366" s="22"/>
      <c r="O366" s="22"/>
    </row>
    <row r="367">
      <c r="A367" s="22"/>
      <c r="C367" s="22"/>
      <c r="D367" s="22"/>
      <c r="F367" s="22"/>
      <c r="G367" s="22"/>
      <c r="O367" s="22"/>
    </row>
    <row r="368">
      <c r="A368" s="22"/>
      <c r="C368" s="22"/>
      <c r="D368" s="22"/>
      <c r="F368" s="22"/>
      <c r="G368" s="22"/>
      <c r="O368" s="22"/>
    </row>
    <row r="369">
      <c r="A369" s="22"/>
      <c r="C369" s="22"/>
      <c r="D369" s="22"/>
      <c r="F369" s="22"/>
      <c r="G369" s="22"/>
      <c r="O369" s="22"/>
    </row>
    <row r="370">
      <c r="A370" s="22"/>
      <c r="C370" s="22"/>
      <c r="D370" s="22"/>
      <c r="F370" s="22"/>
      <c r="G370" s="22"/>
      <c r="O370" s="22"/>
    </row>
    <row r="371">
      <c r="A371" s="22"/>
      <c r="C371" s="22"/>
      <c r="D371" s="22"/>
      <c r="F371" s="22"/>
      <c r="G371" s="22"/>
      <c r="O371" s="22"/>
    </row>
    <row r="372">
      <c r="A372" s="22"/>
      <c r="C372" s="22"/>
      <c r="D372" s="22"/>
      <c r="F372" s="22"/>
      <c r="G372" s="22"/>
      <c r="O372" s="22"/>
    </row>
    <row r="373">
      <c r="A373" s="22"/>
      <c r="C373" s="22"/>
      <c r="D373" s="22"/>
      <c r="F373" s="22"/>
      <c r="G373" s="22"/>
      <c r="O373" s="22"/>
    </row>
    <row r="374">
      <c r="A374" s="22"/>
      <c r="C374" s="22"/>
      <c r="D374" s="22"/>
      <c r="F374" s="22"/>
      <c r="G374" s="22"/>
      <c r="O374" s="22"/>
    </row>
    <row r="375">
      <c r="A375" s="22"/>
      <c r="C375" s="22"/>
      <c r="D375" s="22"/>
      <c r="F375" s="22"/>
      <c r="G375" s="22"/>
      <c r="O375" s="22"/>
    </row>
    <row r="376">
      <c r="A376" s="22"/>
      <c r="C376" s="22"/>
      <c r="D376" s="22"/>
      <c r="F376" s="22"/>
      <c r="G376" s="22"/>
      <c r="O376" s="22"/>
    </row>
    <row r="377">
      <c r="A377" s="22"/>
      <c r="C377" s="22"/>
      <c r="D377" s="22"/>
      <c r="F377" s="22"/>
      <c r="G377" s="22"/>
      <c r="O377" s="22"/>
    </row>
    <row r="378">
      <c r="A378" s="22"/>
      <c r="C378" s="22"/>
      <c r="D378" s="22"/>
      <c r="F378" s="22"/>
      <c r="G378" s="22"/>
      <c r="O378" s="22"/>
    </row>
    <row r="379">
      <c r="A379" s="22"/>
      <c r="C379" s="22"/>
      <c r="D379" s="22"/>
      <c r="F379" s="22"/>
      <c r="G379" s="22"/>
      <c r="O379" s="22"/>
    </row>
    <row r="380">
      <c r="A380" s="22"/>
      <c r="C380" s="22"/>
      <c r="D380" s="22"/>
      <c r="F380" s="22"/>
      <c r="G380" s="22"/>
      <c r="O380" s="22"/>
    </row>
    <row r="381">
      <c r="A381" s="22"/>
      <c r="C381" s="22"/>
      <c r="D381" s="22"/>
      <c r="F381" s="22"/>
      <c r="G381" s="22"/>
      <c r="O381" s="22"/>
    </row>
    <row r="382">
      <c r="A382" s="22"/>
      <c r="C382" s="22"/>
      <c r="D382" s="22"/>
      <c r="F382" s="22"/>
      <c r="G382" s="22"/>
      <c r="O382" s="22"/>
    </row>
    <row r="383">
      <c r="A383" s="22"/>
      <c r="C383" s="22"/>
      <c r="D383" s="22"/>
      <c r="F383" s="22"/>
      <c r="G383" s="22"/>
      <c r="O383" s="22"/>
    </row>
    <row r="384">
      <c r="A384" s="22"/>
      <c r="C384" s="22"/>
      <c r="D384" s="22"/>
      <c r="F384" s="22"/>
      <c r="G384" s="22"/>
      <c r="O384" s="22"/>
    </row>
    <row r="385">
      <c r="A385" s="22"/>
      <c r="C385" s="22"/>
      <c r="D385" s="22"/>
      <c r="F385" s="22"/>
      <c r="G385" s="22"/>
      <c r="O385" s="22"/>
    </row>
    <row r="386">
      <c r="A386" s="22"/>
      <c r="C386" s="22"/>
      <c r="D386" s="22"/>
      <c r="F386" s="22"/>
      <c r="G386" s="22"/>
      <c r="O386" s="22"/>
    </row>
    <row r="387">
      <c r="A387" s="22"/>
      <c r="C387" s="22"/>
      <c r="D387" s="22"/>
      <c r="F387" s="22"/>
      <c r="G387" s="22"/>
      <c r="O387" s="22"/>
    </row>
    <row r="388">
      <c r="A388" s="22"/>
      <c r="C388" s="22"/>
      <c r="D388" s="22"/>
      <c r="F388" s="22"/>
      <c r="G388" s="22"/>
      <c r="O388" s="22"/>
    </row>
    <row r="389">
      <c r="A389" s="22"/>
      <c r="C389" s="22"/>
      <c r="D389" s="22"/>
      <c r="F389" s="22"/>
      <c r="G389" s="22"/>
      <c r="O389" s="22"/>
    </row>
    <row r="390">
      <c r="A390" s="22"/>
      <c r="C390" s="22"/>
      <c r="D390" s="22"/>
      <c r="F390" s="22"/>
      <c r="G390" s="22"/>
      <c r="O390" s="22"/>
    </row>
    <row r="391">
      <c r="A391" s="22"/>
      <c r="C391" s="22"/>
      <c r="D391" s="22"/>
      <c r="F391" s="22"/>
      <c r="G391" s="22"/>
      <c r="O391" s="22"/>
    </row>
    <row r="392">
      <c r="A392" s="22"/>
      <c r="C392" s="22"/>
      <c r="D392" s="22"/>
      <c r="F392" s="22"/>
      <c r="G392" s="22"/>
      <c r="O392" s="22"/>
    </row>
    <row r="393">
      <c r="A393" s="22"/>
      <c r="C393" s="22"/>
      <c r="D393" s="22"/>
      <c r="F393" s="22"/>
      <c r="G393" s="22"/>
      <c r="O393" s="22"/>
    </row>
    <row r="394">
      <c r="A394" s="22"/>
      <c r="C394" s="22"/>
      <c r="D394" s="22"/>
      <c r="F394" s="22"/>
      <c r="G394" s="22"/>
      <c r="O394" s="22"/>
    </row>
    <row r="395">
      <c r="A395" s="22"/>
      <c r="C395" s="22"/>
      <c r="D395" s="22"/>
      <c r="F395" s="22"/>
      <c r="G395" s="22"/>
      <c r="O395" s="22"/>
    </row>
    <row r="396">
      <c r="A396" s="22"/>
      <c r="C396" s="22"/>
      <c r="D396" s="22"/>
      <c r="F396" s="22"/>
      <c r="G396" s="22"/>
      <c r="O396" s="22"/>
    </row>
    <row r="397">
      <c r="A397" s="22"/>
      <c r="C397" s="22"/>
      <c r="D397" s="22"/>
      <c r="F397" s="22"/>
      <c r="G397" s="22"/>
      <c r="O397" s="22"/>
    </row>
    <row r="398">
      <c r="A398" s="22"/>
      <c r="C398" s="22"/>
      <c r="D398" s="22"/>
      <c r="F398" s="22"/>
      <c r="G398" s="22"/>
      <c r="O398" s="22"/>
    </row>
    <row r="399">
      <c r="A399" s="22"/>
      <c r="C399" s="22"/>
      <c r="D399" s="22"/>
      <c r="F399" s="22"/>
      <c r="G399" s="22"/>
      <c r="O399" s="22"/>
    </row>
    <row r="400">
      <c r="A400" s="22"/>
      <c r="C400" s="22"/>
      <c r="D400" s="22"/>
      <c r="F400" s="22"/>
      <c r="G400" s="22"/>
      <c r="O400" s="22"/>
    </row>
    <row r="401">
      <c r="A401" s="22"/>
      <c r="C401" s="22"/>
      <c r="D401" s="22"/>
      <c r="F401" s="22"/>
      <c r="G401" s="22"/>
      <c r="O401" s="22"/>
    </row>
    <row r="402">
      <c r="A402" s="22"/>
      <c r="C402" s="22"/>
      <c r="D402" s="22"/>
      <c r="F402" s="22"/>
      <c r="G402" s="22"/>
      <c r="O402" s="22"/>
    </row>
    <row r="403">
      <c r="A403" s="22"/>
      <c r="C403" s="22"/>
      <c r="D403" s="22"/>
      <c r="F403" s="22"/>
      <c r="G403" s="22"/>
      <c r="O403" s="22"/>
    </row>
    <row r="404">
      <c r="A404" s="22"/>
      <c r="C404" s="22"/>
      <c r="D404" s="22"/>
      <c r="F404" s="22"/>
      <c r="G404" s="22"/>
      <c r="O404" s="22"/>
    </row>
    <row r="405">
      <c r="A405" s="22"/>
      <c r="C405" s="22"/>
      <c r="D405" s="22"/>
      <c r="F405" s="22"/>
      <c r="G405" s="22"/>
      <c r="O405" s="22"/>
    </row>
    <row r="406">
      <c r="A406" s="22"/>
      <c r="C406" s="22"/>
      <c r="D406" s="22"/>
      <c r="F406" s="22"/>
      <c r="G406" s="22"/>
      <c r="O406" s="22"/>
    </row>
    <row r="407">
      <c r="A407" s="22"/>
      <c r="C407" s="22"/>
      <c r="D407" s="22"/>
      <c r="F407" s="22"/>
      <c r="G407" s="22"/>
      <c r="O407" s="22"/>
    </row>
    <row r="408">
      <c r="A408" s="22"/>
      <c r="C408" s="22"/>
      <c r="D408" s="22"/>
      <c r="F408" s="22"/>
      <c r="G408" s="22"/>
      <c r="O408" s="22"/>
    </row>
    <row r="409">
      <c r="A409" s="22"/>
      <c r="C409" s="22"/>
      <c r="D409" s="22"/>
      <c r="F409" s="22"/>
      <c r="G409" s="22"/>
      <c r="O409" s="22"/>
    </row>
    <row r="410">
      <c r="A410" s="22"/>
      <c r="C410" s="22"/>
      <c r="D410" s="22"/>
      <c r="F410" s="22"/>
      <c r="G410" s="22"/>
      <c r="O410" s="22"/>
    </row>
    <row r="411">
      <c r="A411" s="22"/>
      <c r="C411" s="22"/>
      <c r="D411" s="22"/>
      <c r="F411" s="22"/>
      <c r="G411" s="22"/>
      <c r="O411" s="22"/>
    </row>
    <row r="412">
      <c r="A412" s="22"/>
      <c r="C412" s="22"/>
      <c r="D412" s="22"/>
      <c r="F412" s="22"/>
      <c r="G412" s="22"/>
      <c r="O412" s="22"/>
    </row>
    <row r="413">
      <c r="A413" s="22"/>
      <c r="C413" s="22"/>
      <c r="D413" s="22"/>
      <c r="F413" s="22"/>
      <c r="G413" s="22"/>
      <c r="O413" s="22"/>
    </row>
    <row r="414">
      <c r="A414" s="22"/>
      <c r="C414" s="22"/>
      <c r="D414" s="22"/>
      <c r="F414" s="22"/>
      <c r="G414" s="22"/>
      <c r="O414" s="22"/>
    </row>
    <row r="415">
      <c r="A415" s="22"/>
      <c r="C415" s="22"/>
      <c r="D415" s="22"/>
      <c r="F415" s="22"/>
      <c r="G415" s="22"/>
      <c r="O415" s="22"/>
    </row>
    <row r="416">
      <c r="A416" s="22"/>
      <c r="C416" s="22"/>
      <c r="D416" s="22"/>
      <c r="F416" s="22"/>
      <c r="G416" s="22"/>
      <c r="O416" s="22"/>
    </row>
    <row r="417">
      <c r="A417" s="22"/>
      <c r="C417" s="22"/>
      <c r="D417" s="22"/>
      <c r="F417" s="22"/>
      <c r="G417" s="22"/>
      <c r="O417" s="22"/>
    </row>
    <row r="418">
      <c r="A418" s="22"/>
      <c r="C418" s="22"/>
      <c r="D418" s="22"/>
      <c r="F418" s="22"/>
      <c r="G418" s="22"/>
      <c r="O418" s="22"/>
    </row>
    <row r="419">
      <c r="A419" s="22"/>
      <c r="C419" s="22"/>
      <c r="D419" s="22"/>
      <c r="F419" s="22"/>
      <c r="G419" s="22"/>
      <c r="O419" s="22"/>
    </row>
    <row r="420">
      <c r="A420" s="22"/>
      <c r="C420" s="22"/>
      <c r="D420" s="22"/>
      <c r="F420" s="22"/>
      <c r="G420" s="22"/>
      <c r="O420" s="22"/>
    </row>
    <row r="421">
      <c r="A421" s="22"/>
      <c r="C421" s="22"/>
      <c r="D421" s="22"/>
      <c r="F421" s="22"/>
      <c r="G421" s="22"/>
      <c r="O421" s="22"/>
    </row>
    <row r="422">
      <c r="A422" s="22"/>
      <c r="C422" s="22"/>
      <c r="D422" s="22"/>
      <c r="F422" s="22"/>
      <c r="G422" s="22"/>
      <c r="O422" s="22"/>
    </row>
    <row r="423">
      <c r="A423" s="22"/>
      <c r="C423" s="22"/>
      <c r="D423" s="22"/>
      <c r="F423" s="22"/>
      <c r="G423" s="22"/>
      <c r="O423" s="22"/>
    </row>
    <row r="424">
      <c r="A424" s="22"/>
      <c r="C424" s="22"/>
      <c r="D424" s="22"/>
      <c r="F424" s="22"/>
      <c r="G424" s="22"/>
      <c r="O424" s="22"/>
    </row>
    <row r="425">
      <c r="A425" s="22"/>
      <c r="C425" s="22"/>
      <c r="D425" s="22"/>
      <c r="F425" s="22"/>
      <c r="G425" s="22"/>
      <c r="O425" s="22"/>
    </row>
    <row r="426">
      <c r="A426" s="22"/>
      <c r="C426" s="22"/>
      <c r="D426" s="22"/>
      <c r="F426" s="22"/>
      <c r="G426" s="22"/>
      <c r="O426" s="22"/>
    </row>
    <row r="427">
      <c r="A427" s="22"/>
      <c r="C427" s="22"/>
      <c r="D427" s="22"/>
      <c r="F427" s="22"/>
      <c r="G427" s="22"/>
      <c r="O427" s="22"/>
    </row>
    <row r="428">
      <c r="A428" s="22"/>
      <c r="C428" s="22"/>
      <c r="D428" s="22"/>
      <c r="F428" s="22"/>
      <c r="G428" s="22"/>
      <c r="O428" s="22"/>
    </row>
    <row r="429">
      <c r="A429" s="22"/>
      <c r="C429" s="22"/>
      <c r="D429" s="22"/>
      <c r="F429" s="22"/>
      <c r="G429" s="22"/>
      <c r="O429" s="22"/>
    </row>
    <row r="430">
      <c r="A430" s="22"/>
      <c r="C430" s="22"/>
      <c r="D430" s="22"/>
      <c r="F430" s="22"/>
      <c r="G430" s="22"/>
      <c r="O430" s="22"/>
    </row>
    <row r="431">
      <c r="A431" s="22"/>
      <c r="C431" s="22"/>
      <c r="D431" s="22"/>
      <c r="F431" s="22"/>
      <c r="G431" s="22"/>
      <c r="O431" s="22"/>
    </row>
    <row r="432">
      <c r="A432" s="22"/>
      <c r="C432" s="22"/>
      <c r="D432" s="22"/>
      <c r="F432" s="22"/>
      <c r="G432" s="22"/>
      <c r="O432" s="22"/>
    </row>
    <row r="433">
      <c r="A433" s="22"/>
      <c r="C433" s="22"/>
      <c r="D433" s="22"/>
      <c r="F433" s="22"/>
      <c r="G433" s="22"/>
      <c r="O433" s="22"/>
    </row>
    <row r="434">
      <c r="A434" s="22"/>
      <c r="C434" s="22"/>
      <c r="D434" s="22"/>
      <c r="F434" s="22"/>
      <c r="G434" s="22"/>
      <c r="O434" s="22"/>
    </row>
    <row r="435">
      <c r="A435" s="22"/>
      <c r="C435" s="22"/>
      <c r="D435" s="22"/>
      <c r="F435" s="22"/>
      <c r="G435" s="22"/>
      <c r="O435" s="22"/>
    </row>
    <row r="436">
      <c r="A436" s="22"/>
      <c r="C436" s="22"/>
      <c r="D436" s="22"/>
      <c r="F436" s="22"/>
      <c r="G436" s="22"/>
      <c r="O436" s="22"/>
    </row>
    <row r="437">
      <c r="A437" s="22"/>
      <c r="C437" s="22"/>
      <c r="D437" s="22"/>
      <c r="F437" s="22"/>
      <c r="G437" s="22"/>
      <c r="O437" s="22"/>
    </row>
    <row r="438">
      <c r="A438" s="22"/>
      <c r="C438" s="22"/>
      <c r="D438" s="22"/>
      <c r="F438" s="22"/>
      <c r="G438" s="22"/>
      <c r="O438" s="22"/>
    </row>
    <row r="439">
      <c r="A439" s="22"/>
      <c r="C439" s="22"/>
      <c r="D439" s="22"/>
      <c r="F439" s="22"/>
      <c r="G439" s="22"/>
      <c r="O439" s="22"/>
    </row>
    <row r="440">
      <c r="A440" s="22"/>
      <c r="C440" s="22"/>
      <c r="D440" s="22"/>
      <c r="F440" s="22"/>
      <c r="G440" s="22"/>
      <c r="O440" s="22"/>
    </row>
    <row r="441">
      <c r="A441" s="22"/>
      <c r="C441" s="22"/>
      <c r="D441" s="22"/>
      <c r="F441" s="22"/>
      <c r="G441" s="22"/>
      <c r="O441" s="22"/>
    </row>
    <row r="442">
      <c r="A442" s="22"/>
      <c r="C442" s="22"/>
      <c r="D442" s="22"/>
      <c r="F442" s="22"/>
      <c r="G442" s="22"/>
      <c r="O442" s="22"/>
    </row>
    <row r="443">
      <c r="A443" s="22"/>
      <c r="C443" s="22"/>
      <c r="D443" s="22"/>
      <c r="F443" s="22"/>
      <c r="G443" s="22"/>
      <c r="O443" s="22"/>
    </row>
    <row r="444">
      <c r="A444" s="22"/>
      <c r="C444" s="22"/>
      <c r="D444" s="22"/>
      <c r="F444" s="22"/>
      <c r="G444" s="22"/>
      <c r="O444" s="22"/>
    </row>
    <row r="445">
      <c r="A445" s="22"/>
      <c r="C445" s="22"/>
      <c r="D445" s="22"/>
      <c r="F445" s="22"/>
      <c r="G445" s="22"/>
      <c r="O445" s="22"/>
    </row>
    <row r="446">
      <c r="A446" s="22"/>
      <c r="C446" s="22"/>
      <c r="D446" s="22"/>
      <c r="F446" s="22"/>
      <c r="G446" s="22"/>
      <c r="O446" s="22"/>
    </row>
    <row r="447">
      <c r="A447" s="22"/>
      <c r="C447" s="22"/>
      <c r="D447" s="22"/>
      <c r="F447" s="22"/>
      <c r="G447" s="22"/>
      <c r="O447" s="22"/>
    </row>
    <row r="448">
      <c r="A448" s="22"/>
      <c r="C448" s="22"/>
      <c r="D448" s="22"/>
      <c r="F448" s="22"/>
      <c r="G448" s="22"/>
      <c r="O448" s="22"/>
    </row>
    <row r="449">
      <c r="A449" s="22"/>
      <c r="C449" s="22"/>
      <c r="D449" s="22"/>
      <c r="F449" s="22"/>
      <c r="G449" s="22"/>
      <c r="O449" s="22"/>
    </row>
    <row r="450">
      <c r="A450" s="22"/>
      <c r="C450" s="22"/>
      <c r="D450" s="22"/>
      <c r="F450" s="22"/>
      <c r="G450" s="22"/>
      <c r="O450" s="22"/>
    </row>
    <row r="451">
      <c r="A451" s="22"/>
      <c r="C451" s="22"/>
      <c r="D451" s="22"/>
      <c r="F451" s="22"/>
      <c r="G451" s="22"/>
      <c r="O451" s="22"/>
    </row>
    <row r="452">
      <c r="A452" s="22"/>
      <c r="C452" s="22"/>
      <c r="D452" s="22"/>
      <c r="F452" s="22"/>
      <c r="G452" s="22"/>
      <c r="O452" s="22"/>
    </row>
    <row r="453">
      <c r="A453" s="22"/>
      <c r="C453" s="22"/>
      <c r="D453" s="22"/>
      <c r="F453" s="22"/>
      <c r="G453" s="22"/>
      <c r="O453" s="22"/>
    </row>
    <row r="454">
      <c r="A454" s="22"/>
      <c r="C454" s="22"/>
      <c r="D454" s="22"/>
      <c r="F454" s="22"/>
      <c r="G454" s="22"/>
      <c r="O454" s="22"/>
    </row>
    <row r="455">
      <c r="A455" s="22"/>
      <c r="C455" s="22"/>
      <c r="D455" s="22"/>
      <c r="F455" s="22"/>
      <c r="G455" s="22"/>
      <c r="O455" s="22"/>
    </row>
    <row r="456">
      <c r="A456" s="22"/>
      <c r="C456" s="22"/>
      <c r="D456" s="22"/>
      <c r="F456" s="22"/>
      <c r="G456" s="22"/>
      <c r="O456" s="22"/>
    </row>
    <row r="457">
      <c r="A457" s="22"/>
      <c r="C457" s="22"/>
      <c r="D457" s="22"/>
      <c r="F457" s="22"/>
      <c r="G457" s="22"/>
      <c r="O457" s="22"/>
    </row>
    <row r="458">
      <c r="A458" s="22"/>
      <c r="C458" s="22"/>
      <c r="D458" s="22"/>
      <c r="F458" s="22"/>
      <c r="G458" s="22"/>
      <c r="O458" s="22"/>
    </row>
    <row r="459">
      <c r="A459" s="22"/>
      <c r="C459" s="22"/>
      <c r="D459" s="22"/>
      <c r="F459" s="22"/>
      <c r="G459" s="22"/>
      <c r="O459" s="22"/>
    </row>
    <row r="460">
      <c r="A460" s="22"/>
      <c r="C460" s="22"/>
      <c r="D460" s="22"/>
      <c r="F460" s="22"/>
      <c r="G460" s="22"/>
      <c r="O460" s="22"/>
    </row>
    <row r="461">
      <c r="A461" s="22"/>
      <c r="C461" s="22"/>
      <c r="D461" s="22"/>
      <c r="F461" s="22"/>
      <c r="G461" s="22"/>
      <c r="O461" s="22"/>
    </row>
    <row r="462">
      <c r="A462" s="22"/>
      <c r="C462" s="22"/>
      <c r="D462" s="22"/>
      <c r="F462" s="22"/>
      <c r="G462" s="22"/>
      <c r="O462" s="22"/>
    </row>
    <row r="463">
      <c r="A463" s="22"/>
      <c r="C463" s="22"/>
      <c r="D463" s="22"/>
      <c r="F463" s="22"/>
      <c r="G463" s="22"/>
      <c r="O463" s="22"/>
    </row>
    <row r="464">
      <c r="A464" s="22"/>
      <c r="C464" s="22"/>
      <c r="D464" s="22"/>
      <c r="F464" s="22"/>
      <c r="G464" s="22"/>
      <c r="O464" s="22"/>
    </row>
    <row r="465">
      <c r="A465" s="22"/>
      <c r="C465" s="22"/>
      <c r="D465" s="22"/>
      <c r="F465" s="22"/>
      <c r="G465" s="22"/>
      <c r="O465" s="22"/>
    </row>
    <row r="466">
      <c r="A466" s="22"/>
      <c r="C466" s="22"/>
      <c r="D466" s="22"/>
      <c r="F466" s="22"/>
      <c r="G466" s="22"/>
      <c r="O466" s="22"/>
    </row>
    <row r="467">
      <c r="A467" s="22"/>
      <c r="C467" s="22"/>
      <c r="D467" s="22"/>
      <c r="F467" s="22"/>
      <c r="G467" s="22"/>
      <c r="O467" s="22"/>
    </row>
    <row r="468">
      <c r="A468" s="22"/>
      <c r="C468" s="22"/>
      <c r="D468" s="22"/>
      <c r="F468" s="22"/>
      <c r="G468" s="22"/>
      <c r="O468" s="22"/>
    </row>
    <row r="469">
      <c r="A469" s="22"/>
      <c r="C469" s="22"/>
      <c r="D469" s="22"/>
      <c r="F469" s="22"/>
      <c r="G469" s="22"/>
      <c r="O469" s="22"/>
    </row>
    <row r="470">
      <c r="A470" s="22"/>
      <c r="C470" s="22"/>
      <c r="D470" s="22"/>
      <c r="F470" s="22"/>
      <c r="G470" s="22"/>
      <c r="O470" s="22"/>
    </row>
    <row r="471">
      <c r="A471" s="22"/>
      <c r="C471" s="22"/>
      <c r="D471" s="22"/>
      <c r="F471" s="22"/>
      <c r="G471" s="22"/>
      <c r="O471" s="22"/>
    </row>
    <row r="472">
      <c r="A472" s="22"/>
      <c r="C472" s="22"/>
      <c r="D472" s="22"/>
      <c r="F472" s="22"/>
      <c r="G472" s="22"/>
      <c r="O472" s="22"/>
    </row>
    <row r="473">
      <c r="A473" s="22"/>
      <c r="C473" s="22"/>
      <c r="D473" s="22"/>
      <c r="F473" s="22"/>
      <c r="G473" s="22"/>
      <c r="O473" s="22"/>
    </row>
    <row r="474">
      <c r="A474" s="22"/>
      <c r="C474" s="22"/>
      <c r="D474" s="22"/>
      <c r="F474" s="22"/>
      <c r="G474" s="22"/>
      <c r="O474" s="22"/>
    </row>
    <row r="475">
      <c r="A475" s="22"/>
      <c r="C475" s="22"/>
      <c r="D475" s="22"/>
      <c r="F475" s="22"/>
      <c r="G475" s="22"/>
      <c r="O475" s="22"/>
    </row>
    <row r="476">
      <c r="A476" s="22"/>
      <c r="C476" s="22"/>
      <c r="D476" s="22"/>
      <c r="F476" s="22"/>
      <c r="G476" s="22"/>
      <c r="O476" s="22"/>
    </row>
    <row r="477">
      <c r="A477" s="22"/>
      <c r="C477" s="22"/>
      <c r="D477" s="22"/>
      <c r="F477" s="22"/>
      <c r="G477" s="22"/>
      <c r="O477" s="22"/>
    </row>
    <row r="478">
      <c r="A478" s="22"/>
      <c r="C478" s="22"/>
      <c r="D478" s="22"/>
      <c r="F478" s="22"/>
      <c r="G478" s="22"/>
      <c r="O478" s="22"/>
    </row>
    <row r="479">
      <c r="A479" s="22"/>
      <c r="C479" s="22"/>
      <c r="D479" s="22"/>
      <c r="F479" s="22"/>
      <c r="G479" s="22"/>
      <c r="O479" s="22"/>
    </row>
    <row r="480">
      <c r="A480" s="22"/>
      <c r="C480" s="22"/>
      <c r="D480" s="22"/>
      <c r="F480" s="22"/>
      <c r="G480" s="22"/>
      <c r="O480" s="22"/>
    </row>
    <row r="481">
      <c r="A481" s="22"/>
      <c r="C481" s="22"/>
      <c r="D481" s="22"/>
      <c r="F481" s="22"/>
      <c r="G481" s="22"/>
      <c r="O481" s="22"/>
    </row>
    <row r="482">
      <c r="A482" s="22"/>
      <c r="C482" s="22"/>
      <c r="D482" s="22"/>
      <c r="F482" s="22"/>
      <c r="G482" s="22"/>
      <c r="O482" s="22"/>
    </row>
    <row r="483">
      <c r="A483" s="22"/>
      <c r="C483" s="22"/>
      <c r="D483" s="22"/>
      <c r="F483" s="22"/>
      <c r="G483" s="22"/>
      <c r="O483" s="22"/>
    </row>
    <row r="484">
      <c r="A484" s="22"/>
      <c r="C484" s="22"/>
      <c r="D484" s="22"/>
      <c r="F484" s="22"/>
      <c r="G484" s="22"/>
      <c r="O484" s="22"/>
    </row>
    <row r="485">
      <c r="A485" s="22"/>
      <c r="C485" s="22"/>
      <c r="D485" s="22"/>
      <c r="F485" s="22"/>
      <c r="G485" s="22"/>
      <c r="O485" s="22"/>
    </row>
    <row r="486">
      <c r="A486" s="22"/>
      <c r="C486" s="22"/>
      <c r="D486" s="22"/>
      <c r="F486" s="22"/>
      <c r="G486" s="22"/>
      <c r="O486" s="22"/>
    </row>
    <row r="487">
      <c r="A487" s="22"/>
      <c r="C487" s="22"/>
      <c r="D487" s="22"/>
      <c r="F487" s="22"/>
      <c r="G487" s="22"/>
      <c r="O487" s="22"/>
    </row>
    <row r="488">
      <c r="A488" s="22"/>
      <c r="C488" s="22"/>
      <c r="D488" s="22"/>
      <c r="F488" s="22"/>
      <c r="G488" s="22"/>
      <c r="O488" s="22"/>
    </row>
    <row r="489">
      <c r="A489" s="22"/>
      <c r="C489" s="22"/>
      <c r="D489" s="22"/>
      <c r="F489" s="22"/>
      <c r="G489" s="22"/>
      <c r="O489" s="22"/>
    </row>
    <row r="490">
      <c r="A490" s="22"/>
      <c r="C490" s="22"/>
      <c r="D490" s="22"/>
      <c r="F490" s="22"/>
      <c r="G490" s="22"/>
      <c r="O490" s="22"/>
    </row>
    <row r="491">
      <c r="A491" s="22"/>
      <c r="C491" s="22"/>
      <c r="D491" s="22"/>
      <c r="F491" s="22"/>
      <c r="G491" s="22"/>
      <c r="O491" s="22"/>
    </row>
    <row r="492">
      <c r="A492" s="22"/>
      <c r="C492" s="22"/>
      <c r="D492" s="22"/>
      <c r="F492" s="22"/>
      <c r="G492" s="22"/>
      <c r="O492" s="22"/>
    </row>
    <row r="493">
      <c r="A493" s="22"/>
      <c r="C493" s="22"/>
      <c r="D493" s="22"/>
      <c r="F493" s="22"/>
      <c r="G493" s="22"/>
      <c r="O493" s="22"/>
    </row>
    <row r="494">
      <c r="A494" s="22"/>
      <c r="C494" s="22"/>
      <c r="D494" s="22"/>
      <c r="F494" s="22"/>
      <c r="G494" s="22"/>
      <c r="O494" s="22"/>
    </row>
    <row r="495">
      <c r="A495" s="22"/>
      <c r="C495" s="22"/>
      <c r="D495" s="22"/>
      <c r="F495" s="22"/>
      <c r="G495" s="22"/>
      <c r="O495" s="22"/>
    </row>
    <row r="496">
      <c r="A496" s="22"/>
      <c r="C496" s="22"/>
      <c r="D496" s="22"/>
      <c r="F496" s="22"/>
      <c r="G496" s="22"/>
      <c r="O496" s="22"/>
    </row>
    <row r="497">
      <c r="A497" s="22"/>
      <c r="C497" s="22"/>
      <c r="D497" s="22"/>
      <c r="F497" s="22"/>
      <c r="G497" s="22"/>
      <c r="O497" s="22"/>
    </row>
    <row r="498">
      <c r="A498" s="22"/>
      <c r="C498" s="22"/>
      <c r="D498" s="22"/>
      <c r="F498" s="22"/>
      <c r="G498" s="22"/>
      <c r="O498" s="22"/>
    </row>
    <row r="499">
      <c r="A499" s="22"/>
      <c r="C499" s="22"/>
      <c r="D499" s="22"/>
      <c r="F499" s="22"/>
      <c r="G499" s="22"/>
      <c r="O499" s="22"/>
    </row>
    <row r="500">
      <c r="A500" s="22"/>
      <c r="C500" s="22"/>
      <c r="D500" s="22"/>
      <c r="F500" s="22"/>
      <c r="G500" s="22"/>
      <c r="O500" s="22"/>
    </row>
    <row r="501">
      <c r="A501" s="22"/>
      <c r="C501" s="22"/>
      <c r="D501" s="22"/>
      <c r="F501" s="22"/>
      <c r="G501" s="22"/>
      <c r="O501" s="22"/>
    </row>
    <row r="502">
      <c r="A502" s="22"/>
      <c r="C502" s="22"/>
      <c r="D502" s="22"/>
      <c r="F502" s="22"/>
      <c r="G502" s="22"/>
      <c r="O502" s="22"/>
    </row>
    <row r="503">
      <c r="A503" s="22"/>
      <c r="C503" s="22"/>
      <c r="D503" s="22"/>
      <c r="F503" s="22"/>
      <c r="G503" s="22"/>
      <c r="O503" s="22"/>
    </row>
    <row r="504">
      <c r="A504" s="22"/>
      <c r="C504" s="22"/>
      <c r="D504" s="22"/>
      <c r="F504" s="22"/>
      <c r="G504" s="22"/>
      <c r="O504" s="22"/>
    </row>
    <row r="505">
      <c r="A505" s="22"/>
      <c r="C505" s="22"/>
      <c r="D505" s="22"/>
      <c r="F505" s="22"/>
      <c r="G505" s="22"/>
      <c r="O505" s="22"/>
    </row>
    <row r="506">
      <c r="A506" s="22"/>
      <c r="C506" s="22"/>
      <c r="D506" s="22"/>
      <c r="F506" s="22"/>
      <c r="G506" s="22"/>
      <c r="O506" s="22"/>
    </row>
    <row r="507">
      <c r="A507" s="22"/>
      <c r="C507" s="22"/>
      <c r="D507" s="22"/>
      <c r="F507" s="22"/>
      <c r="G507" s="22"/>
      <c r="O507" s="22"/>
    </row>
    <row r="508">
      <c r="A508" s="22"/>
      <c r="C508" s="22"/>
      <c r="D508" s="22"/>
      <c r="F508" s="22"/>
      <c r="G508" s="22"/>
      <c r="O508" s="22"/>
    </row>
    <row r="509">
      <c r="A509" s="22"/>
      <c r="C509" s="22"/>
      <c r="D509" s="22"/>
      <c r="F509" s="22"/>
      <c r="G509" s="22"/>
      <c r="O509" s="22"/>
    </row>
    <row r="510">
      <c r="A510" s="22"/>
      <c r="C510" s="22"/>
      <c r="D510" s="22"/>
      <c r="F510" s="22"/>
      <c r="G510" s="22"/>
      <c r="O510" s="22"/>
    </row>
    <row r="511">
      <c r="A511" s="22"/>
      <c r="C511" s="22"/>
      <c r="D511" s="22"/>
      <c r="F511" s="22"/>
      <c r="G511" s="22"/>
      <c r="O511" s="22"/>
    </row>
    <row r="512">
      <c r="A512" s="22"/>
      <c r="C512" s="22"/>
      <c r="D512" s="22"/>
      <c r="F512" s="22"/>
      <c r="G512" s="22"/>
      <c r="O512" s="22"/>
    </row>
    <row r="513">
      <c r="A513" s="22"/>
      <c r="C513" s="22"/>
      <c r="D513" s="22"/>
      <c r="F513" s="22"/>
      <c r="G513" s="22"/>
      <c r="O513" s="22"/>
    </row>
    <row r="514">
      <c r="A514" s="22"/>
      <c r="C514" s="22"/>
      <c r="D514" s="22"/>
      <c r="F514" s="22"/>
      <c r="G514" s="22"/>
      <c r="O514" s="22"/>
    </row>
    <row r="515">
      <c r="A515" s="22"/>
      <c r="C515" s="22"/>
      <c r="D515" s="22"/>
      <c r="F515" s="22"/>
      <c r="G515" s="22"/>
      <c r="O515" s="22"/>
    </row>
    <row r="516">
      <c r="A516" s="22"/>
      <c r="C516" s="22"/>
      <c r="D516" s="22"/>
      <c r="F516" s="22"/>
      <c r="G516" s="22"/>
      <c r="O516" s="22"/>
    </row>
    <row r="517">
      <c r="A517" s="22"/>
      <c r="C517" s="22"/>
      <c r="D517" s="22"/>
      <c r="F517" s="22"/>
      <c r="G517" s="22"/>
      <c r="O517" s="22"/>
    </row>
    <row r="518">
      <c r="A518" s="22"/>
      <c r="C518" s="22"/>
      <c r="D518" s="22"/>
      <c r="F518" s="22"/>
      <c r="G518" s="22"/>
      <c r="O518" s="22"/>
    </row>
    <row r="519">
      <c r="A519" s="22"/>
      <c r="C519" s="22"/>
      <c r="D519" s="22"/>
      <c r="F519" s="22"/>
      <c r="G519" s="22"/>
      <c r="O519" s="22"/>
    </row>
    <row r="520">
      <c r="A520" s="22"/>
      <c r="C520" s="22"/>
      <c r="D520" s="22"/>
      <c r="F520" s="22"/>
      <c r="G520" s="22"/>
      <c r="O520" s="22"/>
    </row>
    <row r="521">
      <c r="A521" s="22"/>
      <c r="C521" s="22"/>
      <c r="D521" s="22"/>
      <c r="F521" s="22"/>
      <c r="G521" s="22"/>
      <c r="O521" s="22"/>
    </row>
    <row r="522">
      <c r="A522" s="22"/>
      <c r="C522" s="22"/>
      <c r="D522" s="22"/>
      <c r="F522" s="22"/>
      <c r="G522" s="22"/>
      <c r="O522" s="22"/>
    </row>
    <row r="523">
      <c r="A523" s="22"/>
      <c r="C523" s="22"/>
      <c r="D523" s="22"/>
      <c r="F523" s="22"/>
      <c r="G523" s="22"/>
      <c r="O523" s="22"/>
    </row>
    <row r="524">
      <c r="A524" s="22"/>
      <c r="C524" s="22"/>
      <c r="D524" s="22"/>
      <c r="F524" s="22"/>
      <c r="G524" s="22"/>
      <c r="O524" s="22"/>
    </row>
    <row r="525">
      <c r="A525" s="22"/>
      <c r="C525" s="22"/>
      <c r="D525" s="22"/>
      <c r="F525" s="22"/>
      <c r="G525" s="22"/>
      <c r="O525" s="22"/>
    </row>
    <row r="526">
      <c r="A526" s="22"/>
      <c r="C526" s="22"/>
      <c r="D526" s="22"/>
      <c r="F526" s="22"/>
      <c r="G526" s="22"/>
      <c r="O526" s="22"/>
    </row>
    <row r="527">
      <c r="A527" s="22"/>
      <c r="C527" s="22"/>
      <c r="D527" s="22"/>
      <c r="F527" s="22"/>
      <c r="G527" s="22"/>
      <c r="O527" s="22"/>
    </row>
    <row r="528">
      <c r="A528" s="22"/>
      <c r="C528" s="22"/>
      <c r="D528" s="22"/>
      <c r="F528" s="22"/>
      <c r="G528" s="22"/>
      <c r="O528" s="22"/>
    </row>
    <row r="529">
      <c r="A529" s="22"/>
      <c r="C529" s="22"/>
      <c r="D529" s="22"/>
      <c r="F529" s="22"/>
      <c r="G529" s="22"/>
      <c r="O529" s="22"/>
    </row>
    <row r="530">
      <c r="A530" s="22"/>
      <c r="C530" s="22"/>
      <c r="D530" s="22"/>
      <c r="F530" s="22"/>
      <c r="G530" s="22"/>
      <c r="O530" s="22"/>
    </row>
    <row r="531">
      <c r="A531" s="22"/>
      <c r="C531" s="22"/>
      <c r="D531" s="22"/>
      <c r="F531" s="22"/>
      <c r="G531" s="22"/>
      <c r="O531" s="22"/>
    </row>
    <row r="532">
      <c r="A532" s="22"/>
      <c r="C532" s="22"/>
      <c r="D532" s="22"/>
      <c r="F532" s="22"/>
      <c r="G532" s="22"/>
      <c r="O532" s="22"/>
    </row>
    <row r="533">
      <c r="A533" s="22"/>
      <c r="C533" s="22"/>
      <c r="D533" s="22"/>
      <c r="F533" s="22"/>
      <c r="G533" s="22"/>
      <c r="O533" s="22"/>
    </row>
    <row r="534">
      <c r="A534" s="22"/>
      <c r="C534" s="22"/>
      <c r="D534" s="22"/>
      <c r="F534" s="22"/>
      <c r="G534" s="22"/>
      <c r="O534" s="22"/>
    </row>
    <row r="535">
      <c r="A535" s="22"/>
      <c r="C535" s="22"/>
      <c r="D535" s="22"/>
      <c r="F535" s="22"/>
      <c r="G535" s="22"/>
      <c r="O535" s="22"/>
    </row>
    <row r="536">
      <c r="A536" s="22"/>
      <c r="C536" s="22"/>
      <c r="D536" s="22"/>
      <c r="F536" s="22"/>
      <c r="G536" s="22"/>
      <c r="O536" s="22"/>
    </row>
    <row r="537">
      <c r="A537" s="22"/>
      <c r="C537" s="22"/>
      <c r="D537" s="22"/>
      <c r="F537" s="22"/>
      <c r="G537" s="22"/>
      <c r="O537" s="22"/>
    </row>
    <row r="538">
      <c r="A538" s="22"/>
      <c r="C538" s="22"/>
      <c r="D538" s="22"/>
      <c r="F538" s="22"/>
      <c r="G538" s="22"/>
      <c r="O538" s="22"/>
    </row>
    <row r="539">
      <c r="A539" s="22"/>
      <c r="C539" s="22"/>
      <c r="D539" s="22"/>
      <c r="F539" s="22"/>
      <c r="G539" s="22"/>
      <c r="O539" s="22"/>
    </row>
    <row r="540">
      <c r="A540" s="22"/>
      <c r="C540" s="22"/>
      <c r="D540" s="22"/>
      <c r="F540" s="22"/>
      <c r="G540" s="22"/>
      <c r="O540" s="22"/>
    </row>
    <row r="541">
      <c r="A541" s="22"/>
      <c r="C541" s="22"/>
      <c r="D541" s="22"/>
      <c r="F541" s="22"/>
      <c r="G541" s="22"/>
      <c r="O541" s="22"/>
    </row>
    <row r="542">
      <c r="A542" s="22"/>
      <c r="C542" s="22"/>
      <c r="D542" s="22"/>
      <c r="F542" s="22"/>
      <c r="G542" s="22"/>
      <c r="O542" s="22"/>
    </row>
    <row r="543">
      <c r="A543" s="22"/>
      <c r="C543" s="22"/>
      <c r="D543" s="22"/>
      <c r="F543" s="22"/>
      <c r="G543" s="22"/>
      <c r="O543" s="22"/>
    </row>
    <row r="544">
      <c r="A544" s="22"/>
      <c r="C544" s="22"/>
      <c r="D544" s="22"/>
      <c r="F544" s="22"/>
      <c r="G544" s="22"/>
      <c r="O544" s="22"/>
    </row>
    <row r="545">
      <c r="A545" s="22"/>
      <c r="C545" s="22"/>
      <c r="D545" s="22"/>
      <c r="F545" s="22"/>
      <c r="G545" s="22"/>
      <c r="O545" s="22"/>
    </row>
    <row r="546">
      <c r="A546" s="22"/>
      <c r="C546" s="22"/>
      <c r="D546" s="22"/>
      <c r="F546" s="22"/>
      <c r="G546" s="22"/>
      <c r="O546" s="22"/>
    </row>
    <row r="547">
      <c r="A547" s="22"/>
      <c r="C547" s="22"/>
      <c r="D547" s="22"/>
      <c r="F547" s="22"/>
      <c r="G547" s="22"/>
      <c r="O547" s="22"/>
    </row>
    <row r="548">
      <c r="A548" s="22"/>
      <c r="C548" s="22"/>
      <c r="D548" s="22"/>
      <c r="F548" s="22"/>
      <c r="G548" s="22"/>
      <c r="O548" s="22"/>
    </row>
    <row r="549">
      <c r="A549" s="22"/>
      <c r="C549" s="22"/>
      <c r="D549" s="22"/>
      <c r="F549" s="22"/>
      <c r="G549" s="22"/>
      <c r="O549" s="22"/>
    </row>
    <row r="550">
      <c r="A550" s="22"/>
      <c r="C550" s="22"/>
      <c r="D550" s="22"/>
      <c r="F550" s="22"/>
      <c r="G550" s="22"/>
      <c r="O550" s="22"/>
    </row>
    <row r="551">
      <c r="A551" s="22"/>
      <c r="C551" s="22"/>
      <c r="D551" s="22"/>
      <c r="F551" s="22"/>
      <c r="G551" s="22"/>
      <c r="O551" s="22"/>
    </row>
    <row r="552">
      <c r="A552" s="22"/>
      <c r="C552" s="22"/>
      <c r="D552" s="22"/>
      <c r="F552" s="22"/>
      <c r="G552" s="22"/>
      <c r="O552" s="22"/>
    </row>
    <row r="553">
      <c r="A553" s="22"/>
      <c r="C553" s="22"/>
      <c r="D553" s="22"/>
      <c r="F553" s="22"/>
      <c r="G553" s="22"/>
      <c r="O553" s="22"/>
    </row>
    <row r="554">
      <c r="A554" s="22"/>
      <c r="C554" s="22"/>
      <c r="D554" s="22"/>
      <c r="F554" s="22"/>
      <c r="G554" s="22"/>
      <c r="O554" s="22"/>
    </row>
    <row r="555">
      <c r="A555" s="22"/>
      <c r="C555" s="22"/>
      <c r="D555" s="22"/>
      <c r="F555" s="22"/>
      <c r="G555" s="22"/>
      <c r="O555" s="22"/>
    </row>
    <row r="556">
      <c r="A556" s="22"/>
      <c r="C556" s="22"/>
      <c r="D556" s="22"/>
      <c r="F556" s="22"/>
      <c r="G556" s="22"/>
      <c r="O556" s="22"/>
    </row>
    <row r="557">
      <c r="A557" s="22"/>
      <c r="C557" s="22"/>
      <c r="D557" s="22"/>
      <c r="F557" s="22"/>
      <c r="G557" s="22"/>
      <c r="O557" s="22"/>
    </row>
    <row r="558">
      <c r="A558" s="22"/>
      <c r="C558" s="22"/>
      <c r="D558" s="22"/>
      <c r="F558" s="22"/>
      <c r="G558" s="22"/>
      <c r="O558" s="22"/>
    </row>
    <row r="559">
      <c r="A559" s="22"/>
      <c r="C559" s="22"/>
      <c r="D559" s="22"/>
      <c r="F559" s="22"/>
      <c r="G559" s="22"/>
      <c r="O559" s="22"/>
    </row>
    <row r="560">
      <c r="A560" s="22"/>
      <c r="C560" s="22"/>
      <c r="D560" s="22"/>
      <c r="F560" s="22"/>
      <c r="G560" s="22"/>
      <c r="O560" s="22"/>
    </row>
    <row r="561">
      <c r="A561" s="22"/>
      <c r="C561" s="22"/>
      <c r="D561" s="22"/>
      <c r="F561" s="22"/>
      <c r="G561" s="22"/>
      <c r="O561" s="22"/>
    </row>
    <row r="562">
      <c r="A562" s="22"/>
      <c r="C562" s="22"/>
      <c r="D562" s="22"/>
      <c r="F562" s="22"/>
      <c r="G562" s="22"/>
      <c r="O562" s="22"/>
    </row>
    <row r="563">
      <c r="A563" s="22"/>
      <c r="C563" s="22"/>
      <c r="D563" s="22"/>
      <c r="F563" s="22"/>
      <c r="G563" s="22"/>
      <c r="O563" s="22"/>
    </row>
    <row r="564">
      <c r="A564" s="22"/>
      <c r="C564" s="22"/>
      <c r="D564" s="22"/>
      <c r="F564" s="22"/>
      <c r="G564" s="22"/>
      <c r="O564" s="22"/>
    </row>
    <row r="565">
      <c r="A565" s="22"/>
      <c r="C565" s="22"/>
      <c r="D565" s="22"/>
      <c r="F565" s="22"/>
      <c r="G565" s="22"/>
      <c r="O565" s="22"/>
    </row>
    <row r="566">
      <c r="A566" s="22"/>
      <c r="C566" s="22"/>
      <c r="D566" s="22"/>
      <c r="F566" s="22"/>
      <c r="G566" s="22"/>
      <c r="O566" s="22"/>
    </row>
    <row r="567">
      <c r="A567" s="22"/>
      <c r="C567" s="22"/>
      <c r="D567" s="22"/>
      <c r="F567" s="22"/>
      <c r="G567" s="22"/>
      <c r="O567" s="22"/>
    </row>
    <row r="568">
      <c r="A568" s="22"/>
      <c r="C568" s="22"/>
      <c r="D568" s="22"/>
      <c r="F568" s="22"/>
      <c r="G568" s="22"/>
      <c r="O568" s="22"/>
    </row>
    <row r="569">
      <c r="A569" s="22"/>
      <c r="C569" s="22"/>
      <c r="D569" s="22"/>
      <c r="F569" s="22"/>
      <c r="G569" s="22"/>
      <c r="O569" s="22"/>
    </row>
    <row r="570">
      <c r="A570" s="22"/>
      <c r="C570" s="22"/>
      <c r="D570" s="22"/>
      <c r="F570" s="22"/>
      <c r="G570" s="22"/>
      <c r="O570" s="22"/>
    </row>
    <row r="571">
      <c r="A571" s="22"/>
      <c r="C571" s="22"/>
      <c r="D571" s="22"/>
      <c r="F571" s="22"/>
      <c r="G571" s="22"/>
      <c r="O571" s="22"/>
    </row>
    <row r="572">
      <c r="A572" s="22"/>
      <c r="C572" s="22"/>
      <c r="D572" s="22"/>
      <c r="F572" s="22"/>
      <c r="G572" s="22"/>
      <c r="O572" s="22"/>
    </row>
    <row r="573">
      <c r="A573" s="22"/>
      <c r="C573" s="22"/>
      <c r="D573" s="22"/>
      <c r="F573" s="22"/>
      <c r="G573" s="22"/>
      <c r="O573" s="22"/>
    </row>
    <row r="574">
      <c r="A574" s="22"/>
      <c r="C574" s="22"/>
      <c r="D574" s="22"/>
      <c r="F574" s="22"/>
      <c r="G574" s="22"/>
      <c r="O574" s="22"/>
    </row>
    <row r="575">
      <c r="A575" s="22"/>
      <c r="C575" s="22"/>
      <c r="D575" s="22"/>
      <c r="F575" s="22"/>
      <c r="G575" s="22"/>
      <c r="O575" s="22"/>
    </row>
    <row r="576">
      <c r="A576" s="22"/>
      <c r="C576" s="22"/>
      <c r="D576" s="22"/>
      <c r="F576" s="22"/>
      <c r="G576" s="22"/>
      <c r="O576" s="22"/>
    </row>
    <row r="577">
      <c r="A577" s="22"/>
      <c r="C577" s="22"/>
      <c r="D577" s="22"/>
      <c r="F577" s="22"/>
      <c r="G577" s="22"/>
      <c r="O577" s="22"/>
    </row>
    <row r="578">
      <c r="A578" s="22"/>
      <c r="C578" s="22"/>
      <c r="D578" s="22"/>
      <c r="F578" s="22"/>
      <c r="G578" s="22"/>
      <c r="O578" s="22"/>
    </row>
    <row r="579">
      <c r="A579" s="22"/>
      <c r="C579" s="22"/>
      <c r="D579" s="22"/>
      <c r="F579" s="22"/>
      <c r="G579" s="22"/>
      <c r="O579" s="22"/>
    </row>
    <row r="580">
      <c r="A580" s="22"/>
      <c r="C580" s="22"/>
      <c r="D580" s="22"/>
      <c r="F580" s="22"/>
      <c r="G580" s="22"/>
      <c r="O580" s="22"/>
    </row>
    <row r="581">
      <c r="A581" s="22"/>
      <c r="C581" s="22"/>
      <c r="D581" s="22"/>
      <c r="F581" s="22"/>
      <c r="G581" s="22"/>
      <c r="O581" s="22"/>
    </row>
    <row r="582">
      <c r="A582" s="22"/>
      <c r="C582" s="22"/>
      <c r="D582" s="22"/>
      <c r="F582" s="22"/>
      <c r="G582" s="22"/>
      <c r="O582" s="22"/>
    </row>
    <row r="583">
      <c r="A583" s="22"/>
      <c r="C583" s="22"/>
      <c r="D583" s="22"/>
      <c r="F583" s="22"/>
      <c r="G583" s="22"/>
      <c r="O583" s="22"/>
    </row>
    <row r="584">
      <c r="A584" s="22"/>
      <c r="C584" s="22"/>
      <c r="D584" s="22"/>
      <c r="F584" s="22"/>
      <c r="G584" s="22"/>
      <c r="O584" s="22"/>
    </row>
    <row r="585">
      <c r="A585" s="22"/>
      <c r="C585" s="22"/>
      <c r="D585" s="22"/>
      <c r="F585" s="22"/>
      <c r="G585" s="22"/>
      <c r="O585" s="22"/>
    </row>
    <row r="586">
      <c r="A586" s="22"/>
      <c r="C586" s="22"/>
      <c r="D586" s="22"/>
      <c r="F586" s="22"/>
      <c r="G586" s="22"/>
      <c r="O586" s="22"/>
    </row>
    <row r="587">
      <c r="A587" s="22"/>
      <c r="C587" s="22"/>
      <c r="D587" s="22"/>
      <c r="F587" s="22"/>
      <c r="G587" s="22"/>
      <c r="O587" s="22"/>
    </row>
    <row r="588">
      <c r="A588" s="22"/>
      <c r="C588" s="22"/>
      <c r="D588" s="22"/>
      <c r="F588" s="22"/>
      <c r="G588" s="22"/>
      <c r="O588" s="22"/>
    </row>
    <row r="589">
      <c r="A589" s="22"/>
      <c r="C589" s="22"/>
      <c r="D589" s="22"/>
      <c r="F589" s="22"/>
      <c r="G589" s="22"/>
      <c r="O589" s="22"/>
    </row>
    <row r="590">
      <c r="A590" s="22"/>
      <c r="C590" s="22"/>
      <c r="D590" s="22"/>
      <c r="F590" s="22"/>
      <c r="G590" s="22"/>
      <c r="O590" s="22"/>
    </row>
    <row r="591">
      <c r="A591" s="22"/>
      <c r="C591" s="22"/>
      <c r="D591" s="22"/>
      <c r="F591" s="22"/>
      <c r="G591" s="22"/>
      <c r="O591" s="22"/>
    </row>
    <row r="592">
      <c r="A592" s="22"/>
      <c r="C592" s="22"/>
      <c r="D592" s="22"/>
      <c r="F592" s="22"/>
      <c r="G592" s="22"/>
      <c r="O592" s="22"/>
    </row>
    <row r="593">
      <c r="A593" s="22"/>
      <c r="C593" s="22"/>
      <c r="D593" s="22"/>
      <c r="F593" s="22"/>
      <c r="G593" s="22"/>
      <c r="O593" s="22"/>
    </row>
    <row r="594">
      <c r="A594" s="22"/>
      <c r="C594" s="22"/>
      <c r="D594" s="22"/>
      <c r="F594" s="22"/>
      <c r="G594" s="22"/>
      <c r="O594" s="22"/>
    </row>
    <row r="595">
      <c r="A595" s="22"/>
      <c r="C595" s="22"/>
      <c r="D595" s="22"/>
      <c r="F595" s="22"/>
      <c r="G595" s="22"/>
      <c r="O595" s="22"/>
    </row>
    <row r="596">
      <c r="A596" s="22"/>
      <c r="C596" s="22"/>
      <c r="D596" s="22"/>
      <c r="F596" s="22"/>
      <c r="G596" s="22"/>
      <c r="O596" s="22"/>
    </row>
    <row r="597">
      <c r="A597" s="22"/>
      <c r="C597" s="22"/>
      <c r="D597" s="22"/>
      <c r="F597" s="22"/>
      <c r="G597" s="22"/>
      <c r="O597" s="22"/>
    </row>
    <row r="598">
      <c r="A598" s="22"/>
      <c r="C598" s="22"/>
      <c r="D598" s="22"/>
      <c r="F598" s="22"/>
      <c r="G598" s="22"/>
      <c r="O598" s="22"/>
    </row>
    <row r="599">
      <c r="A599" s="22"/>
      <c r="C599" s="22"/>
      <c r="D599" s="22"/>
      <c r="F599" s="22"/>
      <c r="G599" s="22"/>
      <c r="O599" s="22"/>
    </row>
    <row r="600">
      <c r="A600" s="22"/>
      <c r="C600" s="22"/>
      <c r="D600" s="22"/>
      <c r="F600" s="22"/>
      <c r="G600" s="22"/>
      <c r="O600" s="22"/>
    </row>
    <row r="601">
      <c r="A601" s="22"/>
      <c r="C601" s="22"/>
      <c r="D601" s="22"/>
      <c r="F601" s="22"/>
      <c r="G601" s="22"/>
      <c r="O601" s="22"/>
    </row>
    <row r="602">
      <c r="A602" s="22"/>
      <c r="C602" s="22"/>
      <c r="D602" s="22"/>
      <c r="F602" s="22"/>
      <c r="G602" s="22"/>
      <c r="O602" s="22"/>
    </row>
    <row r="603">
      <c r="A603" s="22"/>
      <c r="C603" s="22"/>
      <c r="D603" s="22"/>
      <c r="F603" s="22"/>
      <c r="G603" s="22"/>
      <c r="O603" s="22"/>
    </row>
    <row r="604">
      <c r="A604" s="22"/>
      <c r="C604" s="22"/>
      <c r="D604" s="22"/>
      <c r="F604" s="22"/>
      <c r="G604" s="22"/>
      <c r="O604" s="22"/>
    </row>
    <row r="605">
      <c r="A605" s="22"/>
      <c r="C605" s="22"/>
      <c r="D605" s="22"/>
      <c r="F605" s="22"/>
      <c r="G605" s="22"/>
      <c r="O605" s="22"/>
    </row>
    <row r="606">
      <c r="A606" s="22"/>
      <c r="C606" s="22"/>
      <c r="D606" s="22"/>
      <c r="F606" s="22"/>
      <c r="G606" s="22"/>
      <c r="O606" s="22"/>
    </row>
    <row r="607">
      <c r="A607" s="22"/>
      <c r="C607" s="22"/>
      <c r="D607" s="22"/>
      <c r="F607" s="22"/>
      <c r="G607" s="22"/>
      <c r="O607" s="22"/>
    </row>
    <row r="608">
      <c r="A608" s="22"/>
      <c r="C608" s="22"/>
      <c r="D608" s="22"/>
      <c r="F608" s="22"/>
      <c r="G608" s="22"/>
      <c r="O608" s="22"/>
    </row>
    <row r="609">
      <c r="A609" s="22"/>
      <c r="C609" s="22"/>
      <c r="D609" s="22"/>
      <c r="F609" s="22"/>
      <c r="G609" s="22"/>
      <c r="O609" s="22"/>
    </row>
    <row r="610">
      <c r="A610" s="22"/>
      <c r="C610" s="22"/>
      <c r="D610" s="22"/>
      <c r="F610" s="22"/>
      <c r="G610" s="22"/>
      <c r="O610" s="22"/>
    </row>
    <row r="611">
      <c r="A611" s="22"/>
      <c r="C611" s="22"/>
      <c r="D611" s="22"/>
      <c r="F611" s="22"/>
      <c r="G611" s="22"/>
      <c r="O611" s="22"/>
    </row>
    <row r="612">
      <c r="A612" s="22"/>
      <c r="C612" s="22"/>
      <c r="D612" s="22"/>
      <c r="F612" s="22"/>
      <c r="G612" s="22"/>
      <c r="O612" s="22"/>
    </row>
    <row r="613">
      <c r="A613" s="22"/>
      <c r="C613" s="22"/>
      <c r="D613" s="22"/>
      <c r="F613" s="22"/>
      <c r="G613" s="22"/>
      <c r="O613" s="22"/>
    </row>
    <row r="614">
      <c r="A614" s="22"/>
      <c r="C614" s="22"/>
      <c r="D614" s="22"/>
      <c r="F614" s="22"/>
      <c r="G614" s="22"/>
      <c r="O614" s="22"/>
    </row>
    <row r="615">
      <c r="A615" s="22"/>
      <c r="C615" s="22"/>
      <c r="D615" s="22"/>
      <c r="F615" s="22"/>
      <c r="G615" s="22"/>
      <c r="O615" s="22"/>
    </row>
    <row r="616">
      <c r="A616" s="22"/>
      <c r="C616" s="22"/>
      <c r="D616" s="22"/>
      <c r="F616" s="22"/>
      <c r="G616" s="22"/>
      <c r="O616" s="22"/>
    </row>
    <row r="617">
      <c r="A617" s="22"/>
      <c r="C617" s="22"/>
      <c r="D617" s="22"/>
      <c r="F617" s="22"/>
      <c r="G617" s="22"/>
      <c r="O617" s="22"/>
    </row>
    <row r="618">
      <c r="A618" s="22"/>
      <c r="C618" s="22"/>
      <c r="D618" s="22"/>
      <c r="F618" s="22"/>
      <c r="G618" s="22"/>
      <c r="O618" s="22"/>
    </row>
    <row r="619">
      <c r="A619" s="22"/>
      <c r="C619" s="22"/>
      <c r="D619" s="22"/>
      <c r="F619" s="22"/>
      <c r="G619" s="22"/>
      <c r="O619" s="22"/>
    </row>
    <row r="620">
      <c r="A620" s="22"/>
      <c r="C620" s="22"/>
      <c r="D620" s="22"/>
      <c r="F620" s="22"/>
      <c r="G620" s="22"/>
      <c r="O620" s="22"/>
    </row>
    <row r="621">
      <c r="A621" s="22"/>
      <c r="C621" s="22"/>
      <c r="D621" s="22"/>
      <c r="F621" s="22"/>
      <c r="G621" s="22"/>
      <c r="O621" s="22"/>
    </row>
    <row r="622">
      <c r="A622" s="22"/>
      <c r="C622" s="22"/>
      <c r="D622" s="22"/>
      <c r="F622" s="22"/>
      <c r="G622" s="22"/>
      <c r="O622" s="22"/>
    </row>
    <row r="623">
      <c r="A623" s="22"/>
      <c r="C623" s="22"/>
      <c r="D623" s="22"/>
      <c r="F623" s="22"/>
      <c r="G623" s="22"/>
      <c r="O623" s="22"/>
    </row>
    <row r="624">
      <c r="A624" s="22"/>
      <c r="C624" s="22"/>
      <c r="D624" s="22"/>
      <c r="F624" s="22"/>
      <c r="G624" s="22"/>
      <c r="O624" s="22"/>
    </row>
    <row r="625">
      <c r="A625" s="22"/>
      <c r="C625" s="22"/>
      <c r="D625" s="22"/>
      <c r="F625" s="22"/>
      <c r="G625" s="22"/>
      <c r="O625" s="22"/>
    </row>
    <row r="626">
      <c r="A626" s="22"/>
      <c r="C626" s="22"/>
      <c r="D626" s="22"/>
      <c r="F626" s="22"/>
      <c r="G626" s="22"/>
      <c r="O626" s="22"/>
    </row>
    <row r="627">
      <c r="A627" s="22"/>
      <c r="C627" s="22"/>
      <c r="D627" s="22"/>
      <c r="F627" s="22"/>
      <c r="G627" s="22"/>
      <c r="O627" s="22"/>
    </row>
    <row r="628">
      <c r="A628" s="22"/>
      <c r="C628" s="22"/>
      <c r="D628" s="22"/>
      <c r="F628" s="22"/>
      <c r="G628" s="22"/>
      <c r="O628" s="22"/>
    </row>
    <row r="629">
      <c r="A629" s="22"/>
      <c r="C629" s="22"/>
      <c r="D629" s="22"/>
      <c r="F629" s="22"/>
      <c r="G629" s="22"/>
      <c r="O629" s="22"/>
    </row>
    <row r="630">
      <c r="A630" s="22"/>
      <c r="C630" s="22"/>
      <c r="D630" s="22"/>
      <c r="F630" s="22"/>
      <c r="G630" s="22"/>
      <c r="O630" s="22"/>
    </row>
    <row r="631">
      <c r="A631" s="22"/>
      <c r="C631" s="22"/>
      <c r="D631" s="22"/>
      <c r="F631" s="22"/>
      <c r="G631" s="22"/>
      <c r="O631" s="22"/>
    </row>
    <row r="632">
      <c r="A632" s="22"/>
      <c r="C632" s="22"/>
      <c r="D632" s="22"/>
      <c r="F632" s="22"/>
      <c r="G632" s="22"/>
      <c r="O632" s="22"/>
    </row>
    <row r="633">
      <c r="A633" s="22"/>
      <c r="C633" s="22"/>
      <c r="D633" s="22"/>
      <c r="F633" s="22"/>
      <c r="G633" s="22"/>
      <c r="O633" s="22"/>
    </row>
    <row r="634">
      <c r="A634" s="22"/>
      <c r="C634" s="22"/>
      <c r="D634" s="22"/>
      <c r="F634" s="22"/>
      <c r="G634" s="22"/>
      <c r="O634" s="22"/>
    </row>
    <row r="635">
      <c r="A635" s="22"/>
      <c r="C635" s="22"/>
      <c r="D635" s="22"/>
      <c r="F635" s="22"/>
      <c r="G635" s="22"/>
      <c r="O635" s="22"/>
    </row>
    <row r="636">
      <c r="A636" s="22"/>
      <c r="C636" s="22"/>
      <c r="D636" s="22"/>
      <c r="F636" s="22"/>
      <c r="G636" s="22"/>
      <c r="O636" s="22"/>
    </row>
    <row r="637">
      <c r="A637" s="22"/>
      <c r="C637" s="22"/>
      <c r="D637" s="22"/>
      <c r="F637" s="22"/>
      <c r="G637" s="22"/>
      <c r="O637" s="22"/>
    </row>
    <row r="638">
      <c r="A638" s="22"/>
      <c r="C638" s="22"/>
      <c r="D638" s="22"/>
      <c r="F638" s="22"/>
      <c r="G638" s="22"/>
      <c r="O638" s="22"/>
    </row>
    <row r="639">
      <c r="A639" s="22"/>
      <c r="C639" s="22"/>
      <c r="D639" s="22"/>
      <c r="F639" s="22"/>
      <c r="G639" s="22"/>
      <c r="O639" s="22"/>
    </row>
    <row r="640">
      <c r="A640" s="22"/>
      <c r="C640" s="22"/>
      <c r="D640" s="22"/>
      <c r="F640" s="22"/>
      <c r="G640" s="22"/>
      <c r="O640" s="22"/>
    </row>
    <row r="641">
      <c r="A641" s="22"/>
      <c r="C641" s="22"/>
      <c r="D641" s="22"/>
      <c r="F641" s="22"/>
      <c r="G641" s="22"/>
      <c r="O641" s="22"/>
    </row>
    <row r="642">
      <c r="A642" s="22"/>
      <c r="C642" s="22"/>
      <c r="D642" s="22"/>
      <c r="F642" s="22"/>
      <c r="G642" s="22"/>
      <c r="O642" s="22"/>
    </row>
    <row r="643">
      <c r="A643" s="22"/>
      <c r="C643" s="22"/>
      <c r="D643" s="22"/>
      <c r="F643" s="22"/>
      <c r="G643" s="22"/>
      <c r="O643" s="22"/>
    </row>
    <row r="644">
      <c r="A644" s="22"/>
      <c r="C644" s="22"/>
      <c r="D644" s="22"/>
      <c r="F644" s="22"/>
      <c r="G644" s="22"/>
      <c r="O644" s="22"/>
    </row>
    <row r="645">
      <c r="A645" s="22"/>
      <c r="C645" s="22"/>
      <c r="D645" s="22"/>
      <c r="F645" s="22"/>
      <c r="G645" s="22"/>
      <c r="O645" s="22"/>
    </row>
    <row r="646">
      <c r="A646" s="22"/>
      <c r="C646" s="22"/>
      <c r="D646" s="22"/>
      <c r="F646" s="22"/>
      <c r="G646" s="22"/>
      <c r="O646" s="22"/>
    </row>
    <row r="647">
      <c r="A647" s="22"/>
      <c r="C647" s="22"/>
      <c r="D647" s="22"/>
      <c r="F647" s="22"/>
      <c r="G647" s="22"/>
      <c r="O647" s="22"/>
    </row>
    <row r="648">
      <c r="A648" s="22"/>
      <c r="C648" s="22"/>
      <c r="D648" s="22"/>
      <c r="F648" s="22"/>
      <c r="G648" s="22"/>
      <c r="O648" s="22"/>
    </row>
    <row r="649">
      <c r="A649" s="22"/>
      <c r="C649" s="22"/>
      <c r="D649" s="22"/>
      <c r="F649" s="22"/>
      <c r="G649" s="22"/>
      <c r="O649" s="22"/>
    </row>
    <row r="650">
      <c r="A650" s="22"/>
      <c r="C650" s="22"/>
      <c r="D650" s="22"/>
      <c r="F650" s="22"/>
      <c r="G650" s="22"/>
      <c r="O650" s="22"/>
    </row>
    <row r="651">
      <c r="A651" s="22"/>
      <c r="C651" s="22"/>
      <c r="D651" s="22"/>
      <c r="F651" s="22"/>
      <c r="G651" s="22"/>
      <c r="O651" s="22"/>
    </row>
    <row r="652">
      <c r="A652" s="22"/>
      <c r="C652" s="22"/>
      <c r="D652" s="22"/>
      <c r="F652" s="22"/>
      <c r="G652" s="22"/>
      <c r="O652" s="22"/>
    </row>
    <row r="653">
      <c r="A653" s="22"/>
      <c r="C653" s="22"/>
      <c r="D653" s="22"/>
      <c r="F653" s="22"/>
      <c r="G653" s="22"/>
      <c r="O653" s="22"/>
    </row>
    <row r="654">
      <c r="A654" s="22"/>
      <c r="C654" s="22"/>
      <c r="D654" s="22"/>
      <c r="F654" s="22"/>
      <c r="G654" s="22"/>
      <c r="O654" s="22"/>
    </row>
    <row r="655">
      <c r="A655" s="22"/>
      <c r="C655" s="22"/>
      <c r="D655" s="22"/>
      <c r="F655" s="22"/>
      <c r="G655" s="22"/>
      <c r="O655" s="22"/>
    </row>
    <row r="656">
      <c r="A656" s="22"/>
      <c r="C656" s="22"/>
      <c r="D656" s="22"/>
      <c r="F656" s="22"/>
      <c r="G656" s="22"/>
      <c r="O656" s="22"/>
    </row>
    <row r="657">
      <c r="A657" s="22"/>
      <c r="C657" s="22"/>
      <c r="D657" s="22"/>
      <c r="F657" s="22"/>
      <c r="G657" s="22"/>
      <c r="O657" s="22"/>
    </row>
    <row r="658">
      <c r="A658" s="22"/>
      <c r="C658" s="22"/>
      <c r="D658" s="22"/>
      <c r="F658" s="22"/>
      <c r="G658" s="22"/>
      <c r="O658" s="22"/>
    </row>
    <row r="659">
      <c r="A659" s="22"/>
      <c r="C659" s="22"/>
      <c r="D659" s="22"/>
      <c r="F659" s="22"/>
      <c r="G659" s="22"/>
      <c r="O659" s="22"/>
    </row>
    <row r="660">
      <c r="A660" s="22"/>
      <c r="C660" s="22"/>
      <c r="D660" s="22"/>
      <c r="F660" s="22"/>
      <c r="G660" s="22"/>
      <c r="O660" s="22"/>
    </row>
    <row r="661">
      <c r="A661" s="22"/>
      <c r="C661" s="22"/>
      <c r="D661" s="22"/>
      <c r="F661" s="22"/>
      <c r="G661" s="22"/>
      <c r="O661" s="22"/>
    </row>
    <row r="662">
      <c r="A662" s="22"/>
      <c r="C662" s="22"/>
      <c r="D662" s="22"/>
      <c r="F662" s="22"/>
      <c r="G662" s="22"/>
      <c r="O662" s="22"/>
    </row>
    <row r="663">
      <c r="A663" s="22"/>
      <c r="C663" s="22"/>
      <c r="D663" s="22"/>
      <c r="F663" s="22"/>
      <c r="G663" s="22"/>
      <c r="O663" s="22"/>
    </row>
    <row r="664">
      <c r="A664" s="22"/>
      <c r="C664" s="22"/>
      <c r="D664" s="22"/>
      <c r="F664" s="22"/>
      <c r="G664" s="22"/>
      <c r="O664" s="22"/>
    </row>
    <row r="665">
      <c r="A665" s="22"/>
      <c r="C665" s="22"/>
      <c r="D665" s="22"/>
      <c r="F665" s="22"/>
      <c r="G665" s="22"/>
      <c r="O665" s="22"/>
    </row>
    <row r="666">
      <c r="A666" s="22"/>
      <c r="C666" s="22"/>
      <c r="D666" s="22"/>
      <c r="F666" s="22"/>
      <c r="G666" s="22"/>
      <c r="O666" s="22"/>
    </row>
    <row r="667">
      <c r="A667" s="22"/>
      <c r="C667" s="22"/>
      <c r="D667" s="22"/>
      <c r="F667" s="22"/>
      <c r="G667" s="22"/>
      <c r="O667" s="22"/>
    </row>
    <row r="668">
      <c r="A668" s="22"/>
      <c r="C668" s="22"/>
      <c r="D668" s="22"/>
      <c r="F668" s="22"/>
      <c r="G668" s="22"/>
      <c r="O668" s="22"/>
    </row>
    <row r="669">
      <c r="A669" s="22"/>
      <c r="C669" s="22"/>
      <c r="D669" s="22"/>
      <c r="F669" s="22"/>
      <c r="G669" s="22"/>
      <c r="O669" s="22"/>
    </row>
    <row r="670">
      <c r="A670" s="22"/>
      <c r="C670" s="22"/>
      <c r="D670" s="22"/>
      <c r="F670" s="22"/>
      <c r="G670" s="22"/>
      <c r="O670" s="22"/>
    </row>
    <row r="671">
      <c r="A671" s="22"/>
      <c r="C671" s="22"/>
      <c r="D671" s="22"/>
      <c r="F671" s="22"/>
      <c r="G671" s="22"/>
      <c r="O671" s="22"/>
    </row>
    <row r="672">
      <c r="A672" s="22"/>
      <c r="C672" s="22"/>
      <c r="D672" s="22"/>
      <c r="F672" s="22"/>
      <c r="G672" s="22"/>
      <c r="O672" s="22"/>
    </row>
    <row r="673">
      <c r="A673" s="22"/>
      <c r="C673" s="22"/>
      <c r="D673" s="22"/>
      <c r="F673" s="22"/>
      <c r="G673" s="22"/>
      <c r="O673" s="22"/>
    </row>
    <row r="674">
      <c r="A674" s="22"/>
      <c r="C674" s="22"/>
      <c r="D674" s="22"/>
      <c r="F674" s="22"/>
      <c r="G674" s="22"/>
      <c r="O674" s="22"/>
    </row>
    <row r="675">
      <c r="A675" s="22"/>
      <c r="C675" s="22"/>
      <c r="D675" s="22"/>
      <c r="F675" s="22"/>
      <c r="G675" s="22"/>
      <c r="O675" s="22"/>
    </row>
    <row r="676">
      <c r="A676" s="22"/>
      <c r="C676" s="22"/>
      <c r="D676" s="22"/>
      <c r="F676" s="22"/>
      <c r="G676" s="22"/>
      <c r="O676" s="22"/>
    </row>
    <row r="677">
      <c r="A677" s="22"/>
      <c r="C677" s="22"/>
      <c r="D677" s="22"/>
      <c r="F677" s="22"/>
      <c r="G677" s="22"/>
      <c r="O677" s="22"/>
    </row>
    <row r="678">
      <c r="A678" s="22"/>
      <c r="C678" s="22"/>
      <c r="D678" s="22"/>
      <c r="F678" s="22"/>
      <c r="G678" s="22"/>
      <c r="O678" s="22"/>
    </row>
    <row r="679">
      <c r="A679" s="22"/>
      <c r="C679" s="22"/>
      <c r="D679" s="22"/>
      <c r="F679" s="22"/>
      <c r="G679" s="22"/>
      <c r="O679" s="22"/>
    </row>
    <row r="680">
      <c r="A680" s="22"/>
      <c r="C680" s="22"/>
      <c r="D680" s="22"/>
      <c r="F680" s="22"/>
      <c r="G680" s="22"/>
      <c r="O680" s="22"/>
    </row>
    <row r="681">
      <c r="A681" s="22"/>
      <c r="C681" s="22"/>
      <c r="D681" s="22"/>
      <c r="F681" s="22"/>
      <c r="G681" s="22"/>
      <c r="O681" s="22"/>
    </row>
    <row r="682">
      <c r="A682" s="22"/>
      <c r="C682" s="22"/>
      <c r="D682" s="22"/>
      <c r="F682" s="22"/>
      <c r="G682" s="22"/>
      <c r="O682" s="22"/>
    </row>
    <row r="683">
      <c r="A683" s="22"/>
      <c r="C683" s="22"/>
      <c r="D683" s="22"/>
      <c r="F683" s="22"/>
      <c r="G683" s="22"/>
      <c r="O683" s="22"/>
    </row>
    <row r="684">
      <c r="A684" s="22"/>
      <c r="C684" s="22"/>
      <c r="D684" s="22"/>
      <c r="F684" s="22"/>
      <c r="G684" s="22"/>
      <c r="O684" s="22"/>
    </row>
    <row r="685">
      <c r="A685" s="22"/>
      <c r="C685" s="22"/>
      <c r="D685" s="22"/>
      <c r="F685" s="22"/>
      <c r="G685" s="22"/>
      <c r="O685" s="22"/>
    </row>
    <row r="686">
      <c r="A686" s="22"/>
      <c r="C686" s="22"/>
      <c r="D686" s="22"/>
      <c r="F686" s="22"/>
      <c r="G686" s="22"/>
      <c r="O686" s="22"/>
    </row>
    <row r="687">
      <c r="A687" s="22"/>
      <c r="C687" s="22"/>
      <c r="D687" s="22"/>
      <c r="F687" s="22"/>
      <c r="G687" s="22"/>
      <c r="O687" s="22"/>
    </row>
    <row r="688">
      <c r="A688" s="22"/>
      <c r="C688" s="22"/>
      <c r="D688" s="22"/>
      <c r="F688" s="22"/>
      <c r="G688" s="22"/>
      <c r="O688" s="22"/>
    </row>
    <row r="689">
      <c r="A689" s="22"/>
      <c r="C689" s="22"/>
      <c r="D689" s="22"/>
      <c r="F689" s="22"/>
      <c r="G689" s="22"/>
      <c r="O689" s="22"/>
    </row>
    <row r="690">
      <c r="A690" s="22"/>
      <c r="C690" s="22"/>
      <c r="D690" s="22"/>
      <c r="F690" s="22"/>
      <c r="G690" s="22"/>
      <c r="O690" s="22"/>
    </row>
    <row r="691">
      <c r="A691" s="22"/>
      <c r="C691" s="22"/>
      <c r="D691" s="22"/>
      <c r="F691" s="22"/>
      <c r="G691" s="22"/>
      <c r="O691" s="22"/>
    </row>
    <row r="692">
      <c r="A692" s="22"/>
      <c r="C692" s="22"/>
      <c r="D692" s="22"/>
      <c r="F692" s="22"/>
      <c r="G692" s="22"/>
      <c r="O692" s="22"/>
    </row>
    <row r="693">
      <c r="A693" s="22"/>
      <c r="C693" s="22"/>
      <c r="D693" s="22"/>
      <c r="F693" s="22"/>
      <c r="G693" s="22"/>
      <c r="O693" s="22"/>
    </row>
    <row r="694">
      <c r="A694" s="22"/>
      <c r="C694" s="22"/>
      <c r="D694" s="22"/>
      <c r="F694" s="22"/>
      <c r="G694" s="22"/>
      <c r="O694" s="22"/>
    </row>
    <row r="695">
      <c r="A695" s="22"/>
      <c r="C695" s="22"/>
      <c r="D695" s="22"/>
      <c r="F695" s="22"/>
      <c r="G695" s="22"/>
      <c r="O695" s="22"/>
    </row>
    <row r="696">
      <c r="A696" s="22"/>
      <c r="C696" s="22"/>
      <c r="D696" s="22"/>
      <c r="F696" s="22"/>
      <c r="G696" s="22"/>
      <c r="O696" s="22"/>
    </row>
    <row r="697">
      <c r="A697" s="22"/>
      <c r="C697" s="22"/>
      <c r="D697" s="22"/>
      <c r="F697" s="22"/>
      <c r="G697" s="22"/>
      <c r="O697" s="22"/>
    </row>
    <row r="698">
      <c r="A698" s="22"/>
      <c r="C698" s="22"/>
      <c r="D698" s="22"/>
      <c r="F698" s="22"/>
      <c r="G698" s="22"/>
      <c r="O698" s="22"/>
    </row>
    <row r="699">
      <c r="A699" s="22"/>
      <c r="C699" s="22"/>
      <c r="D699" s="22"/>
      <c r="F699" s="22"/>
      <c r="G699" s="22"/>
      <c r="O699" s="22"/>
    </row>
    <row r="700">
      <c r="A700" s="22"/>
      <c r="C700" s="22"/>
      <c r="D700" s="22"/>
      <c r="F700" s="22"/>
      <c r="G700" s="22"/>
      <c r="O700" s="22"/>
    </row>
    <row r="701">
      <c r="A701" s="22"/>
      <c r="C701" s="22"/>
      <c r="D701" s="22"/>
      <c r="F701" s="22"/>
      <c r="G701" s="22"/>
      <c r="O701" s="22"/>
    </row>
    <row r="702">
      <c r="A702" s="22"/>
      <c r="C702" s="22"/>
      <c r="D702" s="22"/>
      <c r="F702" s="22"/>
      <c r="G702" s="22"/>
      <c r="O702" s="22"/>
    </row>
    <row r="703">
      <c r="A703" s="22"/>
      <c r="C703" s="22"/>
      <c r="D703" s="22"/>
      <c r="F703" s="22"/>
      <c r="G703" s="22"/>
      <c r="O703" s="22"/>
    </row>
    <row r="704">
      <c r="A704" s="22"/>
      <c r="C704" s="22"/>
      <c r="D704" s="22"/>
      <c r="F704" s="22"/>
      <c r="G704" s="22"/>
      <c r="O704" s="22"/>
    </row>
    <row r="705">
      <c r="A705" s="22"/>
      <c r="C705" s="22"/>
      <c r="D705" s="22"/>
      <c r="F705" s="22"/>
      <c r="G705" s="22"/>
      <c r="O705" s="22"/>
    </row>
    <row r="706">
      <c r="A706" s="22"/>
      <c r="C706" s="22"/>
      <c r="D706" s="22"/>
      <c r="F706" s="22"/>
      <c r="G706" s="22"/>
      <c r="O706" s="22"/>
    </row>
    <row r="707">
      <c r="A707" s="22"/>
      <c r="C707" s="22"/>
      <c r="D707" s="22"/>
      <c r="F707" s="22"/>
      <c r="G707" s="22"/>
      <c r="O707" s="22"/>
    </row>
    <row r="708">
      <c r="A708" s="22"/>
      <c r="C708" s="22"/>
      <c r="D708" s="22"/>
      <c r="F708" s="22"/>
      <c r="G708" s="22"/>
      <c r="O708" s="22"/>
    </row>
    <row r="709">
      <c r="A709" s="22"/>
      <c r="C709" s="22"/>
      <c r="D709" s="22"/>
      <c r="F709" s="22"/>
      <c r="G709" s="22"/>
      <c r="O709" s="22"/>
    </row>
    <row r="710">
      <c r="A710" s="22"/>
      <c r="C710" s="22"/>
      <c r="D710" s="22"/>
      <c r="F710" s="22"/>
      <c r="G710" s="22"/>
      <c r="O710" s="22"/>
    </row>
    <row r="711">
      <c r="A711" s="22"/>
      <c r="C711" s="22"/>
      <c r="D711" s="22"/>
      <c r="F711" s="22"/>
      <c r="G711" s="22"/>
      <c r="O711" s="22"/>
    </row>
    <row r="712">
      <c r="A712" s="22"/>
      <c r="C712" s="22"/>
      <c r="D712" s="22"/>
      <c r="F712" s="22"/>
      <c r="G712" s="22"/>
      <c r="O712" s="22"/>
    </row>
    <row r="713">
      <c r="A713" s="22"/>
      <c r="C713" s="22"/>
      <c r="D713" s="22"/>
      <c r="F713" s="22"/>
      <c r="G713" s="22"/>
      <c r="O713" s="22"/>
    </row>
  </sheetData>
  <mergeCells count="5">
    <mergeCell ref="A1:J1"/>
    <mergeCell ref="A2:B2"/>
    <mergeCell ref="A3:B3"/>
    <mergeCell ref="A4:B4"/>
    <mergeCell ref="A5:B5"/>
  </mergeCells>
  <conditionalFormatting sqref="L8:L30">
    <cfRule type="containsText" dxfId="0" priority="1" operator="containsText" text="Vàng">
      <formula>NOT(ISERROR(SEARCH(("Vàng"),(L8))))</formula>
    </cfRule>
  </conditionalFormatting>
  <conditionalFormatting sqref="L8:L30">
    <cfRule type="containsText" dxfId="1" priority="2" operator="containsText" text="Xanh">
      <formula>NOT(ISERROR(SEARCH(("Xanh"),(L8))))</formula>
    </cfRule>
  </conditionalFormatting>
  <conditionalFormatting sqref="L8:L30">
    <cfRule type="containsText" dxfId="2" priority="3" operator="containsText" text="Đỏ">
      <formula>NOT(ISERROR(SEARCH(("Đỏ"),(L8))))</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6" max="6" width="14.88"/>
    <col customWidth="1" min="8" max="8" width="28.13"/>
    <col customWidth="1" min="9" max="9" width="29.25"/>
  </cols>
  <sheetData>
    <row r="7">
      <c r="A7" s="59" t="s">
        <v>14</v>
      </c>
      <c r="B7" s="84" t="s">
        <v>15</v>
      </c>
      <c r="C7" s="84" t="s">
        <v>17</v>
      </c>
      <c r="D7" s="84" t="s">
        <v>18</v>
      </c>
      <c r="E7" s="59" t="s">
        <v>19</v>
      </c>
      <c r="F7" s="85" t="s">
        <v>20</v>
      </c>
      <c r="G7" s="85" t="s">
        <v>21</v>
      </c>
      <c r="H7" s="90" t="s">
        <v>22</v>
      </c>
      <c r="I7" s="85" t="s">
        <v>23</v>
      </c>
      <c r="J7" s="59" t="s">
        <v>36</v>
      </c>
      <c r="K7" s="90" t="s">
        <v>25</v>
      </c>
      <c r="L7" s="59" t="s">
        <v>266</v>
      </c>
    </row>
    <row r="8">
      <c r="A8" s="40">
        <v>1.0</v>
      </c>
      <c r="B8" s="121">
        <v>1.0746692726E11</v>
      </c>
      <c r="C8" s="121" t="s">
        <v>37</v>
      </c>
      <c r="D8" s="42" t="s">
        <v>369</v>
      </c>
      <c r="E8" s="121" t="s">
        <v>115</v>
      </c>
      <c r="F8" s="121">
        <v>1.32500036580125E14</v>
      </c>
      <c r="G8" s="122" t="s">
        <v>370</v>
      </c>
      <c r="H8" s="81" t="s">
        <v>6</v>
      </c>
      <c r="I8" s="121" t="s">
        <v>11</v>
      </c>
      <c r="J8" s="121" t="s">
        <v>61</v>
      </c>
      <c r="K8" s="40" t="s">
        <v>43</v>
      </c>
      <c r="L8" s="123" t="s">
        <v>371</v>
      </c>
    </row>
    <row r="9">
      <c r="A9" s="40">
        <v>2.0</v>
      </c>
      <c r="B9" s="121">
        <v>1.0756488036E11</v>
      </c>
      <c r="C9" s="121" t="s">
        <v>37</v>
      </c>
      <c r="D9" s="42">
        <v>45929.0</v>
      </c>
      <c r="E9" s="121" t="s">
        <v>115</v>
      </c>
      <c r="F9" s="121">
        <v>1.32500037974016E14</v>
      </c>
      <c r="G9" s="122" t="s">
        <v>372</v>
      </c>
      <c r="H9" s="81" t="s">
        <v>6</v>
      </c>
      <c r="I9" s="121" t="s">
        <v>11</v>
      </c>
      <c r="J9" s="121" t="s">
        <v>61</v>
      </c>
      <c r="K9" s="40" t="s">
        <v>43</v>
      </c>
      <c r="L9" s="123" t="s">
        <v>371</v>
      </c>
    </row>
    <row r="10">
      <c r="A10" s="40">
        <v>3.0</v>
      </c>
      <c r="B10" s="121">
        <v>1.0765275932E11</v>
      </c>
      <c r="C10" s="121" t="s">
        <v>37</v>
      </c>
      <c r="D10" s="42">
        <v>45958.0</v>
      </c>
      <c r="E10" s="121" t="s">
        <v>115</v>
      </c>
      <c r="F10" s="121">
        <v>1.32500039250538E14</v>
      </c>
      <c r="G10" s="122" t="s">
        <v>373</v>
      </c>
      <c r="H10" s="81" t="s">
        <v>6</v>
      </c>
      <c r="I10" s="121" t="s">
        <v>11</v>
      </c>
      <c r="J10" s="124" t="s">
        <v>61</v>
      </c>
      <c r="K10" s="40" t="s">
        <v>43</v>
      </c>
      <c r="L10" s="123" t="s">
        <v>371</v>
      </c>
    </row>
    <row r="11">
      <c r="A11" s="40">
        <v>4.0</v>
      </c>
      <c r="B11" s="121">
        <v>1.077484477E11</v>
      </c>
      <c r="C11" s="121" t="s">
        <v>37</v>
      </c>
      <c r="D11" s="42">
        <v>45988.0</v>
      </c>
      <c r="E11" s="121" t="s">
        <v>115</v>
      </c>
      <c r="F11" s="121">
        <v>1.3250004059453E14</v>
      </c>
      <c r="G11" s="122" t="s">
        <v>374</v>
      </c>
      <c r="H11" s="81" t="s">
        <v>6</v>
      </c>
      <c r="I11" s="121" t="s">
        <v>11</v>
      </c>
      <c r="J11" s="121" t="s">
        <v>61</v>
      </c>
      <c r="K11" s="40" t="s">
        <v>43</v>
      </c>
      <c r="L11" s="123"/>
    </row>
    <row r="12">
      <c r="A12" s="40">
        <v>5.0</v>
      </c>
      <c r="B12" s="121">
        <v>1.078277206E11</v>
      </c>
      <c r="C12" s="121" t="s">
        <v>37</v>
      </c>
      <c r="D12" s="42">
        <v>46014.0</v>
      </c>
      <c r="E12" s="121" t="s">
        <v>115</v>
      </c>
      <c r="F12" s="121">
        <v>1.32500041657058E14</v>
      </c>
      <c r="G12" s="122" t="s">
        <v>116</v>
      </c>
      <c r="H12" s="81" t="s">
        <v>6</v>
      </c>
      <c r="I12" s="121" t="s">
        <v>11</v>
      </c>
      <c r="J12" s="121" t="s">
        <v>61</v>
      </c>
      <c r="K12" s="40" t="s">
        <v>43</v>
      </c>
      <c r="L12" s="123"/>
    </row>
    <row r="13">
      <c r="A13" s="40">
        <v>6.0</v>
      </c>
      <c r="B13" s="81">
        <v>3.07889340641E11</v>
      </c>
      <c r="C13" s="81" t="s">
        <v>194</v>
      </c>
      <c r="D13" s="82">
        <v>45953.0</v>
      </c>
      <c r="E13" s="81" t="s">
        <v>115</v>
      </c>
      <c r="F13" s="81">
        <v>1.32500039057694E14</v>
      </c>
      <c r="G13" s="125" t="s">
        <v>375</v>
      </c>
      <c r="H13" s="81" t="s">
        <v>5</v>
      </c>
      <c r="I13" s="81" t="s">
        <v>226</v>
      </c>
      <c r="J13" s="81" t="s">
        <v>61</v>
      </c>
      <c r="K13" s="40" t="s">
        <v>376</v>
      </c>
      <c r="L13" s="123"/>
    </row>
  </sheetData>
  <conditionalFormatting sqref="K12:K13">
    <cfRule type="containsText" dxfId="0" priority="1" operator="containsText" text="Vàng">
      <formula>NOT(ISERROR(SEARCH(("Vàng"),(K12))))</formula>
    </cfRule>
  </conditionalFormatting>
  <conditionalFormatting sqref="K12:K13">
    <cfRule type="containsText" dxfId="1" priority="2" operator="containsText" text="Xanh">
      <formula>NOT(ISERROR(SEARCH(("Xanh"),(K12))))</formula>
    </cfRule>
  </conditionalFormatting>
  <conditionalFormatting sqref="K12:K13">
    <cfRule type="containsText" dxfId="2" priority="3" operator="containsText" text="Đỏ">
      <formula>NOT(ISERROR(SEARCH(("Đỏ"),(K12))))</formula>
    </cfRule>
  </conditionalFormatting>
  <conditionalFormatting sqref="K11">
    <cfRule type="containsText" dxfId="0" priority="4" operator="containsText" text="Vàng">
      <formula>NOT(ISERROR(SEARCH(("Vàng"),(K11))))</formula>
    </cfRule>
  </conditionalFormatting>
  <conditionalFormatting sqref="K11">
    <cfRule type="containsText" dxfId="1" priority="5" operator="containsText" text="Xanh">
      <formula>NOT(ISERROR(SEARCH(("Xanh"),(K11))))</formula>
    </cfRule>
  </conditionalFormatting>
  <conditionalFormatting sqref="K11">
    <cfRule type="containsText" dxfId="2" priority="6" operator="containsText" text="Đỏ">
      <formula>NOT(ISERROR(SEARCH(("Đỏ"),(K11))))</formula>
    </cfRule>
  </conditionalFormatting>
  <conditionalFormatting sqref="K10">
    <cfRule type="containsText" dxfId="0" priority="7" operator="containsText" text="Vàng">
      <formula>NOT(ISERROR(SEARCH(("Vàng"),(K10))))</formula>
    </cfRule>
  </conditionalFormatting>
  <conditionalFormatting sqref="K10">
    <cfRule type="containsText" dxfId="1" priority="8" operator="containsText" text="Xanh">
      <formula>NOT(ISERROR(SEARCH(("Xanh"),(K10))))</formula>
    </cfRule>
  </conditionalFormatting>
  <conditionalFormatting sqref="K10">
    <cfRule type="containsText" dxfId="2" priority="9" operator="containsText" text="Đỏ">
      <formula>NOT(ISERROR(SEARCH(("Đỏ"),(K10))))</formula>
    </cfRule>
  </conditionalFormatting>
  <conditionalFormatting sqref="K9">
    <cfRule type="containsText" dxfId="0" priority="10" operator="containsText" text="Vàng">
      <formula>NOT(ISERROR(SEARCH(("Vàng"),(K9))))</formula>
    </cfRule>
  </conditionalFormatting>
  <conditionalFormatting sqref="K9">
    <cfRule type="containsText" dxfId="1" priority="11" operator="containsText" text="Xanh">
      <formula>NOT(ISERROR(SEARCH(("Xanh"),(K9))))</formula>
    </cfRule>
  </conditionalFormatting>
  <conditionalFormatting sqref="K9">
    <cfRule type="containsText" dxfId="2" priority="12" operator="containsText" text="Đỏ">
      <formula>NOT(ISERROR(SEARCH(("Đỏ"),(K9))))</formula>
    </cfRule>
  </conditionalFormatting>
  <conditionalFormatting sqref="K8">
    <cfRule type="containsText" dxfId="0" priority="13" operator="containsText" text="Vàng">
      <formula>NOT(ISERROR(SEARCH(("Vàng"),(K8))))</formula>
    </cfRule>
  </conditionalFormatting>
  <conditionalFormatting sqref="K8">
    <cfRule type="containsText" dxfId="1" priority="14" operator="containsText" text="Xanh">
      <formula>NOT(ISERROR(SEARCH(("Xanh"),(K8))))</formula>
    </cfRule>
  </conditionalFormatting>
  <conditionalFormatting sqref="K8">
    <cfRule type="containsText" dxfId="2" priority="15" operator="containsText" text="Đỏ">
      <formula>NOT(ISERROR(SEARCH(("Đỏ"),(K8))))</formula>
    </cfRule>
  </conditionalFormatting>
  <conditionalFormatting sqref="K7">
    <cfRule type="containsText" dxfId="0" priority="16" operator="containsText" text="Vàng">
      <formula>NOT(ISERROR(SEARCH(("Vàng"),(K7))))</formula>
    </cfRule>
  </conditionalFormatting>
  <conditionalFormatting sqref="K7">
    <cfRule type="containsText" dxfId="1" priority="17" operator="containsText" text="Xanh">
      <formula>NOT(ISERROR(SEARCH(("Xanh"),(K7))))</formula>
    </cfRule>
  </conditionalFormatting>
  <conditionalFormatting sqref="K7">
    <cfRule type="containsText" dxfId="2" priority="18" operator="containsText" text="Đỏ">
      <formula>NOT(ISERROR(SEARCH(("Đỏ"),(K7))))</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96" t="s">
        <v>377</v>
      </c>
    </row>
    <row r="4">
      <c r="C4" s="96" t="s">
        <v>378</v>
      </c>
      <c r="D4" s="96" t="s">
        <v>379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3.0"/>
    <col customWidth="1" hidden="1" min="3" max="3" width="11.0"/>
    <col customWidth="1" min="4" max="4" width="21.38"/>
    <col customWidth="1" min="5" max="5" width="14.0"/>
    <col customWidth="1" min="6" max="6" width="15.88"/>
    <col customWidth="1" min="7" max="7" width="21.0"/>
    <col customWidth="1" min="8" max="8" width="20.75"/>
    <col customWidth="1" min="9" max="9" width="31.88"/>
    <col customWidth="1" min="10" max="10" width="25.5"/>
    <col customWidth="1" min="11" max="11" width="15.0"/>
    <col customWidth="1" min="12" max="12" width="8.13"/>
    <col customWidth="1" min="13" max="13" width="12.13"/>
    <col customWidth="1" min="14" max="14" width="33.63"/>
  </cols>
  <sheetData>
    <row r="1">
      <c r="A1" s="18" t="s">
        <v>29</v>
      </c>
      <c r="I1" s="53"/>
      <c r="J1" s="21"/>
    </row>
    <row r="2">
      <c r="A2" s="126"/>
      <c r="B2" s="127"/>
      <c r="C2" s="127"/>
      <c r="D2" s="127"/>
      <c r="E2" s="127"/>
      <c r="F2" s="127"/>
      <c r="G2" s="127"/>
      <c r="H2" s="128"/>
      <c r="I2" s="128"/>
      <c r="J2" s="127"/>
    </row>
    <row r="3">
      <c r="A3" s="54" t="s">
        <v>30</v>
      </c>
      <c r="C3" s="129">
        <v>44745.0</v>
      </c>
      <c r="D3" s="25" t="s">
        <v>380</v>
      </c>
      <c r="E3" s="26"/>
      <c r="F3" s="27"/>
      <c r="G3" s="27"/>
      <c r="H3" s="20"/>
      <c r="I3" s="20"/>
      <c r="J3" s="28"/>
    </row>
    <row r="4">
      <c r="A4" s="54" t="s">
        <v>31</v>
      </c>
      <c r="C4" s="25" t="s">
        <v>32</v>
      </c>
      <c r="E4" s="27"/>
      <c r="F4" s="28"/>
      <c r="G4" s="27"/>
      <c r="H4" s="20"/>
      <c r="I4" s="20"/>
      <c r="J4" s="28"/>
    </row>
    <row r="5">
      <c r="A5" s="54" t="s">
        <v>33</v>
      </c>
      <c r="C5" s="30">
        <f> COUNTIF(L11:L1000,"TT")</f>
        <v>0</v>
      </c>
      <c r="E5" s="27"/>
      <c r="F5" s="27"/>
      <c r="G5" s="27"/>
      <c r="H5" s="20"/>
      <c r="I5" s="20"/>
      <c r="J5" s="27"/>
    </row>
    <row r="6">
      <c r="A6" s="54" t="s">
        <v>34</v>
      </c>
      <c r="C6" s="23"/>
      <c r="D6" s="30">
        <f>COUNTIF(L11:L1000,"A Tiến")</f>
        <v>0</v>
      </c>
      <c r="E6" s="31"/>
      <c r="F6" s="27"/>
      <c r="G6" s="27"/>
      <c r="H6" s="20"/>
      <c r="I6" s="20"/>
      <c r="J6" s="27"/>
    </row>
    <row r="7">
      <c r="A7" s="54" t="s">
        <v>35</v>
      </c>
      <c r="C7" s="25">
        <v>107.0</v>
      </c>
      <c r="D7" s="30">
        <f>SUM(C5:D6)</f>
        <v>0</v>
      </c>
      <c r="E7" s="27"/>
      <c r="F7" s="27"/>
      <c r="G7" s="27"/>
      <c r="H7" s="32"/>
      <c r="I7" s="32"/>
      <c r="J7" s="27"/>
    </row>
    <row r="8">
      <c r="A8" s="27"/>
      <c r="B8" s="27"/>
      <c r="C8" s="27"/>
      <c r="D8" s="27"/>
      <c r="E8" s="27"/>
      <c r="F8" s="27"/>
      <c r="G8" s="27"/>
      <c r="H8" s="20"/>
      <c r="I8" s="20"/>
      <c r="J8" s="27"/>
    </row>
    <row r="9">
      <c r="A9" s="59" t="s">
        <v>14</v>
      </c>
      <c r="B9" s="84" t="s">
        <v>381</v>
      </c>
      <c r="C9" s="59" t="s">
        <v>16</v>
      </c>
      <c r="D9" s="84" t="s">
        <v>382</v>
      </c>
      <c r="E9" s="85" t="s">
        <v>20</v>
      </c>
      <c r="F9" s="59" t="s">
        <v>383</v>
      </c>
      <c r="G9" s="85" t="s">
        <v>384</v>
      </c>
      <c r="H9" s="85" t="s">
        <v>385</v>
      </c>
      <c r="I9" s="90" t="s">
        <v>22</v>
      </c>
      <c r="J9" s="59" t="s">
        <v>36</v>
      </c>
      <c r="K9" s="90" t="s">
        <v>25</v>
      </c>
      <c r="L9" s="90" t="s">
        <v>26</v>
      </c>
      <c r="M9" s="59" t="s">
        <v>27</v>
      </c>
      <c r="N9" s="59" t="s">
        <v>28</v>
      </c>
    </row>
    <row r="10">
      <c r="A10" s="130">
        <v>1.0</v>
      </c>
      <c r="B10" s="131">
        <v>45969.0</v>
      </c>
      <c r="C10" s="132"/>
      <c r="D10" s="133" t="s">
        <v>386</v>
      </c>
      <c r="E10" s="134">
        <v>2.025081201E9</v>
      </c>
      <c r="F10" s="133" t="s">
        <v>387</v>
      </c>
      <c r="G10" s="133" t="s">
        <v>388</v>
      </c>
      <c r="H10" s="133" t="s">
        <v>389</v>
      </c>
      <c r="I10" s="133" t="s">
        <v>390</v>
      </c>
      <c r="J10" s="133"/>
      <c r="K10" s="130"/>
      <c r="L10" s="130"/>
      <c r="M10" s="130"/>
      <c r="N10" s="130"/>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135"/>
      <c r="BM10" s="135"/>
      <c r="BN10" s="135"/>
      <c r="BO10" s="135"/>
      <c r="BP10" s="135"/>
      <c r="BQ10" s="135"/>
      <c r="BR10" s="135"/>
      <c r="BS10" s="135"/>
      <c r="BT10" s="135"/>
      <c r="BU10" s="135"/>
      <c r="BV10" s="135"/>
      <c r="BW10" s="135"/>
      <c r="BX10" s="135"/>
      <c r="BY10" s="135"/>
      <c r="BZ10" s="135"/>
      <c r="CA10" s="135"/>
      <c r="CB10" s="135"/>
      <c r="CC10" s="135"/>
      <c r="CD10" s="135"/>
      <c r="CE10" s="135"/>
      <c r="CF10" s="135"/>
      <c r="CG10" s="135"/>
      <c r="CH10" s="135"/>
      <c r="CI10" s="135"/>
      <c r="CJ10" s="135"/>
      <c r="CK10" s="135"/>
      <c r="CL10" s="135"/>
      <c r="CM10" s="135"/>
      <c r="CN10" s="135"/>
      <c r="CO10" s="135"/>
      <c r="CP10" s="135"/>
      <c r="CQ10" s="135"/>
      <c r="CR10" s="135"/>
      <c r="CS10" s="135"/>
      <c r="CT10" s="135"/>
      <c r="CU10" s="135"/>
      <c r="CV10" s="135"/>
      <c r="CW10" s="135"/>
      <c r="CX10" s="135"/>
      <c r="CY10" s="135"/>
      <c r="CZ10" s="135"/>
      <c r="DA10" s="135"/>
      <c r="DB10" s="135"/>
      <c r="DC10" s="135"/>
      <c r="DD10" s="135"/>
    </row>
    <row r="11">
      <c r="A11" s="130">
        <v>2.0</v>
      </c>
      <c r="B11" s="131">
        <v>45969.0</v>
      </c>
      <c r="C11" s="132"/>
      <c r="D11" s="133" t="s">
        <v>391</v>
      </c>
      <c r="E11" s="134" t="s">
        <v>392</v>
      </c>
      <c r="F11" s="133" t="s">
        <v>393</v>
      </c>
      <c r="G11" s="133" t="s">
        <v>394</v>
      </c>
      <c r="H11" s="133" t="s">
        <v>395</v>
      </c>
      <c r="I11" s="133" t="s">
        <v>390</v>
      </c>
      <c r="J11" s="133"/>
      <c r="K11" s="130"/>
      <c r="L11" s="130"/>
      <c r="M11" s="130"/>
      <c r="N11" s="130"/>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135"/>
      <c r="CB11" s="135"/>
      <c r="CC11" s="135"/>
      <c r="CD11" s="135"/>
      <c r="CE11" s="135"/>
      <c r="CF11" s="135"/>
      <c r="CG11" s="135"/>
      <c r="CH11" s="135"/>
      <c r="CI11" s="135"/>
      <c r="CJ11" s="135"/>
      <c r="CK11" s="135"/>
      <c r="CL11" s="135"/>
      <c r="CM11" s="135"/>
      <c r="CN11" s="135"/>
      <c r="CO11" s="135"/>
      <c r="CP11" s="135"/>
      <c r="CQ11" s="135"/>
      <c r="CR11" s="135"/>
      <c r="CS11" s="135"/>
      <c r="CT11" s="135"/>
      <c r="CU11" s="135"/>
      <c r="CV11" s="135"/>
      <c r="CW11" s="135"/>
      <c r="CX11" s="135"/>
      <c r="CY11" s="135"/>
      <c r="CZ11" s="135"/>
      <c r="DA11" s="135"/>
      <c r="DB11" s="135"/>
      <c r="DC11" s="135"/>
      <c r="DD11" s="135"/>
    </row>
    <row r="12">
      <c r="A12" s="14">
        <v>3.0</v>
      </c>
      <c r="B12" s="136">
        <v>45969.0</v>
      </c>
      <c r="C12" s="83"/>
      <c r="D12" s="43" t="s">
        <v>396</v>
      </c>
      <c r="E12" s="81" t="s">
        <v>397</v>
      </c>
      <c r="F12" s="136">
        <v>45786.0</v>
      </c>
      <c r="G12" s="43" t="s">
        <v>398</v>
      </c>
      <c r="H12" s="43" t="s">
        <v>399</v>
      </c>
      <c r="I12" s="43" t="s">
        <v>400</v>
      </c>
      <c r="J12" s="43"/>
      <c r="K12" s="14"/>
      <c r="L12" s="14"/>
      <c r="M12" s="14"/>
      <c r="N12" s="14"/>
    </row>
    <row r="13">
      <c r="A13" s="130">
        <v>4.0</v>
      </c>
      <c r="B13" s="131">
        <v>45999.0</v>
      </c>
      <c r="C13" s="132"/>
      <c r="D13" s="133" t="s">
        <v>401</v>
      </c>
      <c r="E13" s="134">
        <v>2.0250811005E10</v>
      </c>
      <c r="F13" s="133" t="s">
        <v>393</v>
      </c>
      <c r="G13" s="133" t="s">
        <v>394</v>
      </c>
      <c r="H13" s="133"/>
      <c r="I13" s="133" t="s">
        <v>390</v>
      </c>
      <c r="J13" s="133"/>
      <c r="K13" s="130"/>
      <c r="L13" s="130"/>
      <c r="M13" s="130"/>
      <c r="N13" s="130"/>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5"/>
      <c r="CE13" s="135"/>
      <c r="CF13" s="135"/>
      <c r="CG13" s="135"/>
      <c r="CH13" s="135"/>
      <c r="CI13" s="135"/>
      <c r="CJ13" s="135"/>
      <c r="CK13" s="135"/>
      <c r="CL13" s="135"/>
      <c r="CM13" s="135"/>
      <c r="CN13" s="135"/>
      <c r="CO13" s="135"/>
      <c r="CP13" s="135"/>
      <c r="CQ13" s="135"/>
      <c r="CR13" s="135"/>
      <c r="CS13" s="135"/>
      <c r="CT13" s="135"/>
      <c r="CU13" s="135"/>
      <c r="CV13" s="135"/>
      <c r="CW13" s="135"/>
      <c r="CX13" s="135"/>
      <c r="CY13" s="135"/>
      <c r="CZ13" s="135"/>
      <c r="DA13" s="135"/>
      <c r="DB13" s="135"/>
      <c r="DC13" s="135"/>
      <c r="DD13" s="135"/>
    </row>
    <row r="14">
      <c r="A14" s="130">
        <v>5.0</v>
      </c>
      <c r="B14" s="131" t="s">
        <v>402</v>
      </c>
      <c r="C14" s="132"/>
      <c r="D14" s="133" t="s">
        <v>403</v>
      </c>
      <c r="E14" s="134" t="s">
        <v>404</v>
      </c>
      <c r="F14" s="133" t="s">
        <v>405</v>
      </c>
      <c r="G14" s="133" t="s">
        <v>406</v>
      </c>
      <c r="H14" s="133"/>
      <c r="I14" s="133" t="s">
        <v>407</v>
      </c>
      <c r="J14" s="133"/>
      <c r="K14" s="130"/>
      <c r="L14" s="130"/>
      <c r="M14" s="130"/>
      <c r="N14" s="130"/>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5"/>
      <c r="CU14" s="135"/>
      <c r="CV14" s="135"/>
      <c r="CW14" s="135"/>
      <c r="CX14" s="135"/>
      <c r="CY14" s="135"/>
      <c r="CZ14" s="135"/>
      <c r="DA14" s="135"/>
      <c r="DB14" s="135"/>
      <c r="DC14" s="135"/>
      <c r="DD14" s="135"/>
    </row>
    <row r="15">
      <c r="A15" s="14">
        <v>6.0</v>
      </c>
      <c r="B15" s="43"/>
      <c r="C15" s="83"/>
      <c r="D15" s="43"/>
      <c r="E15" s="81"/>
      <c r="F15" s="43"/>
      <c r="G15" s="43"/>
      <c r="H15" s="43"/>
      <c r="I15" s="43"/>
      <c r="J15" s="43"/>
      <c r="K15" s="14"/>
      <c r="L15" s="14"/>
      <c r="M15" s="14"/>
      <c r="N15" s="14"/>
    </row>
    <row r="16">
      <c r="A16" s="14">
        <v>7.0</v>
      </c>
      <c r="B16" s="43"/>
      <c r="C16" s="83"/>
      <c r="D16" s="43"/>
      <c r="E16" s="81"/>
      <c r="F16" s="43"/>
      <c r="G16" s="43"/>
      <c r="H16" s="43"/>
      <c r="I16" s="43"/>
      <c r="J16" s="43"/>
      <c r="K16" s="14"/>
      <c r="L16" s="14"/>
      <c r="M16" s="14"/>
      <c r="N16" s="14"/>
    </row>
    <row r="17">
      <c r="A17" s="14">
        <v>8.0</v>
      </c>
      <c r="B17" s="43"/>
      <c r="C17" s="83"/>
      <c r="D17" s="43"/>
      <c r="E17" s="81"/>
      <c r="F17" s="43"/>
      <c r="G17" s="43"/>
      <c r="H17" s="43"/>
      <c r="I17" s="43"/>
      <c r="J17" s="43"/>
      <c r="K17" s="14"/>
      <c r="L17" s="14"/>
      <c r="M17" s="14"/>
      <c r="N17" s="14"/>
    </row>
    <row r="18">
      <c r="A18" s="14">
        <v>9.0</v>
      </c>
      <c r="B18" s="137"/>
      <c r="D18" s="137"/>
      <c r="E18" s="138"/>
      <c r="F18" s="137"/>
      <c r="G18" s="137"/>
      <c r="H18" s="137"/>
      <c r="I18" s="43"/>
      <c r="J18" s="137"/>
      <c r="K18" s="14"/>
      <c r="L18" s="14"/>
      <c r="M18" s="14"/>
      <c r="N18" s="14"/>
    </row>
    <row r="19">
      <c r="A19" s="14">
        <v>10.0</v>
      </c>
      <c r="B19" s="137"/>
      <c r="D19" s="137"/>
      <c r="E19" s="138"/>
      <c r="F19" s="137"/>
      <c r="G19" s="137"/>
      <c r="H19" s="137"/>
      <c r="I19" s="43"/>
      <c r="J19" s="137"/>
      <c r="K19" s="14"/>
      <c r="L19" s="14"/>
      <c r="M19" s="14"/>
      <c r="N19" s="14"/>
    </row>
    <row r="20">
      <c r="A20" s="14">
        <v>11.0</v>
      </c>
      <c r="B20" s="137"/>
      <c r="D20" s="137"/>
      <c r="E20" s="138"/>
      <c r="F20" s="137"/>
      <c r="G20" s="137"/>
      <c r="H20" s="137"/>
      <c r="I20" s="43"/>
      <c r="J20" s="137"/>
      <c r="K20" s="14"/>
      <c r="L20" s="14"/>
      <c r="M20" s="14"/>
      <c r="N20" s="14"/>
    </row>
    <row r="21">
      <c r="A21" s="14">
        <v>12.0</v>
      </c>
      <c r="B21" s="41"/>
      <c r="D21" s="41"/>
      <c r="E21" s="121"/>
      <c r="F21" s="41"/>
      <c r="G21" s="41"/>
      <c r="H21" s="41"/>
      <c r="I21" s="43"/>
      <c r="J21" s="41"/>
      <c r="K21" s="14"/>
      <c r="L21" s="14"/>
      <c r="M21" s="14"/>
      <c r="N21" s="14"/>
    </row>
    <row r="22">
      <c r="A22" s="14">
        <v>13.0</v>
      </c>
      <c r="B22" s="41"/>
      <c r="D22" s="41"/>
      <c r="E22" s="139"/>
      <c r="F22" s="41"/>
      <c r="G22" s="41"/>
      <c r="H22" s="41"/>
      <c r="I22" s="43"/>
      <c r="J22" s="41"/>
      <c r="K22" s="14"/>
      <c r="L22" s="14"/>
      <c r="M22" s="14"/>
      <c r="N22" s="14"/>
    </row>
    <row r="23">
      <c r="A23" s="14">
        <v>14.0</v>
      </c>
      <c r="B23" s="41"/>
      <c r="D23" s="41"/>
      <c r="E23" s="139"/>
      <c r="F23" s="41"/>
      <c r="G23" s="41"/>
      <c r="H23" s="41"/>
      <c r="I23" s="43"/>
      <c r="J23" s="41"/>
      <c r="K23" s="14"/>
      <c r="L23" s="14"/>
      <c r="M23" s="14"/>
      <c r="N23" s="14"/>
    </row>
    <row r="24">
      <c r="A24" s="14">
        <v>15.0</v>
      </c>
      <c r="B24" s="41"/>
      <c r="D24" s="41"/>
      <c r="E24" s="139"/>
      <c r="F24" s="41"/>
      <c r="G24" s="41"/>
      <c r="H24" s="41"/>
      <c r="I24" s="43"/>
      <c r="J24" s="41"/>
      <c r="K24" s="14"/>
      <c r="L24" s="14"/>
      <c r="M24" s="14"/>
      <c r="N24" s="14"/>
    </row>
    <row r="25">
      <c r="A25" s="14"/>
      <c r="B25" s="41"/>
      <c r="D25" s="41"/>
      <c r="E25" s="121"/>
      <c r="F25" s="41"/>
      <c r="G25" s="41"/>
      <c r="H25" s="41"/>
      <c r="I25" s="43"/>
      <c r="J25" s="41"/>
      <c r="K25" s="14"/>
      <c r="L25" s="14"/>
      <c r="M25" s="14"/>
      <c r="N25" s="14"/>
    </row>
    <row r="26">
      <c r="A26" s="14"/>
      <c r="B26" s="41"/>
      <c r="D26" s="41"/>
      <c r="E26" s="139"/>
      <c r="F26" s="41"/>
      <c r="G26" s="41"/>
      <c r="H26" s="41"/>
      <c r="I26" s="43"/>
      <c r="J26" s="41"/>
      <c r="K26" s="14"/>
      <c r="L26" s="14"/>
      <c r="M26" s="14"/>
      <c r="N26" s="14"/>
    </row>
    <row r="27">
      <c r="A27" s="14"/>
      <c r="B27" s="41"/>
      <c r="D27" s="41"/>
      <c r="E27" s="139"/>
      <c r="F27" s="41"/>
      <c r="G27" s="41"/>
      <c r="H27" s="41"/>
      <c r="I27" s="43"/>
      <c r="J27" s="41"/>
      <c r="K27" s="14"/>
      <c r="L27" s="14"/>
      <c r="M27" s="14"/>
      <c r="N27" s="14"/>
    </row>
  </sheetData>
  <autoFilter ref="$A$9:$DD$24"/>
  <mergeCells count="8">
    <mergeCell ref="A1:I1"/>
    <mergeCell ref="A3:B3"/>
    <mergeCell ref="A4:B4"/>
    <mergeCell ref="C4:D4"/>
    <mergeCell ref="A5:B5"/>
    <mergeCell ref="C5:D5"/>
    <mergeCell ref="A6:B6"/>
    <mergeCell ref="A7:B7"/>
  </mergeCells>
  <conditionalFormatting sqref="K1:K999">
    <cfRule type="containsText" dxfId="0" priority="1" operator="containsText" text="Vàng">
      <formula>NOT(ISERROR(SEARCH(("Vàng"),(K1))))</formula>
    </cfRule>
  </conditionalFormatting>
  <conditionalFormatting sqref="K1:K999">
    <cfRule type="containsText" dxfId="1" priority="2" operator="containsText" text="Xanh">
      <formula>NOT(ISERROR(SEARCH(("Xanh"),(K1))))</formula>
    </cfRule>
  </conditionalFormatting>
  <conditionalFormatting sqref="K1:K999">
    <cfRule type="containsText" dxfId="2" priority="3" operator="containsText" text="Đỏ">
      <formula>NOT(ISERROR(SEARCH(("Đỏ"),(K1))))</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